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nawalputri/Documents/Telkom/Semester 6/Kerja Praktik/Smart Trafo Monitoring/"/>
    </mc:Choice>
  </mc:AlternateContent>
  <xr:revisionPtr revIDLastSave="0" documentId="13_ncr:1_{5F8A0FE1-D319-AA4B-857A-59D5AEA511C8}" xr6:coauthVersionLast="36" xr6:coauthVersionMax="47" xr10:uidLastSave="{00000000-0000-0000-0000-000000000000}"/>
  <bookViews>
    <workbookView xWindow="0" yWindow="0" windowWidth="28800" windowHeight="18000" xr2:uid="{8EB60D78-90DD-4777-81F4-AAF6AE0D9B07}"/>
  </bookViews>
  <sheets>
    <sheet name="MASTER GARDU 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</externalReferences>
  <definedNames>
    <definedName name="_" localSheetId="0">#REF!</definedName>
    <definedName name="_">#REF!</definedName>
    <definedName name="_______________________DAF1" localSheetId="0">#REF!</definedName>
    <definedName name="_______________________DAF1">#REF!</definedName>
    <definedName name="_______________________DAF11" localSheetId="0">#REF!</definedName>
    <definedName name="_______________________DAF11">#REF!</definedName>
    <definedName name="______________________DAF1" localSheetId="0">#REF!</definedName>
    <definedName name="______________________DAF1">#REF!</definedName>
    <definedName name="______________________DAF11" localSheetId="0">#REF!</definedName>
    <definedName name="______________________DAF11">#REF!</definedName>
    <definedName name="_____________________DAF1" localSheetId="0">#REF!</definedName>
    <definedName name="_____________________DAF1">#REF!</definedName>
    <definedName name="_____________________DAF11" localSheetId="0">#REF!</definedName>
    <definedName name="_____________________DAF11">#REF!</definedName>
    <definedName name="____________________DAF1" localSheetId="0">#REF!</definedName>
    <definedName name="____________________DAF1">#REF!</definedName>
    <definedName name="____________________DAF11" localSheetId="0">#REF!</definedName>
    <definedName name="____________________DAF11">#REF!</definedName>
    <definedName name="___________________DAF1" localSheetId="0">#REF!</definedName>
    <definedName name="___________________DAF1">#REF!</definedName>
    <definedName name="___________________DAF11" localSheetId="0">#REF!</definedName>
    <definedName name="___________________DAF11">#REF!</definedName>
    <definedName name="__________________DAF1" localSheetId="0">#REF!</definedName>
    <definedName name="__________________DAF1">#REF!</definedName>
    <definedName name="__________________DAF11" localSheetId="0">#REF!</definedName>
    <definedName name="__________________DAF11">#REF!</definedName>
    <definedName name="__________________ERR1" localSheetId="0" hidden="1">{#N/A,#N/A,FALSE,"M.42"}</definedName>
    <definedName name="__________________ERR1" hidden="1">{#N/A,#N/A,FALSE,"M.42"}</definedName>
    <definedName name="__________________kl09" localSheetId="0" hidden="1">{#N/A,#N/A,FALSE,"M.01"}</definedName>
    <definedName name="__________________kl09" hidden="1">{#N/A,#N/A,FALSE,"M.01"}</definedName>
    <definedName name="__________________wil1" localSheetId="0" hidden="1">{#N/A,#N/A,FALSE,"M.01"}</definedName>
    <definedName name="__________________wil1" hidden="1">{#N/A,#N/A,FALSE,"M.01"}</definedName>
    <definedName name="_________________DAF1" localSheetId="0">#REF!</definedName>
    <definedName name="_________________DAF1">#REF!</definedName>
    <definedName name="_________________DAF11" localSheetId="0">#REF!</definedName>
    <definedName name="_________________DAF11">#REF!</definedName>
    <definedName name="_________________kl09" localSheetId="0" hidden="1">{#N/A,#N/A,FALSE,"M.01"}</definedName>
    <definedName name="_________________kl09" hidden="1">{#N/A,#N/A,FALSE,"M.01"}</definedName>
    <definedName name="_________________MEI92" localSheetId="0">#REF!</definedName>
    <definedName name="_________________MEI92">#REF!</definedName>
    <definedName name="________________DAF1" localSheetId="0">#REF!</definedName>
    <definedName name="________________DAF1">#REF!</definedName>
    <definedName name="________________DAF11" localSheetId="0">#REF!</definedName>
    <definedName name="________________DAF11">#REF!</definedName>
    <definedName name="________________kl09" localSheetId="0" hidden="1">{#N/A,#N/A,FALSE,"M.01"}</definedName>
    <definedName name="________________kl09" hidden="1">{#N/A,#N/A,FALSE,"M.01"}</definedName>
    <definedName name="________________MEI92" localSheetId="0">#REF!</definedName>
    <definedName name="________________MEI92">#REF!</definedName>
    <definedName name="________________NOP92">#N/A</definedName>
    <definedName name="________________OKT92">#N/A</definedName>
    <definedName name="________________RIP2" localSheetId="0" hidden="1">{#N/A,#N/A,FALSE,"M.01"}</definedName>
    <definedName name="________________RIP2" hidden="1">{#N/A,#N/A,FALSE,"M.01"}</definedName>
    <definedName name="________________RIP3" localSheetId="0" hidden="1">{#N/A,#N/A,FALSE,"M.41"}</definedName>
    <definedName name="________________RIP3" hidden="1">{#N/A,#N/A,FALSE,"M.41"}</definedName>
    <definedName name="________________SEP92">#N/A</definedName>
    <definedName name="________________TH1" localSheetId="0" hidden="1">{#N/A,#N/A,FALSE,"M.34"}</definedName>
    <definedName name="________________TH1" hidden="1">{#N/A,#N/A,FALSE,"M.34"}</definedName>
    <definedName name="________________th2" localSheetId="0" hidden="1">{#N/A,#N/A,FALSE,"M.42"}</definedName>
    <definedName name="________________th2" hidden="1">{#N/A,#N/A,FALSE,"M.42"}</definedName>
    <definedName name="_______________DAF1" localSheetId="0">#REF!</definedName>
    <definedName name="_______________DAF1">#REF!</definedName>
    <definedName name="_______________DAF11" localSheetId="0">#REF!</definedName>
    <definedName name="_______________DAF11">#REF!</definedName>
    <definedName name="_______________ERR1" localSheetId="0" hidden="1">{#N/A,#N/A,FALSE,"M.42"}</definedName>
    <definedName name="_______________ERR1" hidden="1">{#N/A,#N/A,FALSE,"M.42"}</definedName>
    <definedName name="_______________JBN3" localSheetId="0" hidden="1">{#N/A,#N/A,FALSE,"M.32"}</definedName>
    <definedName name="_______________JBN3" hidden="1">{#N/A,#N/A,FALSE,"M.32"}</definedName>
    <definedName name="_______________kl09" localSheetId="0" hidden="1">{#N/A,#N/A,FALSE,"M.01"}</definedName>
    <definedName name="_______________kl09" hidden="1">{#N/A,#N/A,FALSE,"M.01"}</definedName>
    <definedName name="_______________MEI92" localSheetId="0">#REF!</definedName>
    <definedName name="_______________MEI92">#REF!</definedName>
    <definedName name="_______________NOP92">#N/A</definedName>
    <definedName name="_______________OKT92">#N/A</definedName>
    <definedName name="_______________RIP2" localSheetId="0" hidden="1">{#N/A,#N/A,FALSE,"M.01"}</definedName>
    <definedName name="_______________RIP2" hidden="1">{#N/A,#N/A,FALSE,"M.01"}</definedName>
    <definedName name="_______________RIP3" localSheetId="0" hidden="1">{#N/A,#N/A,FALSE,"M.41"}</definedName>
    <definedName name="_______________RIP3" hidden="1">{#N/A,#N/A,FALSE,"M.41"}</definedName>
    <definedName name="_______________SEP92">#N/A</definedName>
    <definedName name="_______________SLA2009" localSheetId="0" hidden="1">{#N/A,#N/A,FALSE,"M.32"}</definedName>
    <definedName name="_______________SLA2009" hidden="1">{#N/A,#N/A,FALSE,"M.32"}</definedName>
    <definedName name="_______________TH1" localSheetId="0" hidden="1">{#N/A,#N/A,FALSE,"M.34"}</definedName>
    <definedName name="_______________TH1" hidden="1">{#N/A,#N/A,FALSE,"M.34"}</definedName>
    <definedName name="_______________th2" localSheetId="0" hidden="1">{#N/A,#N/A,FALSE,"M.42"}</definedName>
    <definedName name="_______________th2" hidden="1">{#N/A,#N/A,FALSE,"M.42"}</definedName>
    <definedName name="_______________wil1" localSheetId="0" hidden="1">{#N/A,#N/A,FALSE,"M.01"}</definedName>
    <definedName name="_______________wil1" hidden="1">{#N/A,#N/A,FALSE,"M.01"}</definedName>
    <definedName name="______________DAF1" localSheetId="0">#REF!</definedName>
    <definedName name="______________DAF1">#REF!</definedName>
    <definedName name="______________DAF11" localSheetId="0">#REF!</definedName>
    <definedName name="______________DAF11">#REF!</definedName>
    <definedName name="______________ERR1" localSheetId="0" hidden="1">{#N/A,#N/A,FALSE,"M.42"}</definedName>
    <definedName name="______________ERR1" hidden="1">{#N/A,#N/A,FALSE,"M.42"}</definedName>
    <definedName name="______________JBN3" localSheetId="0" hidden="1">{#N/A,#N/A,FALSE,"M.32"}</definedName>
    <definedName name="______________JBN3" hidden="1">{#N/A,#N/A,FALSE,"M.32"}</definedName>
    <definedName name="______________kl09" localSheetId="0" hidden="1">{#N/A,#N/A,FALSE,"M.01"}</definedName>
    <definedName name="______________kl09" hidden="1">{#N/A,#N/A,FALSE,"M.01"}</definedName>
    <definedName name="______________MEI92" localSheetId="0">#REF!</definedName>
    <definedName name="______________MEI92">#REF!</definedName>
    <definedName name="______________NOP92">#N/A</definedName>
    <definedName name="______________OKT92">#N/A</definedName>
    <definedName name="______________RIP2" localSheetId="0" hidden="1">{#N/A,#N/A,FALSE,"M.01"}</definedName>
    <definedName name="______________RIP2" hidden="1">{#N/A,#N/A,FALSE,"M.01"}</definedName>
    <definedName name="______________RIP3" localSheetId="0" hidden="1">{#N/A,#N/A,FALSE,"M.41"}</definedName>
    <definedName name="______________RIP3" hidden="1">{#N/A,#N/A,FALSE,"M.41"}</definedName>
    <definedName name="______________SEP92">#N/A</definedName>
    <definedName name="______________SLA2009" localSheetId="0" hidden="1">{#N/A,#N/A,FALSE,"M.32"}</definedName>
    <definedName name="______________SLA2009" hidden="1">{#N/A,#N/A,FALSE,"M.32"}</definedName>
    <definedName name="______________TH1" localSheetId="0" hidden="1">{#N/A,#N/A,FALSE,"M.34"}</definedName>
    <definedName name="______________TH1" hidden="1">{#N/A,#N/A,FALSE,"M.34"}</definedName>
    <definedName name="______________th2" localSheetId="0" hidden="1">{#N/A,#N/A,FALSE,"M.42"}</definedName>
    <definedName name="______________th2" hidden="1">{#N/A,#N/A,FALSE,"M.42"}</definedName>
    <definedName name="______________wil1" localSheetId="0" hidden="1">{#N/A,#N/A,FALSE,"M.01"}</definedName>
    <definedName name="______________wil1" hidden="1">{#N/A,#N/A,FALSE,"M.01"}</definedName>
    <definedName name="_____________DAF1" localSheetId="0">#REF!</definedName>
    <definedName name="_____________DAF1">#REF!</definedName>
    <definedName name="_____________DAF11" localSheetId="0">#REF!</definedName>
    <definedName name="_____________DAF11">#REF!</definedName>
    <definedName name="_____________ERR1" localSheetId="0" hidden="1">{#N/A,#N/A,FALSE,"M.42"}</definedName>
    <definedName name="_____________ERR1" hidden="1">{#N/A,#N/A,FALSE,"M.42"}</definedName>
    <definedName name="_____________JBN3" localSheetId="0" hidden="1">{#N/A,#N/A,FALSE,"M.32"}</definedName>
    <definedName name="_____________JBN3" hidden="1">{#N/A,#N/A,FALSE,"M.32"}</definedName>
    <definedName name="_____________kl09" localSheetId="0" hidden="1">{#N/A,#N/A,FALSE,"M.01"}</definedName>
    <definedName name="_____________kl09" hidden="1">{#N/A,#N/A,FALSE,"M.01"}</definedName>
    <definedName name="_____________MEI92" localSheetId="0">#REF!</definedName>
    <definedName name="_____________MEI92">#REF!</definedName>
    <definedName name="_____________NOP92">#N/A</definedName>
    <definedName name="_____________OKT92">#N/A</definedName>
    <definedName name="_____________RIP2" localSheetId="0" hidden="1">{#N/A,#N/A,FALSE,"M.01"}</definedName>
    <definedName name="_____________RIP2" hidden="1">{#N/A,#N/A,FALSE,"M.01"}</definedName>
    <definedName name="_____________RIP3" localSheetId="0" hidden="1">{#N/A,#N/A,FALSE,"M.41"}</definedName>
    <definedName name="_____________RIP3" hidden="1">{#N/A,#N/A,FALSE,"M.41"}</definedName>
    <definedName name="_____________SEP92">#N/A</definedName>
    <definedName name="_____________SLA2009" localSheetId="0" hidden="1">{#N/A,#N/A,FALSE,"M.32"}</definedName>
    <definedName name="_____________SLA2009" hidden="1">{#N/A,#N/A,FALSE,"M.32"}</definedName>
    <definedName name="_____________TH1" localSheetId="0" hidden="1">{#N/A,#N/A,FALSE,"M.34"}</definedName>
    <definedName name="_____________TH1" hidden="1">{#N/A,#N/A,FALSE,"M.34"}</definedName>
    <definedName name="_____________th2" localSheetId="0" hidden="1">{#N/A,#N/A,FALSE,"M.42"}</definedName>
    <definedName name="_____________th2" hidden="1">{#N/A,#N/A,FALSE,"M.42"}</definedName>
    <definedName name="_____________wil1" localSheetId="0" hidden="1">{#N/A,#N/A,FALSE,"M.01"}</definedName>
    <definedName name="_____________wil1" hidden="1">{#N/A,#N/A,FALSE,"M.01"}</definedName>
    <definedName name="____________BBM2" localSheetId="0">#REF!</definedName>
    <definedName name="____________BBM2">#REF!</definedName>
    <definedName name="____________DAF1" localSheetId="0">#REF!</definedName>
    <definedName name="____________DAF1">#REF!</definedName>
    <definedName name="____________DAF11" localSheetId="0">#REF!</definedName>
    <definedName name="____________DAF11">#REF!</definedName>
    <definedName name="____________ERR1" localSheetId="0" hidden="1">{#N/A,#N/A,FALSE,"M.42"}</definedName>
    <definedName name="____________ERR1" hidden="1">{#N/A,#N/A,FALSE,"M.42"}</definedName>
    <definedName name="____________HAL4" localSheetId="0">#REF!</definedName>
    <definedName name="____________HAL4">#REF!</definedName>
    <definedName name="____________JBN3" localSheetId="0" hidden="1">{#N/A,#N/A,FALSE,"M.32"}</definedName>
    <definedName name="____________JBN3" hidden="1">{#N/A,#N/A,FALSE,"M.32"}</definedName>
    <definedName name="____________kl09" localSheetId="0" hidden="1">{#N/A,#N/A,FALSE,"M.01"}</definedName>
    <definedName name="____________kl09" hidden="1">{#N/A,#N/A,FALSE,"M.01"}</definedName>
    <definedName name="____________MEI92" localSheetId="0">#REF!</definedName>
    <definedName name="____________MEI92">#REF!</definedName>
    <definedName name="____________NOP92">#N/A</definedName>
    <definedName name="____________OKT92">#N/A</definedName>
    <definedName name="____________RIP2" localSheetId="0" hidden="1">{#N/A,#N/A,FALSE,"M.01"}</definedName>
    <definedName name="____________RIP2" hidden="1">{#N/A,#N/A,FALSE,"M.01"}</definedName>
    <definedName name="____________RIP3" localSheetId="0" hidden="1">{#N/A,#N/A,FALSE,"M.41"}</definedName>
    <definedName name="____________RIP3" hidden="1">{#N/A,#N/A,FALSE,"M.41"}</definedName>
    <definedName name="____________SEP92">#N/A</definedName>
    <definedName name="____________SLA2009" localSheetId="0" hidden="1">{#N/A,#N/A,FALSE,"M.32"}</definedName>
    <definedName name="____________SLA2009" hidden="1">{#N/A,#N/A,FALSE,"M.32"}</definedName>
    <definedName name="____________TH1" localSheetId="0" hidden="1">{#N/A,#N/A,FALSE,"M.34"}</definedName>
    <definedName name="____________TH1" hidden="1">{#N/A,#N/A,FALSE,"M.34"}</definedName>
    <definedName name="____________th2" localSheetId="0" hidden="1">{#N/A,#N/A,FALSE,"M.42"}</definedName>
    <definedName name="____________th2" hidden="1">{#N/A,#N/A,FALSE,"M.42"}</definedName>
    <definedName name="____________wil1" localSheetId="0" hidden="1">{#N/A,#N/A,FALSE,"M.01"}</definedName>
    <definedName name="____________wil1" hidden="1">{#N/A,#N/A,FALSE,"M.01"}</definedName>
    <definedName name="___________BBM2" localSheetId="0">#REF!</definedName>
    <definedName name="___________BBM2">#REF!</definedName>
    <definedName name="___________DAF1" localSheetId="0">#REF!</definedName>
    <definedName name="___________DAF1">#REF!</definedName>
    <definedName name="___________DAF11" localSheetId="0">#REF!</definedName>
    <definedName name="___________DAF11">#REF!</definedName>
    <definedName name="___________JBN3" localSheetId="0" hidden="1">{#N/A,#N/A,FALSE,"M.32"}</definedName>
    <definedName name="___________JBN3" hidden="1">{#N/A,#N/A,FALSE,"M.32"}</definedName>
    <definedName name="___________kl09" localSheetId="0" hidden="1">{#N/A,#N/A,FALSE,"M.01"}</definedName>
    <definedName name="___________kl09" hidden="1">{#N/A,#N/A,FALSE,"M.01"}</definedName>
    <definedName name="___________MEI92" localSheetId="0">#REF!</definedName>
    <definedName name="___________MEI92">#REF!</definedName>
    <definedName name="___________NOP92">#N/A</definedName>
    <definedName name="___________OKT92">#N/A</definedName>
    <definedName name="___________RIP2" localSheetId="0" hidden="1">{#N/A,#N/A,FALSE,"M.01"}</definedName>
    <definedName name="___________RIP2" hidden="1">{#N/A,#N/A,FALSE,"M.01"}</definedName>
    <definedName name="___________RIP3" localSheetId="0" hidden="1">{#N/A,#N/A,FALSE,"M.41"}</definedName>
    <definedName name="___________RIP3" hidden="1">{#N/A,#N/A,FALSE,"M.41"}</definedName>
    <definedName name="___________SEP92">#N/A</definedName>
    <definedName name="___________SLA2009" localSheetId="0" hidden="1">{#N/A,#N/A,FALSE,"M.32"}</definedName>
    <definedName name="___________SLA2009" hidden="1">{#N/A,#N/A,FALSE,"M.32"}</definedName>
    <definedName name="___________TH1" localSheetId="0" hidden="1">{#N/A,#N/A,FALSE,"M.34"}</definedName>
    <definedName name="___________TH1" hidden="1">{#N/A,#N/A,FALSE,"M.34"}</definedName>
    <definedName name="___________th2" localSheetId="0" hidden="1">{#N/A,#N/A,FALSE,"M.42"}</definedName>
    <definedName name="___________th2" hidden="1">{#N/A,#N/A,FALSE,"M.42"}</definedName>
    <definedName name="___________wil1" localSheetId="0" hidden="1">{#N/A,#N/A,FALSE,"M.01"}</definedName>
    <definedName name="___________wil1" hidden="1">{#N/A,#N/A,FALSE,"M.01"}</definedName>
    <definedName name="__________1" localSheetId="0">#REF!</definedName>
    <definedName name="__________1">#REF!</definedName>
    <definedName name="__________BBM2" localSheetId="0">#REF!</definedName>
    <definedName name="__________BBM2">#REF!</definedName>
    <definedName name="__________DAF1" localSheetId="0">#REF!</definedName>
    <definedName name="__________DAF1">#REF!</definedName>
    <definedName name="__________DAF11" localSheetId="0">#REF!</definedName>
    <definedName name="__________DAF11">#REF!</definedName>
    <definedName name="__________ERR1" localSheetId="0" hidden="1">{#N/A,#N/A,FALSE,"M.42"}</definedName>
    <definedName name="__________ERR1" hidden="1">{#N/A,#N/A,FALSE,"M.42"}</definedName>
    <definedName name="__________HAL4" localSheetId="0">#REF!</definedName>
    <definedName name="__________HAL4">#REF!</definedName>
    <definedName name="__________JBN3" localSheetId="0" hidden="1">{#N/A,#N/A,FALSE,"M.32"}</definedName>
    <definedName name="__________JBN3" hidden="1">{#N/A,#N/A,FALSE,"M.32"}</definedName>
    <definedName name="__________JML1">'[3]DATA-BASE SUTT'!$L$11:$L$383</definedName>
    <definedName name="__________JML2">'[3]DATA-BASE SUTT'!$O$11:$O$383</definedName>
    <definedName name="__________JML3">'[3]DATA-BASE SUTT'!$R$11:$R$383</definedName>
    <definedName name="__________kin3" localSheetId="0" hidden="1">{#N/A,#N/A,FALSE,"M.31"}</definedName>
    <definedName name="__________kin3" hidden="1">{#N/A,#N/A,FALSE,"M.31"}</definedName>
    <definedName name="__________kit2" localSheetId="0" hidden="1">{#N/A,#N/A,FALSE,"M.43"}</definedName>
    <definedName name="__________kit2" hidden="1">{#N/A,#N/A,FALSE,"M.43"}</definedName>
    <definedName name="__________kl09" localSheetId="0" hidden="1">{#N/A,#N/A,FALSE,"M.01"}</definedName>
    <definedName name="__________kl09" hidden="1">{#N/A,#N/A,FALSE,"M.01"}</definedName>
    <definedName name="__________KWH1">'[3]DATA-BASE SUTT'!$M$11:$M$383</definedName>
    <definedName name="__________KWH2">'[3]DATA-BASE SUTT'!$P$11:$P$383</definedName>
    <definedName name="__________KWH3">'[3]DATA-BASE SUTT'!$S$11:$S$383</definedName>
    <definedName name="__________LP2">#N/A</definedName>
    <definedName name="__________MEI92" localSheetId="0">#REF!</definedName>
    <definedName name="__________MEI92">#REF!</definedName>
    <definedName name="__________NOP92">#N/A</definedName>
    <definedName name="__________OAF1" localSheetId="0">#REF!</definedName>
    <definedName name="__________OAF1">#REF!</definedName>
    <definedName name="__________OKT92">#N/A</definedName>
    <definedName name="__________RIP2" localSheetId="0" hidden="1">{#N/A,#N/A,FALSE,"M.01"}</definedName>
    <definedName name="__________RIP2" hidden="1">{#N/A,#N/A,FALSE,"M.01"}</definedName>
    <definedName name="__________RIP3" localSheetId="0" hidden="1">{#N/A,#N/A,FALSE,"M.41"}</definedName>
    <definedName name="__________RIP3" hidden="1">{#N/A,#N/A,FALSE,"M.41"}</definedName>
    <definedName name="__________RMS1" localSheetId="0">#REF!</definedName>
    <definedName name="__________RMS1">#REF!</definedName>
    <definedName name="__________RMS2" localSheetId="0">#REF!</definedName>
    <definedName name="__________RMS2">#REF!</definedName>
    <definedName name="__________RMS3" localSheetId="0">#REF!</definedName>
    <definedName name="__________RMS3">#REF!</definedName>
    <definedName name="__________RMS4" localSheetId="0">#REF!</definedName>
    <definedName name="__________RMS4">#REF!</definedName>
    <definedName name="__________SEP92">#N/A</definedName>
    <definedName name="__________SLA2009" localSheetId="0" hidden="1">{#N/A,#N/A,FALSE,"M.32"}</definedName>
    <definedName name="__________SLA2009" hidden="1">{#N/A,#N/A,FALSE,"M.32"}</definedName>
    <definedName name="__________TH1" localSheetId="0" hidden="1">{#N/A,#N/A,FALSE,"M.34"}</definedName>
    <definedName name="__________TH1" hidden="1">{#N/A,#N/A,FALSE,"M.34"}</definedName>
    <definedName name="__________th2" localSheetId="0" hidden="1">{#N/A,#N/A,FALSE,"M.42"}</definedName>
    <definedName name="__________th2" hidden="1">{#N/A,#N/A,FALSE,"M.42"}</definedName>
    <definedName name="__________wil1" localSheetId="0" hidden="1">{#N/A,#N/A,FALSE,"M.01"}</definedName>
    <definedName name="__________wil1" hidden="1">{#N/A,#N/A,FALSE,"M.01"}</definedName>
    <definedName name="_________1" localSheetId="0">#REF!</definedName>
    <definedName name="_________1">#REF!</definedName>
    <definedName name="_________BBM2" localSheetId="0">#REF!</definedName>
    <definedName name="_________BBM2">#REF!</definedName>
    <definedName name="_________DAF1" localSheetId="0">#REF!</definedName>
    <definedName name="_________DAF1">#REF!</definedName>
    <definedName name="_________DAF11" localSheetId="0">#REF!</definedName>
    <definedName name="_________DAF11">#REF!</definedName>
    <definedName name="_________DAF14" localSheetId="0">#REF!</definedName>
    <definedName name="_________DAF14">#REF!</definedName>
    <definedName name="_________ERR1" localSheetId="0" hidden="1">{#N/A,#N/A,FALSE,"M.42"}</definedName>
    <definedName name="_________ERR1" hidden="1">{#N/A,#N/A,FALSE,"M.42"}</definedName>
    <definedName name="_________Hal2" localSheetId="0">#REF!</definedName>
    <definedName name="_________Hal2">#REF!</definedName>
    <definedName name="_________Hal3" localSheetId="0">#REF!</definedName>
    <definedName name="_________Hal3">#REF!</definedName>
    <definedName name="_________HAL4" localSheetId="0">#REF!</definedName>
    <definedName name="_________HAL4">#REF!</definedName>
    <definedName name="_________JBN3" localSheetId="0" hidden="1">{#N/A,#N/A,FALSE,"M.32"}</definedName>
    <definedName name="_________JBN3" hidden="1">{#N/A,#N/A,FALSE,"M.32"}</definedName>
    <definedName name="_________JML1">'[3]DATA-BASE SUTT'!$L$11:$L$383</definedName>
    <definedName name="_________JML2">'[3]DATA-BASE SUTT'!$O$11:$O$383</definedName>
    <definedName name="_________JML3">'[3]DATA-BASE SUTT'!$R$11:$R$383</definedName>
    <definedName name="_________kin3" localSheetId="0" hidden="1">{#N/A,#N/A,FALSE,"M.31"}</definedName>
    <definedName name="_________kin3" hidden="1">{#N/A,#N/A,FALSE,"M.31"}</definedName>
    <definedName name="_________kit2" localSheetId="0" hidden="1">{#N/A,#N/A,FALSE,"M.43"}</definedName>
    <definedName name="_________kit2" hidden="1">{#N/A,#N/A,FALSE,"M.43"}</definedName>
    <definedName name="_________kl09" localSheetId="0" hidden="1">{#N/A,#N/A,FALSE,"M.01"}</definedName>
    <definedName name="_________kl09" hidden="1">{#N/A,#N/A,FALSE,"M.01"}</definedName>
    <definedName name="_________KWH1">'[3]DATA-BASE SUTT'!$M$11:$M$383</definedName>
    <definedName name="_________KWH2">'[3]DATA-BASE SUTT'!$P$11:$P$383</definedName>
    <definedName name="_________KWH3">'[3]DATA-BASE SUTT'!$S$11:$S$383</definedName>
    <definedName name="_________LP2">#N/A</definedName>
    <definedName name="_________M2" localSheetId="0" hidden="1">{#N/A,#N/A,FALSE,"M.42"}</definedName>
    <definedName name="_________M2" hidden="1">{#N/A,#N/A,FALSE,"M.42"}</definedName>
    <definedName name="_________MEI92" localSheetId="0">#REF!</definedName>
    <definedName name="_________MEI92">#REF!</definedName>
    <definedName name="_________NOP92">#N/A</definedName>
    <definedName name="_________OAF1" localSheetId="0">#REF!</definedName>
    <definedName name="_________OAF1">#REF!</definedName>
    <definedName name="_________OKT92">#N/A</definedName>
    <definedName name="_________RIP2" localSheetId="0" hidden="1">{#N/A,#N/A,FALSE,"M.01"}</definedName>
    <definedName name="_________RIP2" hidden="1">{#N/A,#N/A,FALSE,"M.01"}</definedName>
    <definedName name="_________RIP3" localSheetId="0" hidden="1">{#N/A,#N/A,FALSE,"M.41"}</definedName>
    <definedName name="_________RIP3" hidden="1">{#N/A,#N/A,FALSE,"M.41"}</definedName>
    <definedName name="_________RMS1" localSheetId="0">#REF!</definedName>
    <definedName name="_________RMS1">#REF!</definedName>
    <definedName name="_________RMS2" localSheetId="0">#REF!</definedName>
    <definedName name="_________RMS2">#REF!</definedName>
    <definedName name="_________RMS3" localSheetId="0">#REF!</definedName>
    <definedName name="_________RMS3">#REF!</definedName>
    <definedName name="_________RMS4" localSheetId="0">#REF!</definedName>
    <definedName name="_________RMS4">#REF!</definedName>
    <definedName name="_________SEP92">#N/A</definedName>
    <definedName name="_________SLA2009" localSheetId="0" hidden="1">{#N/A,#N/A,FALSE,"M.32"}</definedName>
    <definedName name="_________SLA2009" hidden="1">{#N/A,#N/A,FALSE,"M.32"}</definedName>
    <definedName name="_________TH1" localSheetId="0" hidden="1">{#N/A,#N/A,FALSE,"M.34"}</definedName>
    <definedName name="_________TH1" hidden="1">{#N/A,#N/A,FALSE,"M.34"}</definedName>
    <definedName name="_________th2" localSheetId="0" hidden="1">{#N/A,#N/A,FALSE,"M.42"}</definedName>
    <definedName name="_________th2" hidden="1">{#N/A,#N/A,FALSE,"M.42"}</definedName>
    <definedName name="_________wil1" localSheetId="0" hidden="1">{#N/A,#N/A,FALSE,"M.01"}</definedName>
    <definedName name="_________wil1" hidden="1">{#N/A,#N/A,FALSE,"M.01"}</definedName>
    <definedName name="________1" localSheetId="0">#REF!</definedName>
    <definedName name="________1">#REF!</definedName>
    <definedName name="________abb91" localSheetId="0">[4]chitimc!#REF!</definedName>
    <definedName name="________abb91">[4]chitimc!#REF!</definedName>
    <definedName name="________BBM2" localSheetId="0">#REF!</definedName>
    <definedName name="________BBM2">#REF!</definedName>
    <definedName name="________CT250" localSheetId="0">'[4]dongia (2)'!#REF!</definedName>
    <definedName name="________CT250">'[4]dongia (2)'!#REF!</definedName>
    <definedName name="________DAF1" localSheetId="0">#REF!</definedName>
    <definedName name="________DAF1">#REF!</definedName>
    <definedName name="________DAF11" localSheetId="0">#REF!</definedName>
    <definedName name="________DAF11">#REF!</definedName>
    <definedName name="________DAF14" localSheetId="0">#REF!</definedName>
    <definedName name="________DAF14">#REF!</definedName>
    <definedName name="________dgt100" localSheetId="0">'[4]dongia (2)'!#REF!</definedName>
    <definedName name="________dgt100">'[4]dongia (2)'!#REF!</definedName>
    <definedName name="________ERR1" localSheetId="0" hidden="1">{#N/A,#N/A,FALSE,"M.42"}</definedName>
    <definedName name="________ERR1" hidden="1">{#N/A,#N/A,FALSE,"M.42"}</definedName>
    <definedName name="________Hal1" localSheetId="0">#REF!</definedName>
    <definedName name="________Hal1">#REF!</definedName>
    <definedName name="________Hal2" localSheetId="0">#REF!</definedName>
    <definedName name="________Hal2">#REF!</definedName>
    <definedName name="________Hal3" localSheetId="0">#REF!</definedName>
    <definedName name="________Hal3">#REF!</definedName>
    <definedName name="________HAL4" localSheetId="0">#REF!</definedName>
    <definedName name="________HAL4">#REF!</definedName>
    <definedName name="________JBN3" localSheetId="0" hidden="1">{#N/A,#N/A,FALSE,"M.32"}</definedName>
    <definedName name="________JBN3" hidden="1">{#N/A,#N/A,FALSE,"M.32"}</definedName>
    <definedName name="________JML1">'[3]DATA-BASE SUTT'!$L$11:$L$383</definedName>
    <definedName name="________JML2">'[3]DATA-BASE SUTT'!$O$11:$O$383</definedName>
    <definedName name="________JML3">'[3]DATA-BASE SUTT'!$R$11:$R$383</definedName>
    <definedName name="________JUL3" localSheetId="0">#REF!</definedName>
    <definedName name="________JUL3">#REF!</definedName>
    <definedName name="________kin3" localSheetId="0" hidden="1">{#N/A,#N/A,FALSE,"M.31"}</definedName>
    <definedName name="________kin3" hidden="1">{#N/A,#N/A,FALSE,"M.31"}</definedName>
    <definedName name="________kit2" localSheetId="0" hidden="1">{#N/A,#N/A,FALSE,"M.43"}</definedName>
    <definedName name="________kit2" hidden="1">{#N/A,#N/A,FALSE,"M.43"}</definedName>
    <definedName name="________kl09" localSheetId="0" hidden="1">{#N/A,#N/A,FALSE,"M.01"}</definedName>
    <definedName name="________kl09" hidden="1">{#N/A,#N/A,FALSE,"M.01"}</definedName>
    <definedName name="________KWH1">'[3]DATA-BASE SUTT'!$M$11:$M$383</definedName>
    <definedName name="________KWH2">'[3]DATA-BASE SUTT'!$P$11:$P$383</definedName>
    <definedName name="________KWH3">'[3]DATA-BASE SUTT'!$S$11:$S$383</definedName>
    <definedName name="________LP2">#N/A</definedName>
    <definedName name="________MEI92" localSheetId="0">#REF!</definedName>
    <definedName name="________MEI92">#REF!</definedName>
    <definedName name="________NCL100" localSheetId="0">#REF!</definedName>
    <definedName name="________NCL100">#REF!</definedName>
    <definedName name="________NCL200" localSheetId="0">#REF!</definedName>
    <definedName name="________NCL200">#REF!</definedName>
    <definedName name="________NCL250" localSheetId="0">#REF!</definedName>
    <definedName name="________NCL250">#REF!</definedName>
    <definedName name="________nin190" localSheetId="0">#REF!</definedName>
    <definedName name="________nin190">#REF!</definedName>
    <definedName name="________NOP92">#N/A</definedName>
    <definedName name="________OAF1" localSheetId="0">#REF!</definedName>
    <definedName name="________OAF1">#REF!</definedName>
    <definedName name="________OKT92">#N/A</definedName>
    <definedName name="________RIP2" localSheetId="0" hidden="1">{#N/A,#N/A,FALSE,"M.01"}</definedName>
    <definedName name="________RIP2" hidden="1">{#N/A,#N/A,FALSE,"M.01"}</definedName>
    <definedName name="________RIP3" localSheetId="0" hidden="1">{#N/A,#N/A,FALSE,"M.41"}</definedName>
    <definedName name="________RIP3" hidden="1">{#N/A,#N/A,FALSE,"M.41"}</definedName>
    <definedName name="________RMS1" localSheetId="0">#REF!</definedName>
    <definedName name="________RMS1">#REF!</definedName>
    <definedName name="________RMS2" localSheetId="0">#REF!</definedName>
    <definedName name="________RMS2">#REF!</definedName>
    <definedName name="________RMS3" localSheetId="0">#REF!</definedName>
    <definedName name="________RMS3">#REF!</definedName>
    <definedName name="________RMS4" localSheetId="0">#REF!</definedName>
    <definedName name="________RMS4">#REF!</definedName>
    <definedName name="________SEP92">#N/A</definedName>
    <definedName name="________SLA2009" localSheetId="0" hidden="1">{#N/A,#N/A,FALSE,"M.32"}</definedName>
    <definedName name="________SLA2009" hidden="1">{#N/A,#N/A,FALSE,"M.32"}</definedName>
    <definedName name="________SN3" localSheetId="0">#REF!</definedName>
    <definedName name="________SN3">#REF!</definedName>
    <definedName name="________TH1" localSheetId="0" hidden="1">{#N/A,#N/A,FALSE,"M.34"}</definedName>
    <definedName name="________TH1" hidden="1">{#N/A,#N/A,FALSE,"M.34"}</definedName>
    <definedName name="________th100" localSheetId="0">'[4]dongia (2)'!#REF!</definedName>
    <definedName name="________th100">'[4]dongia (2)'!#REF!</definedName>
    <definedName name="________TH160" localSheetId="0">'[4]dongia (2)'!#REF!</definedName>
    <definedName name="________TH160">'[4]dongia (2)'!#REF!</definedName>
    <definedName name="________th2" localSheetId="0" hidden="1">{#N/A,#N/A,FALSE,"M.42"}</definedName>
    <definedName name="________th2" hidden="1">{#N/A,#N/A,FALSE,"M.42"}</definedName>
    <definedName name="________TL3" localSheetId="0">#REF!</definedName>
    <definedName name="________TL3">#REF!</definedName>
    <definedName name="________TR250" localSheetId="0">'[4]dongia (2)'!#REF!</definedName>
    <definedName name="________TR250">'[4]dongia (2)'!#REF!</definedName>
    <definedName name="________tr375" localSheetId="0">[4]giathanh1!#REF!</definedName>
    <definedName name="________tr375">[4]giathanh1!#REF!</definedName>
    <definedName name="________VL100" localSheetId="0">#REF!</definedName>
    <definedName name="________VL100">#REF!</definedName>
    <definedName name="________VL200" localSheetId="0">#REF!</definedName>
    <definedName name="________VL200">#REF!</definedName>
    <definedName name="________VL250" localSheetId="0">#REF!</definedName>
    <definedName name="________VL250">#REF!</definedName>
    <definedName name="________wil1" localSheetId="0" hidden="1">{#N/A,#N/A,FALSE,"M.01"}</definedName>
    <definedName name="________wil1" hidden="1">{#N/A,#N/A,FALSE,"M.01"}</definedName>
    <definedName name="_______1" localSheetId="0">#REF!</definedName>
    <definedName name="_______1">#REF!</definedName>
    <definedName name="_______abb91" localSheetId="0">[4]chitimc!#REF!</definedName>
    <definedName name="_______abb91">[4]chitimc!#REF!</definedName>
    <definedName name="_______BBM2" localSheetId="0">#REF!</definedName>
    <definedName name="_______BBM2">#REF!</definedName>
    <definedName name="_______col1" localSheetId="0">#REF!</definedName>
    <definedName name="_______col1">#REF!</definedName>
    <definedName name="_______col2" localSheetId="0">#REF!</definedName>
    <definedName name="_______col2">#REF!</definedName>
    <definedName name="_______col3" localSheetId="0">#REF!</definedName>
    <definedName name="_______col3">#REF!</definedName>
    <definedName name="_______col4" localSheetId="0">#REF!</definedName>
    <definedName name="_______col4">#REF!</definedName>
    <definedName name="_______CT250" localSheetId="0">'[4]dongia (2)'!#REF!</definedName>
    <definedName name="_______CT250">'[4]dongia (2)'!#REF!</definedName>
    <definedName name="_______DAF1" localSheetId="0">#REF!</definedName>
    <definedName name="_______DAF1">#REF!</definedName>
    <definedName name="_______DAF11" localSheetId="0">#REF!</definedName>
    <definedName name="_______DAF11">#REF!</definedName>
    <definedName name="_______DAF14" localSheetId="0">#REF!</definedName>
    <definedName name="_______DAF14">#REF!</definedName>
    <definedName name="_______ddn400" localSheetId="0">#REF!</definedName>
    <definedName name="_______ddn400">#REF!</definedName>
    <definedName name="_______ddn600" localSheetId="0">#REF!</definedName>
    <definedName name="_______ddn600">#REF!</definedName>
    <definedName name="_______dgt100" localSheetId="0">'[4]dongia (2)'!#REF!</definedName>
    <definedName name="_______dgt100">'[4]dongia (2)'!#REF!</definedName>
    <definedName name="_______ERR1" localSheetId="0" hidden="1">{#N/A,#N/A,FALSE,"M.42"}</definedName>
    <definedName name="_______ERR1" hidden="1">{#N/A,#N/A,FALSE,"M.42"}</definedName>
    <definedName name="_______GID1">'[4]LKVL-CK-HT-GD1'!$A$4</definedName>
    <definedName name="_______hal1" localSheetId="0">'[5]Form-B-R1'!#REF!</definedName>
    <definedName name="_______hal1">'[5]Form-B-R1'!#REF!</definedName>
    <definedName name="_______hal2" localSheetId="0">'[5]Form-B-R1'!#REF!</definedName>
    <definedName name="_______hal2">'[5]Form-B-R1'!#REF!</definedName>
    <definedName name="_______Hal3" localSheetId="0">#REF!</definedName>
    <definedName name="_______Hal3">#REF!</definedName>
    <definedName name="_______HAL4" localSheetId="0">#REF!</definedName>
    <definedName name="_______HAL4">#REF!</definedName>
    <definedName name="_______JBN3" localSheetId="0" hidden="1">{#N/A,#N/A,FALSE,"M.32"}</definedName>
    <definedName name="_______JBN3" hidden="1">{#N/A,#N/A,FALSE,"M.32"}</definedName>
    <definedName name="_______JML1">'[3]DATA-BASE SUTT'!$L$11:$L$383</definedName>
    <definedName name="_______JML2">'[3]DATA-BASE SUTT'!$O$11:$O$383</definedName>
    <definedName name="_______JML3">'[3]DATA-BASE SUTT'!$R$11:$R$383</definedName>
    <definedName name="_______JUL3" localSheetId="0">#REF!</definedName>
    <definedName name="_______JUL3">#REF!</definedName>
    <definedName name="_______kin3" localSheetId="0" hidden="1">{#N/A,#N/A,FALSE,"M.31"}</definedName>
    <definedName name="_______kin3" hidden="1">{#N/A,#N/A,FALSE,"M.31"}</definedName>
    <definedName name="_______kit2" localSheetId="0" hidden="1">{#N/A,#N/A,FALSE,"M.43"}</definedName>
    <definedName name="_______kit2" hidden="1">{#N/A,#N/A,FALSE,"M.43"}</definedName>
    <definedName name="_______kl09" localSheetId="0" hidden="1">{#N/A,#N/A,FALSE,"M.01"}</definedName>
    <definedName name="_______kl09" hidden="1">{#N/A,#N/A,FALSE,"M.01"}</definedName>
    <definedName name="_______KWH1">'[3]DATA-BASE SUTT'!$M$11:$M$383</definedName>
    <definedName name="_______KWH2">'[3]DATA-BASE SUTT'!$P$11:$P$383</definedName>
    <definedName name="_______KWH3">'[3]DATA-BASE SUTT'!$S$11:$S$383</definedName>
    <definedName name="_______LP2">#N/A</definedName>
    <definedName name="_______MAC12" localSheetId="0">#REF!</definedName>
    <definedName name="_______MAC12">#REF!</definedName>
    <definedName name="_______MAC46" localSheetId="0">#REF!</definedName>
    <definedName name="_______MAC46">#REF!</definedName>
    <definedName name="_______MEI92" localSheetId="0">#REF!</definedName>
    <definedName name="_______MEI92">#REF!</definedName>
    <definedName name="_______NCL100" localSheetId="0">#REF!</definedName>
    <definedName name="_______NCL100">#REF!</definedName>
    <definedName name="_______NCL200" localSheetId="0">#REF!</definedName>
    <definedName name="_______NCL200">#REF!</definedName>
    <definedName name="_______NCL250" localSheetId="0">#REF!</definedName>
    <definedName name="_______NCL250">#REF!</definedName>
    <definedName name="_______nin190" localSheetId="0">#REF!</definedName>
    <definedName name="_______nin190">#REF!</definedName>
    <definedName name="_______NOP92">#N/A</definedName>
    <definedName name="_______OAF1" localSheetId="0">#REF!</definedName>
    <definedName name="_______OAF1">#REF!</definedName>
    <definedName name="_______OKT92">#N/A</definedName>
    <definedName name="_______RIP2" localSheetId="0" hidden="1">{#N/A,#N/A,FALSE,"M.01"}</definedName>
    <definedName name="_______RIP2" hidden="1">{#N/A,#N/A,FALSE,"M.01"}</definedName>
    <definedName name="_______RIP3" localSheetId="0" hidden="1">{#N/A,#N/A,FALSE,"M.41"}</definedName>
    <definedName name="_______RIP3" hidden="1">{#N/A,#N/A,FALSE,"M.41"}</definedName>
    <definedName name="_______RMS1" localSheetId="0">#REF!</definedName>
    <definedName name="_______RMS1">#REF!</definedName>
    <definedName name="_______RMS2" localSheetId="0">#REF!</definedName>
    <definedName name="_______RMS2">#REF!</definedName>
    <definedName name="_______RMS3" localSheetId="0">#REF!</definedName>
    <definedName name="_______RMS3">#REF!</definedName>
    <definedName name="_______RMS4" localSheetId="0">#REF!</definedName>
    <definedName name="_______RMS4">#REF!</definedName>
    <definedName name="_______sc1" localSheetId="0">#REF!</definedName>
    <definedName name="_______sc1">#REF!</definedName>
    <definedName name="_______SC2" localSheetId="0">#REF!</definedName>
    <definedName name="_______SC2">#REF!</definedName>
    <definedName name="_______sc3" localSheetId="0">#REF!</definedName>
    <definedName name="_______sc3">#REF!</definedName>
    <definedName name="_______SEP92">#N/A</definedName>
    <definedName name="_______SLA2009" localSheetId="0" hidden="1">{#N/A,#N/A,FALSE,"M.32"}</definedName>
    <definedName name="_______SLA2009" hidden="1">{#N/A,#N/A,FALSE,"M.32"}</definedName>
    <definedName name="_______SN3" localSheetId="0">#REF!</definedName>
    <definedName name="_______SN3">#REF!</definedName>
    <definedName name="_______TH1" localSheetId="0" hidden="1">{#N/A,#N/A,FALSE,"M.34"}</definedName>
    <definedName name="_______TH1" hidden="1">{#N/A,#N/A,FALSE,"M.34"}</definedName>
    <definedName name="_______th100" localSheetId="0">'[4]dongia (2)'!#REF!</definedName>
    <definedName name="_______th100">'[4]dongia (2)'!#REF!</definedName>
    <definedName name="_______TH160" localSheetId="0">'[4]dongia (2)'!#REF!</definedName>
    <definedName name="_______TH160">'[4]dongia (2)'!#REF!</definedName>
    <definedName name="_______th2" localSheetId="0" hidden="1">{#N/A,#N/A,FALSE,"M.42"}</definedName>
    <definedName name="_______th2" hidden="1">{#N/A,#N/A,FALSE,"M.42"}</definedName>
    <definedName name="_______TL1" localSheetId="0">#REF!</definedName>
    <definedName name="_______TL1">#REF!</definedName>
    <definedName name="_______TL2" localSheetId="0">#REF!</definedName>
    <definedName name="_______TL2">#REF!</definedName>
    <definedName name="_______TL3" localSheetId="0">#REF!</definedName>
    <definedName name="_______TL3">#REF!</definedName>
    <definedName name="_______TLA120" localSheetId="0">#REF!</definedName>
    <definedName name="_______TLA120">#REF!</definedName>
    <definedName name="_______TLA35" localSheetId="0">#REF!</definedName>
    <definedName name="_______TLA35">#REF!</definedName>
    <definedName name="_______TLA50" localSheetId="0">#REF!</definedName>
    <definedName name="_______TLA50">#REF!</definedName>
    <definedName name="_______TLA70" localSheetId="0">#REF!</definedName>
    <definedName name="_______TLA70">#REF!</definedName>
    <definedName name="_______TLA95" localSheetId="0">#REF!</definedName>
    <definedName name="_______TLA95">#REF!</definedName>
    <definedName name="_______TR250" localSheetId="0">'[4]dongia (2)'!#REF!</definedName>
    <definedName name="_______TR250">'[4]dongia (2)'!#REF!</definedName>
    <definedName name="_______tr375" localSheetId="0">[4]giathanh1!#REF!</definedName>
    <definedName name="_______tr375">[4]giathanh1!#REF!</definedName>
    <definedName name="_______TW1" localSheetId="0">#REF!</definedName>
    <definedName name="_______TW1">#REF!</definedName>
    <definedName name="_______TW2" localSheetId="0">#REF!</definedName>
    <definedName name="_______TW2">#REF!</definedName>
    <definedName name="_______VL100" localSheetId="0">#REF!</definedName>
    <definedName name="_______VL100">#REF!</definedName>
    <definedName name="_______VL200" localSheetId="0">#REF!</definedName>
    <definedName name="_______VL200">#REF!</definedName>
    <definedName name="_______VL250" localSheetId="0">#REF!</definedName>
    <definedName name="_______VL250">#REF!</definedName>
    <definedName name="_______wil1" localSheetId="0" hidden="1">{#N/A,#N/A,FALSE,"M.01"}</definedName>
    <definedName name="_______wil1" hidden="1">{#N/A,#N/A,FALSE,"M.01"}</definedName>
    <definedName name="______1" localSheetId="0">#REF!</definedName>
    <definedName name="______1">#REF!</definedName>
    <definedName name="______abb91" localSheetId="0">[4]chitimc!#REF!</definedName>
    <definedName name="______abb91">[4]chitimc!#REF!</definedName>
    <definedName name="______BBM2" localSheetId="0">#REF!</definedName>
    <definedName name="______BBM2">#REF!</definedName>
    <definedName name="______CT250" localSheetId="0">'[4]dongia (2)'!#REF!</definedName>
    <definedName name="______CT250">'[4]dongia (2)'!#REF!</definedName>
    <definedName name="______DAF1" localSheetId="0">#REF!</definedName>
    <definedName name="______DAF1">#REF!</definedName>
    <definedName name="______DAF11" localSheetId="0">#REF!</definedName>
    <definedName name="______DAF11">#REF!</definedName>
    <definedName name="______DAF12" localSheetId="0">#REF!</definedName>
    <definedName name="______DAF12">#REF!</definedName>
    <definedName name="______DAF13" localSheetId="0">#REF!</definedName>
    <definedName name="______DAF13">#REF!</definedName>
    <definedName name="______daf133" localSheetId="0">#REF!</definedName>
    <definedName name="______daf133">#REF!</definedName>
    <definedName name="______DAF14" localSheetId="0">#REF!</definedName>
    <definedName name="______DAF14">#REF!</definedName>
    <definedName name="______DAF15" localSheetId="0">#REF!</definedName>
    <definedName name="______DAF15">#REF!</definedName>
    <definedName name="______DAF16" localSheetId="0">#REF!</definedName>
    <definedName name="______DAF16">#REF!</definedName>
    <definedName name="______DAF17" localSheetId="0">#REF!</definedName>
    <definedName name="______DAF17">#REF!</definedName>
    <definedName name="______DAF2" localSheetId="0">#REF!</definedName>
    <definedName name="______DAF2">#REF!</definedName>
    <definedName name="______DAF3" localSheetId="0">#REF!</definedName>
    <definedName name="______DAF3">#REF!</definedName>
    <definedName name="______ddn400" localSheetId="0">#REF!</definedName>
    <definedName name="______ddn400">#REF!</definedName>
    <definedName name="______ddn600" localSheetId="0">#REF!</definedName>
    <definedName name="______ddn600">#REF!</definedName>
    <definedName name="______dgt100" localSheetId="0">'[4]dongia (2)'!#REF!</definedName>
    <definedName name="______dgt100">'[4]dongia (2)'!#REF!</definedName>
    <definedName name="______DMA7">[6]sept!$I$68</definedName>
    <definedName name="______ERR1" localSheetId="0" hidden="1">{#N/A,#N/A,FALSE,"M.42"}</definedName>
    <definedName name="______ERR1" hidden="1">{#N/A,#N/A,FALSE,"M.42"}</definedName>
    <definedName name="______GID1">'[4]LKVL-CK-HT-GD1'!$A$4</definedName>
    <definedName name="______Hal1" localSheetId="0">#REF!</definedName>
    <definedName name="______Hal1">#REF!</definedName>
    <definedName name="______Hal2" localSheetId="0">#REF!</definedName>
    <definedName name="______Hal2">#REF!</definedName>
    <definedName name="______Hal3" localSheetId="0">#REF!</definedName>
    <definedName name="______Hal3">#REF!</definedName>
    <definedName name="______HAL4" localSheetId="0">#REF!</definedName>
    <definedName name="______HAL4">#REF!</definedName>
    <definedName name="______JBN3" localSheetId="0" hidden="1">{#N/A,#N/A,FALSE,"M.32"}</definedName>
    <definedName name="______JBN3" hidden="1">{#N/A,#N/A,FALSE,"M.32"}</definedName>
    <definedName name="______JML1">'[3]DATA-BASE SUTT'!$L$11:$L$383</definedName>
    <definedName name="______JML2">'[3]DATA-BASE SUTT'!$O$11:$O$383</definedName>
    <definedName name="______JML3">'[3]DATA-BASE SUTT'!$R$11:$R$383</definedName>
    <definedName name="______JUL3" localSheetId="0">#REF!</definedName>
    <definedName name="______JUL3">#REF!</definedName>
    <definedName name="______kin3" localSheetId="0" hidden="1">{#N/A,#N/A,FALSE,"M.31"}</definedName>
    <definedName name="______kin3" hidden="1">{#N/A,#N/A,FALSE,"M.31"}</definedName>
    <definedName name="______kit2" localSheetId="0" hidden="1">{#N/A,#N/A,FALSE,"M.43"}</definedName>
    <definedName name="______kit2" hidden="1">{#N/A,#N/A,FALSE,"M.43"}</definedName>
    <definedName name="______kl09" localSheetId="0" hidden="1">{#N/A,#N/A,FALSE,"M.01"}</definedName>
    <definedName name="______kl09" hidden="1">{#N/A,#N/A,FALSE,"M.01"}</definedName>
    <definedName name="______KWH1">'[3]DATA-BASE SUTT'!$M$11:$M$383</definedName>
    <definedName name="______KWH2">'[3]DATA-BASE SUTT'!$P$11:$P$383</definedName>
    <definedName name="______KWH3">'[3]DATA-BASE SUTT'!$S$11:$S$383</definedName>
    <definedName name="______LP2">#N/A</definedName>
    <definedName name="______M2" localSheetId="0" hidden="1">{#N/A,#N/A,FALSE,"M.42"}</definedName>
    <definedName name="______M2" hidden="1">{#N/A,#N/A,FALSE,"M.42"}</definedName>
    <definedName name="______MAC12" localSheetId="0">#REF!</definedName>
    <definedName name="______MAC12">#REF!</definedName>
    <definedName name="______MAC46" localSheetId="0">#REF!</definedName>
    <definedName name="______MAC46">#REF!</definedName>
    <definedName name="______MEI92" localSheetId="0">#REF!</definedName>
    <definedName name="______MEI92">#REF!</definedName>
    <definedName name="______NCL100" localSheetId="0">#REF!</definedName>
    <definedName name="______NCL100">#REF!</definedName>
    <definedName name="______NCL200" localSheetId="0">#REF!</definedName>
    <definedName name="______NCL200">#REF!</definedName>
    <definedName name="______NCL250" localSheetId="0">#REF!</definedName>
    <definedName name="______NCL250">#REF!</definedName>
    <definedName name="______nin190" localSheetId="0">#REF!</definedName>
    <definedName name="______nin190">#REF!</definedName>
    <definedName name="______NOP92">#N/A</definedName>
    <definedName name="______OAF1" localSheetId="0">#REF!</definedName>
    <definedName name="______OAF1">#REF!</definedName>
    <definedName name="______OKT92">#N/A</definedName>
    <definedName name="______RAO207" localSheetId="0" hidden="1">{#N/A,#N/A,FALSE,"M.42"}</definedName>
    <definedName name="______RAO207" hidden="1">{#N/A,#N/A,FALSE,"M.42"}</definedName>
    <definedName name="______RIP2" localSheetId="0" hidden="1">{#N/A,#N/A,FALSE,"M.01"}</definedName>
    <definedName name="______RIP2" hidden="1">{#N/A,#N/A,FALSE,"M.01"}</definedName>
    <definedName name="______RIP3" localSheetId="0" hidden="1">{#N/A,#N/A,FALSE,"M.41"}</definedName>
    <definedName name="______RIP3" hidden="1">{#N/A,#N/A,FALSE,"M.41"}</definedName>
    <definedName name="______RMS1" localSheetId="0">#REF!</definedName>
    <definedName name="______RMS1">#REF!</definedName>
    <definedName name="______RMS2" localSheetId="0">#REF!</definedName>
    <definedName name="______RMS2">#REF!</definedName>
    <definedName name="______RMS3" localSheetId="0">#REF!</definedName>
    <definedName name="______RMS3">#REF!</definedName>
    <definedName name="______RMS4" localSheetId="0">#REF!</definedName>
    <definedName name="______RMS4">#REF!</definedName>
    <definedName name="______sc1" localSheetId="0">#REF!</definedName>
    <definedName name="______sc1">#REF!</definedName>
    <definedName name="______SC2" localSheetId="0">#REF!</definedName>
    <definedName name="______SC2">#REF!</definedName>
    <definedName name="______sc3" localSheetId="0">#REF!</definedName>
    <definedName name="______sc3">#REF!</definedName>
    <definedName name="______SEP92">#N/A</definedName>
    <definedName name="______SLA2009" localSheetId="0" hidden="1">{#N/A,#N/A,FALSE,"M.32"}</definedName>
    <definedName name="______SLA2009" hidden="1">{#N/A,#N/A,FALSE,"M.32"}</definedName>
    <definedName name="______SN3" localSheetId="0">#REF!</definedName>
    <definedName name="______SN3">#REF!</definedName>
    <definedName name="______TH1" localSheetId="0" hidden="1">{#N/A,#N/A,FALSE,"M.34"}</definedName>
    <definedName name="______TH1" hidden="1">{#N/A,#N/A,FALSE,"M.34"}</definedName>
    <definedName name="______th100" localSheetId="0">'[4]dongia (2)'!#REF!</definedName>
    <definedName name="______th100">'[4]dongia (2)'!#REF!</definedName>
    <definedName name="______TH160" localSheetId="0">'[4]dongia (2)'!#REF!</definedName>
    <definedName name="______TH160">'[4]dongia (2)'!#REF!</definedName>
    <definedName name="______th2" localSheetId="0" hidden="1">{#N/A,#N/A,FALSE,"M.42"}</definedName>
    <definedName name="______th2" hidden="1">{#N/A,#N/A,FALSE,"M.42"}</definedName>
    <definedName name="______TL1" localSheetId="0">#REF!</definedName>
    <definedName name="______TL1">#REF!</definedName>
    <definedName name="______TL2" localSheetId="0">#REF!</definedName>
    <definedName name="______TL2">#REF!</definedName>
    <definedName name="______TL3" localSheetId="0">#REF!</definedName>
    <definedName name="______TL3">#REF!</definedName>
    <definedName name="______TLA120" localSheetId="0">#REF!</definedName>
    <definedName name="______TLA120">#REF!</definedName>
    <definedName name="______TLA35" localSheetId="0">#REF!</definedName>
    <definedName name="______TLA35">#REF!</definedName>
    <definedName name="______TLA50" localSheetId="0">#REF!</definedName>
    <definedName name="______TLA50">#REF!</definedName>
    <definedName name="______TLA70" localSheetId="0">#REF!</definedName>
    <definedName name="______TLA70">#REF!</definedName>
    <definedName name="______TLA95" localSheetId="0">#REF!</definedName>
    <definedName name="______TLA95">#REF!</definedName>
    <definedName name="______TR250" localSheetId="0">'[4]dongia (2)'!#REF!</definedName>
    <definedName name="______TR250">'[4]dongia (2)'!#REF!</definedName>
    <definedName name="______tr375" localSheetId="0">[4]giathanh1!#REF!</definedName>
    <definedName name="______tr375">[4]giathanh1!#REF!</definedName>
    <definedName name="______TW1" localSheetId="0">#REF!</definedName>
    <definedName name="______TW1">#REF!</definedName>
    <definedName name="______TW2" localSheetId="0">#REF!</definedName>
    <definedName name="______TW2">#REF!</definedName>
    <definedName name="______VL100" localSheetId="0">#REF!</definedName>
    <definedName name="______VL100">#REF!</definedName>
    <definedName name="______VL200" localSheetId="0">#REF!</definedName>
    <definedName name="______VL200">#REF!</definedName>
    <definedName name="______VL250" localSheetId="0">#REF!</definedName>
    <definedName name="______VL250">#REF!</definedName>
    <definedName name="______wil1" localSheetId="0" hidden="1">{#N/A,#N/A,FALSE,"M.01"}</definedName>
    <definedName name="______wil1" hidden="1">{#N/A,#N/A,FALSE,"M.01"}</definedName>
    <definedName name="_____1" localSheetId="0">#REF!</definedName>
    <definedName name="_____1">#REF!</definedName>
    <definedName name="_____abb91" localSheetId="0">[4]chitimc!#REF!</definedName>
    <definedName name="_____abb91">[4]chitimc!#REF!</definedName>
    <definedName name="_____BAT48100">'[7]HARGA SATUAN'!$B$13</definedName>
    <definedName name="_____BBM2" localSheetId="0">#REF!</definedName>
    <definedName name="_____BBM2">#REF!</definedName>
    <definedName name="_____col1" localSheetId="0">#REF!</definedName>
    <definedName name="_____col1">#REF!</definedName>
    <definedName name="_____col2" localSheetId="0">#REF!</definedName>
    <definedName name="_____col2">#REF!</definedName>
    <definedName name="_____col3" localSheetId="0">#REF!</definedName>
    <definedName name="_____col3">#REF!</definedName>
    <definedName name="_____col4" localSheetId="0">#REF!</definedName>
    <definedName name="_____col4">#REF!</definedName>
    <definedName name="_____CT250" localSheetId="0">'[4]dongia (2)'!#REF!</definedName>
    <definedName name="_____CT250">'[4]dongia (2)'!#REF!</definedName>
    <definedName name="_____DAF1" localSheetId="0">#REF!</definedName>
    <definedName name="_____DAF1">#REF!</definedName>
    <definedName name="_____DAF11" localSheetId="0">#REF!</definedName>
    <definedName name="_____DAF11">#REF!</definedName>
    <definedName name="_____DAF12" localSheetId="0">#REF!</definedName>
    <definedName name="_____DAF12">#REF!</definedName>
    <definedName name="_____DAF13" localSheetId="0">#REF!</definedName>
    <definedName name="_____DAF13">#REF!</definedName>
    <definedName name="_____daf133" localSheetId="0">#REF!</definedName>
    <definedName name="_____daf133">#REF!</definedName>
    <definedName name="_____DAF14" localSheetId="0">#REF!</definedName>
    <definedName name="_____DAF14">#REF!</definedName>
    <definedName name="_____DAF15" localSheetId="0">#REF!</definedName>
    <definedName name="_____DAF15">#REF!</definedName>
    <definedName name="_____DAF16" localSheetId="0">#REF!</definedName>
    <definedName name="_____DAF16">#REF!</definedName>
    <definedName name="_____DAF17" localSheetId="0">#REF!</definedName>
    <definedName name="_____DAF17">#REF!</definedName>
    <definedName name="_____DAF2" localSheetId="0">#REF!</definedName>
    <definedName name="_____DAF2">#REF!</definedName>
    <definedName name="_____DAF3" localSheetId="0">#REF!</definedName>
    <definedName name="_____DAF3">#REF!</definedName>
    <definedName name="_____ddn400" localSheetId="0">#REF!</definedName>
    <definedName name="_____ddn400">#REF!</definedName>
    <definedName name="_____ddn600" localSheetId="0">#REF!</definedName>
    <definedName name="_____ddn600">#REF!</definedName>
    <definedName name="_____dgt100" localSheetId="0">'[4]dongia (2)'!#REF!</definedName>
    <definedName name="_____dgt100">'[4]dongia (2)'!#REF!</definedName>
    <definedName name="_____DIV11" localSheetId="0">'[8]Kuantitas &amp; Harga'!#REF!</definedName>
    <definedName name="_____DIV11">'[8]Kuantitas &amp; Harga'!#REF!</definedName>
    <definedName name="_____ERR1" localSheetId="0" hidden="1">{#N/A,#N/A,FALSE,"M.42"}</definedName>
    <definedName name="_____ERR1" hidden="1">{#N/A,#N/A,FALSE,"M.42"}</definedName>
    <definedName name="_____GID1">'[4]LKVL-CK-HT-GD1'!$A$4</definedName>
    <definedName name="_____hal1" localSheetId="0">#REF!</definedName>
    <definedName name="_____hal1">#REF!</definedName>
    <definedName name="_____hal2" localSheetId="0">#REF!</definedName>
    <definedName name="_____hal2">#REF!</definedName>
    <definedName name="_____hal3" localSheetId="0">#REF!</definedName>
    <definedName name="_____hal3">#REF!</definedName>
    <definedName name="_____hal4" localSheetId="0">#REF!</definedName>
    <definedName name="_____hal4">#REF!</definedName>
    <definedName name="_____hal5" localSheetId="0">#REF!</definedName>
    <definedName name="_____hal5">#REF!</definedName>
    <definedName name="_____hal6" localSheetId="0">#REF!</definedName>
    <definedName name="_____hal6">#REF!</definedName>
    <definedName name="_____JBN3" localSheetId="0" hidden="1">{#N/A,#N/A,FALSE,"M.32"}</definedName>
    <definedName name="_____JBN3" hidden="1">{#N/A,#N/A,FALSE,"M.32"}</definedName>
    <definedName name="_____JML1">'[3]DATA-BASE SUTT'!$L$11:$L$383</definedName>
    <definedName name="_____JML2">'[3]DATA-BASE SUTT'!$O$11:$O$383</definedName>
    <definedName name="_____JML3">'[3]DATA-BASE SUTT'!$R$11:$R$383</definedName>
    <definedName name="_____JUL3" localSheetId="0">#REF!</definedName>
    <definedName name="_____JUL3">#REF!</definedName>
    <definedName name="_____kb1" localSheetId="0">[9]ca!#REF!</definedName>
    <definedName name="_____kb1">[9]ca!#REF!</definedName>
    <definedName name="_____kb2" localSheetId="0">[9]ca!#REF!</definedName>
    <definedName name="_____kb2">[9]ca!#REF!</definedName>
    <definedName name="_____kin3" localSheetId="0" hidden="1">{#N/A,#N/A,FALSE,"M.31"}</definedName>
    <definedName name="_____kin3" hidden="1">{#N/A,#N/A,FALSE,"M.31"}</definedName>
    <definedName name="_____kit2" localSheetId="0" hidden="1">{#N/A,#N/A,FALSE,"M.43"}</definedName>
    <definedName name="_____kit2" hidden="1">{#N/A,#N/A,FALSE,"M.43"}</definedName>
    <definedName name="_____kl09" localSheetId="0" hidden="1">{#N/A,#N/A,FALSE,"M.01"}</definedName>
    <definedName name="_____kl09" hidden="1">{#N/A,#N/A,FALSE,"M.01"}</definedName>
    <definedName name="_____kp1" localSheetId="0">[9]ca!#REF!</definedName>
    <definedName name="_____kp1">[9]ca!#REF!</definedName>
    <definedName name="_____KWH1">'[3]DATA-BASE SUTT'!$M$11:$M$383</definedName>
    <definedName name="_____KWH2">'[3]DATA-BASE SUTT'!$P$11:$P$383</definedName>
    <definedName name="_____KWH3">'[3]DATA-BASE SUTT'!$S$11:$S$383</definedName>
    <definedName name="_____la150">'[7]HARGA SATUAN'!$B$25</definedName>
    <definedName name="_____LP2">#N/A</definedName>
    <definedName name="_____M2" localSheetId="0" hidden="1">{#N/A,#N/A,FALSE,"M.42"}</definedName>
    <definedName name="_____M2" hidden="1">{#N/A,#N/A,FALSE,"M.42"}</definedName>
    <definedName name="_____MAC12" localSheetId="0">#REF!</definedName>
    <definedName name="_____MAC12">#REF!</definedName>
    <definedName name="_____MAC46" localSheetId="0">#REF!</definedName>
    <definedName name="_____MAC46">#REF!</definedName>
    <definedName name="_____MEI92" localSheetId="0">#REF!</definedName>
    <definedName name="_____MEI92">#REF!</definedName>
    <definedName name="_____NCL100" localSheetId="0">#REF!</definedName>
    <definedName name="_____NCL100">#REF!</definedName>
    <definedName name="_____NCL200" localSheetId="0">#REF!</definedName>
    <definedName name="_____NCL200">#REF!</definedName>
    <definedName name="_____NCL250" localSheetId="0">#REF!</definedName>
    <definedName name="_____NCL250">#REF!</definedName>
    <definedName name="_____nin190" localSheetId="0">#REF!</definedName>
    <definedName name="_____nin190">#REF!</definedName>
    <definedName name="_____NOP92">#N/A</definedName>
    <definedName name="_____npv1" localSheetId="0">#REF!</definedName>
    <definedName name="_____npv1">#REF!</definedName>
    <definedName name="_____npv2" localSheetId="0">#REF!</definedName>
    <definedName name="_____npv2">#REF!</definedName>
    <definedName name="_____OAF1" localSheetId="0">#REF!</definedName>
    <definedName name="_____OAF1">#REF!</definedName>
    <definedName name="_____OKT92">#N/A</definedName>
    <definedName name="_____pmt7040">'[7]HARGA SATUAN'!$B$8</definedName>
    <definedName name="_____rab1" localSheetId="0">#REF!</definedName>
    <definedName name="_____rab1">#REF!</definedName>
    <definedName name="_____rab2" localSheetId="0">#REF!</definedName>
    <definedName name="_____rab2">#REF!</definedName>
    <definedName name="_____RIP2" localSheetId="0" hidden="1">{#N/A,#N/A,FALSE,"M.01"}</definedName>
    <definedName name="_____RIP2" hidden="1">{#N/A,#N/A,FALSE,"M.01"}</definedName>
    <definedName name="_____RIP3" localSheetId="0" hidden="1">{#N/A,#N/A,FALSE,"M.41"}</definedName>
    <definedName name="_____RIP3" hidden="1">{#N/A,#N/A,FALSE,"M.41"}</definedName>
    <definedName name="_____RMS1" localSheetId="0">#REF!</definedName>
    <definedName name="_____RMS1">#REF!</definedName>
    <definedName name="_____RMS2" localSheetId="0">#REF!</definedName>
    <definedName name="_____RMS2">#REF!</definedName>
    <definedName name="_____RMS3" localSheetId="0">#REF!</definedName>
    <definedName name="_____RMS3">#REF!</definedName>
    <definedName name="_____RMS4" localSheetId="0">#REF!</definedName>
    <definedName name="_____RMS4">#REF!</definedName>
    <definedName name="_____sc1" localSheetId="0">#REF!</definedName>
    <definedName name="_____sc1">#REF!</definedName>
    <definedName name="_____SC2" localSheetId="0">#REF!</definedName>
    <definedName name="_____SC2">#REF!</definedName>
    <definedName name="_____sc3" localSheetId="0">#REF!</definedName>
    <definedName name="_____sc3">#REF!</definedName>
    <definedName name="_____sem1" localSheetId="0">#REF!</definedName>
    <definedName name="_____sem1">#REF!</definedName>
    <definedName name="_____SEP92">#N/A</definedName>
    <definedName name="_____SLA2009" localSheetId="0" hidden="1">{#N/A,#N/A,FALSE,"M.32"}</definedName>
    <definedName name="_____SLA2009" hidden="1">{#N/A,#N/A,FALSE,"M.32"}</definedName>
    <definedName name="_____sm1" localSheetId="0">#REF!</definedName>
    <definedName name="_____sm1">#REF!</definedName>
    <definedName name="_____SN3" localSheetId="0">#REF!</definedName>
    <definedName name="_____SN3">#REF!</definedName>
    <definedName name="_____Tab1" localSheetId="0">#REF!</definedName>
    <definedName name="_____Tab1">#REF!</definedName>
    <definedName name="_____Tab2" localSheetId="0">#REF!</definedName>
    <definedName name="_____Tab2">#REF!</definedName>
    <definedName name="_____Tab3" localSheetId="0">#REF!</definedName>
    <definedName name="_____Tab3">#REF!</definedName>
    <definedName name="_____TH1" localSheetId="0" hidden="1">{#N/A,#N/A,FALSE,"M.34"}</definedName>
    <definedName name="_____TH1" hidden="1">{#N/A,#N/A,FALSE,"M.34"}</definedName>
    <definedName name="_____th100" localSheetId="0">'[4]dongia (2)'!#REF!</definedName>
    <definedName name="_____th100">'[4]dongia (2)'!#REF!</definedName>
    <definedName name="_____TH160" localSheetId="0">'[4]dongia (2)'!#REF!</definedName>
    <definedName name="_____TH160">'[4]dongia (2)'!#REF!</definedName>
    <definedName name="_____th2" localSheetId="0" hidden="1">{#N/A,#N/A,FALSE,"M.42"}</definedName>
    <definedName name="_____th2" hidden="1">{#N/A,#N/A,FALSE,"M.42"}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TL3" localSheetId="0">#REF!</definedName>
    <definedName name="_____TL3">#REF!</definedName>
    <definedName name="_____TLA120" localSheetId="0">#REF!</definedName>
    <definedName name="_____TLA120">#REF!</definedName>
    <definedName name="_____TLA35" localSheetId="0">#REF!</definedName>
    <definedName name="_____TLA35">#REF!</definedName>
    <definedName name="_____TLA50" localSheetId="0">#REF!</definedName>
    <definedName name="_____TLA50">#REF!</definedName>
    <definedName name="_____TLA70" localSheetId="0">#REF!</definedName>
    <definedName name="_____TLA70">#REF!</definedName>
    <definedName name="_____TLA95" localSheetId="0">#REF!</definedName>
    <definedName name="_____TLA95">#REF!</definedName>
    <definedName name="_____TR250" localSheetId="0">'[4]dongia (2)'!#REF!</definedName>
    <definedName name="_____TR250">'[4]dongia (2)'!#REF!</definedName>
    <definedName name="_____tr375" localSheetId="0">[4]giathanh1!#REF!</definedName>
    <definedName name="_____tr375">[4]giathanh1!#REF!</definedName>
    <definedName name="_____trw1" localSheetId="0">#REF!</definedName>
    <definedName name="_____trw1">#REF!</definedName>
    <definedName name="_____trw2" localSheetId="0">#REF!</definedName>
    <definedName name="_____trw2">#REF!</definedName>
    <definedName name="_____trw3" localSheetId="0">#REF!</definedName>
    <definedName name="_____trw3">#REF!</definedName>
    <definedName name="_____TW1" localSheetId="0">#REF!</definedName>
    <definedName name="_____TW1">#REF!</definedName>
    <definedName name="_____TW2" localSheetId="0">#REF!</definedName>
    <definedName name="_____TW2">#REF!</definedName>
    <definedName name="_____VL100" localSheetId="0">#REF!</definedName>
    <definedName name="_____VL100">#REF!</definedName>
    <definedName name="_____VL200" localSheetId="0">#REF!</definedName>
    <definedName name="_____VL200">#REF!</definedName>
    <definedName name="_____VL250" localSheetId="0">#REF!</definedName>
    <definedName name="_____VL250">#REF!</definedName>
    <definedName name="_____wil1" localSheetId="0" hidden="1">{#N/A,#N/A,FALSE,"M.01"}</definedName>
    <definedName name="_____wil1" hidden="1">{#N/A,#N/A,FALSE,"M.01"}</definedName>
    <definedName name="____\A">#REF!</definedName>
    <definedName name="____1" localSheetId="0">#REF!</definedName>
    <definedName name="____1">#REF!</definedName>
    <definedName name="____1_2002_VS_2001" localSheetId="0">#REF!</definedName>
    <definedName name="____1_2002_VS_2001">#REF!</definedName>
    <definedName name="____abb91" localSheetId="0">[4]chitimc!#REF!</definedName>
    <definedName name="____abb91">[4]chitimc!#REF!</definedName>
    <definedName name="____BAT48100">'[7]HARGA SATUAN'!$B$13</definedName>
    <definedName name="____BBM2" localSheetId="0">#REF!</definedName>
    <definedName name="____BBM2">#REF!</definedName>
    <definedName name="____col1" localSheetId="0">#REF!</definedName>
    <definedName name="____col1">#REF!</definedName>
    <definedName name="____col2" localSheetId="0">#REF!</definedName>
    <definedName name="____col2">#REF!</definedName>
    <definedName name="____col3" localSheetId="0">#REF!</definedName>
    <definedName name="____col3">#REF!</definedName>
    <definedName name="____col4" localSheetId="0">#REF!</definedName>
    <definedName name="____col4">#REF!</definedName>
    <definedName name="____CT250" localSheetId="0">'[4]dongia (2)'!#REF!</definedName>
    <definedName name="____CT250">'[4]dongia (2)'!#REF!</definedName>
    <definedName name="____DAF1" localSheetId="0">#REF!</definedName>
    <definedName name="____DAF1">#REF!</definedName>
    <definedName name="____DAF11" localSheetId="0">#REF!</definedName>
    <definedName name="____DAF11">#REF!</definedName>
    <definedName name="____DAF12" localSheetId="0">#REF!</definedName>
    <definedName name="____DAF12">#REF!</definedName>
    <definedName name="____DAF13" localSheetId="0">#REF!</definedName>
    <definedName name="____DAF13">#REF!</definedName>
    <definedName name="____daf133" localSheetId="0">#REF!</definedName>
    <definedName name="____daf133">#REF!</definedName>
    <definedName name="____DAF14" localSheetId="0">#REF!</definedName>
    <definedName name="____DAF14">#REF!</definedName>
    <definedName name="____DAF15" localSheetId="0">#REF!</definedName>
    <definedName name="____DAF15">#REF!</definedName>
    <definedName name="____DAF16" localSheetId="0">#REF!</definedName>
    <definedName name="____DAF16">#REF!</definedName>
    <definedName name="____DAF17" localSheetId="0">#REF!</definedName>
    <definedName name="____DAF17">#REF!</definedName>
    <definedName name="____DAF2" localSheetId="0">#REF!</definedName>
    <definedName name="____DAF2">#REF!</definedName>
    <definedName name="____DAF3" localSheetId="0">#REF!</definedName>
    <definedName name="____DAF3">#REF!</definedName>
    <definedName name="____ddn400" localSheetId="0">#REF!</definedName>
    <definedName name="____ddn400">#REF!</definedName>
    <definedName name="____ddn600" localSheetId="0">#REF!</definedName>
    <definedName name="____ddn600">#REF!</definedName>
    <definedName name="____dgt100" localSheetId="0">'[4]dongia (2)'!#REF!</definedName>
    <definedName name="____dgt100">'[4]dongia (2)'!#REF!</definedName>
    <definedName name="____DIV11" localSheetId="0">'[8]Kuantitas &amp; Harga'!#REF!</definedName>
    <definedName name="____DIV11">'[8]Kuantitas &amp; Harga'!#REF!</definedName>
    <definedName name="____ERR1" localSheetId="0" hidden="1">{#N/A,#N/A,FALSE,"M.42"}</definedName>
    <definedName name="____ERR1" hidden="1">{#N/A,#N/A,FALSE,"M.42"}</definedName>
    <definedName name="____GID1">'[4]LKVL-CK-HT-GD1'!$A$4</definedName>
    <definedName name="____hal1" localSheetId="0">#REF!</definedName>
    <definedName name="____hal1">#REF!</definedName>
    <definedName name="____hal2" localSheetId="0">#REF!</definedName>
    <definedName name="____hal2">#REF!</definedName>
    <definedName name="____hal3" localSheetId="0">#REF!</definedName>
    <definedName name="____hal3">#REF!</definedName>
    <definedName name="____hal4" localSheetId="0">#REF!</definedName>
    <definedName name="____hal4">#REF!</definedName>
    <definedName name="____hal5" localSheetId="0">#REF!</definedName>
    <definedName name="____hal5">#REF!</definedName>
    <definedName name="____hal6" localSheetId="0">#REF!</definedName>
    <definedName name="____hal6">#REF!</definedName>
    <definedName name="____HLM1" localSheetId="0">#REF!</definedName>
    <definedName name="____HLM1">#REF!</definedName>
    <definedName name="____HLM2" localSheetId="0">#REF!</definedName>
    <definedName name="____HLM2">#REF!</definedName>
    <definedName name="____HLM3" localSheetId="0">#REF!</definedName>
    <definedName name="____HLM3">#REF!</definedName>
    <definedName name="____JBN3" localSheetId="0" hidden="1">{#N/A,#N/A,FALSE,"M.32"}</definedName>
    <definedName name="____JBN3" hidden="1">{#N/A,#N/A,FALSE,"M.32"}</definedName>
    <definedName name="____JML1">'[3]DATA-BASE SUTT'!$L$11:$L$383</definedName>
    <definedName name="____JML2">'[3]DATA-BASE SUTT'!$O$11:$O$383</definedName>
    <definedName name="____JML3">'[3]DATA-BASE SUTT'!$R$11:$R$383</definedName>
    <definedName name="____JUD1" localSheetId="0">#REF!</definedName>
    <definedName name="____JUD1">#REF!</definedName>
    <definedName name="____JUD2" localSheetId="0">#REF!</definedName>
    <definedName name="____JUD2">#REF!</definedName>
    <definedName name="____JUD3" localSheetId="0">#REF!</definedName>
    <definedName name="____JUD3">#REF!</definedName>
    <definedName name="____JUD4" localSheetId="0">#REF!</definedName>
    <definedName name="____JUD4">#REF!</definedName>
    <definedName name="____JUD5" localSheetId="0">#REF!</definedName>
    <definedName name="____JUD5">#REF!</definedName>
    <definedName name="____JUD6" localSheetId="0">#REF!</definedName>
    <definedName name="____JUD6">#REF!</definedName>
    <definedName name="____JUD7" localSheetId="0">#REF!</definedName>
    <definedName name="____JUD7">#REF!</definedName>
    <definedName name="____JUL3" localSheetId="0">#REF!</definedName>
    <definedName name="____JUL3">#REF!</definedName>
    <definedName name="____kb1" localSheetId="0">[9]ca!#REF!</definedName>
    <definedName name="____kb1">[9]ca!#REF!</definedName>
    <definedName name="____kb2" localSheetId="0">[9]ca!#REF!</definedName>
    <definedName name="____kb2">[9]ca!#REF!</definedName>
    <definedName name="____kin3" localSheetId="0" hidden="1">{#N/A,#N/A,FALSE,"M.31"}</definedName>
    <definedName name="____kin3" hidden="1">{#N/A,#N/A,FALSE,"M.31"}</definedName>
    <definedName name="____kit2" localSheetId="0" hidden="1">{#N/A,#N/A,FALSE,"M.43"}</definedName>
    <definedName name="____kit2" hidden="1">{#N/A,#N/A,FALSE,"M.43"}</definedName>
    <definedName name="____kl09" localSheetId="0" hidden="1">{#N/A,#N/A,FALSE,"M.01"}</definedName>
    <definedName name="____kl09" hidden="1">{#N/A,#N/A,FALSE,"M.01"}</definedName>
    <definedName name="____kp1" localSheetId="0">[9]ca!#REF!</definedName>
    <definedName name="____kp1">[9]ca!#REF!</definedName>
    <definedName name="____KWH1">'[3]DATA-BASE SUTT'!$M$11:$M$383</definedName>
    <definedName name="____KWH2">'[3]DATA-BASE SUTT'!$P$11:$P$383</definedName>
    <definedName name="____KWH3">'[3]DATA-BASE SUTT'!$S$11:$S$383</definedName>
    <definedName name="____la150">'[7]HARGA SATUAN'!$B$25</definedName>
    <definedName name="____LP2">#N/A</definedName>
    <definedName name="____M2" localSheetId="0" hidden="1">{#N/A,#N/A,FALSE,"M.42"}</definedName>
    <definedName name="____M2" hidden="1">{#N/A,#N/A,FALSE,"M.42"}</definedName>
    <definedName name="____MAC12" localSheetId="0">#REF!</definedName>
    <definedName name="____MAC12">#REF!</definedName>
    <definedName name="____MAC46" localSheetId="0">#REF!</definedName>
    <definedName name="____MAC46">#REF!</definedName>
    <definedName name="____MAN1" localSheetId="0">#REF!</definedName>
    <definedName name="____MAN1">#REF!</definedName>
    <definedName name="____MAN2" localSheetId="0">#REF!</definedName>
    <definedName name="____MAN2">#REF!</definedName>
    <definedName name="____MAN3" localSheetId="0">#REF!</definedName>
    <definedName name="____MAN3">#REF!</definedName>
    <definedName name="____MEI92" localSheetId="0">#REF!</definedName>
    <definedName name="____MEI92">#REF!</definedName>
    <definedName name="____NCL100" localSheetId="0">#REF!</definedName>
    <definedName name="____NCL100">#REF!</definedName>
    <definedName name="____NCL200" localSheetId="0">#REF!</definedName>
    <definedName name="____NCL200">#REF!</definedName>
    <definedName name="____NCL250" localSheetId="0">#REF!</definedName>
    <definedName name="____NCL250">#REF!</definedName>
    <definedName name="____nin190" localSheetId="0">#REF!</definedName>
    <definedName name="____nin190">#REF!</definedName>
    <definedName name="____NOP92">#N/A</definedName>
    <definedName name="____npv1" localSheetId="0">#REF!</definedName>
    <definedName name="____npv1">#REF!</definedName>
    <definedName name="____npv2" localSheetId="0">#REF!</definedName>
    <definedName name="____npv2">#REF!</definedName>
    <definedName name="____OAF1" localSheetId="0">#REF!</definedName>
    <definedName name="____OAF1">#REF!</definedName>
    <definedName name="____Oil1" localSheetId="0">#REF!</definedName>
    <definedName name="____Oil1">#REF!</definedName>
    <definedName name="____OKT92">#N/A</definedName>
    <definedName name="____pmt7040">'[7]HARGA SATUAN'!$B$8</definedName>
    <definedName name="____PRD1" localSheetId="0">#REF!</definedName>
    <definedName name="____PRD1">#REF!</definedName>
    <definedName name="____PRD2" localSheetId="0">#REF!</definedName>
    <definedName name="____PRD2">#REF!</definedName>
    <definedName name="____PRD3" localSheetId="0">#REF!</definedName>
    <definedName name="____PRD3">#REF!</definedName>
    <definedName name="____PRD4" localSheetId="0">#REF!</definedName>
    <definedName name="____PRD4">#REF!</definedName>
    <definedName name="____PRD5" localSheetId="0">#REF!</definedName>
    <definedName name="____PRD5">#REF!</definedName>
    <definedName name="____rab1" localSheetId="0">#REF!</definedName>
    <definedName name="____rab1">#REF!</definedName>
    <definedName name="____rab2" localSheetId="0">#REF!</definedName>
    <definedName name="____rab2">#REF!</definedName>
    <definedName name="____RAO207" localSheetId="0" hidden="1">{#N/A,#N/A,FALSE,"M.42"}</definedName>
    <definedName name="____RAO207" hidden="1">{#N/A,#N/A,FALSE,"M.42"}</definedName>
    <definedName name="____RIP2" localSheetId="0" hidden="1">{#N/A,#N/A,FALSE,"M.01"}</definedName>
    <definedName name="____RIP2" hidden="1">{#N/A,#N/A,FALSE,"M.01"}</definedName>
    <definedName name="____RIP3" localSheetId="0" hidden="1">{#N/A,#N/A,FALSE,"M.41"}</definedName>
    <definedName name="____RIP3" hidden="1">{#N/A,#N/A,FALSE,"M.41"}</definedName>
    <definedName name="____RMS1" localSheetId="0">#REF!</definedName>
    <definedName name="____RMS1">#REF!</definedName>
    <definedName name="____RMS2" localSheetId="0">#REF!</definedName>
    <definedName name="____RMS2">#REF!</definedName>
    <definedName name="____RMS3" localSheetId="0">#REF!</definedName>
    <definedName name="____RMS3">#REF!</definedName>
    <definedName name="____RMS4" localSheetId="0">#REF!</definedName>
    <definedName name="____RMS4">#REF!</definedName>
    <definedName name="____sc1" localSheetId="0">#REF!</definedName>
    <definedName name="____sc1">#REF!</definedName>
    <definedName name="____SC2" localSheetId="0">#REF!</definedName>
    <definedName name="____SC2">#REF!</definedName>
    <definedName name="____sc3" localSheetId="0">#REF!</definedName>
    <definedName name="____sc3">#REF!</definedName>
    <definedName name="____sem1" localSheetId="0">#REF!</definedName>
    <definedName name="____sem1">#REF!</definedName>
    <definedName name="____SEP92">#N/A</definedName>
    <definedName name="____SKW1">[10]NRCPTK01!$A$1:$AB$42</definedName>
    <definedName name="____SLA2009" localSheetId="0" hidden="1">{#N/A,#N/A,FALSE,"M.32"}</definedName>
    <definedName name="____SLA2009" hidden="1">{#N/A,#N/A,FALSE,"M.32"}</definedName>
    <definedName name="____sm1" localSheetId="0">#REF!</definedName>
    <definedName name="____sm1">#REF!</definedName>
    <definedName name="____SN3" localSheetId="0">#REF!</definedName>
    <definedName name="____SN3">#REF!</definedName>
    <definedName name="____Tab1" localSheetId="0">#REF!</definedName>
    <definedName name="____Tab1">#REF!</definedName>
    <definedName name="____Tab2" localSheetId="0">#REF!</definedName>
    <definedName name="____Tab2">#REF!</definedName>
    <definedName name="____Tab3" localSheetId="0">#REF!</definedName>
    <definedName name="____Tab3">#REF!</definedName>
    <definedName name="____TH1" localSheetId="0" hidden="1">{#N/A,#N/A,FALSE,"M.34"}</definedName>
    <definedName name="____TH1" hidden="1">{#N/A,#N/A,FALSE,"M.34"}</definedName>
    <definedName name="____th100" localSheetId="0">'[4]dongia (2)'!#REF!</definedName>
    <definedName name="____th100">'[4]dongia (2)'!#REF!</definedName>
    <definedName name="____TH160" localSheetId="0">'[4]dongia (2)'!#REF!</definedName>
    <definedName name="____TH160">'[4]dongia (2)'!#REF!</definedName>
    <definedName name="____th2" localSheetId="0" hidden="1">{#N/A,#N/A,FALSE,"M.42"}</definedName>
    <definedName name="____th2" hidden="1">{#N/A,#N/A,FALSE,"M.42"}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TL3" localSheetId="0">#REF!</definedName>
    <definedName name="____TL3">#REF!</definedName>
    <definedName name="____TLA120" localSheetId="0">#REF!</definedName>
    <definedName name="____TLA120">#REF!</definedName>
    <definedName name="____TLA35" localSheetId="0">#REF!</definedName>
    <definedName name="____TLA35">#REF!</definedName>
    <definedName name="____TLA50" localSheetId="0">#REF!</definedName>
    <definedName name="____TLA50">#REF!</definedName>
    <definedName name="____TLA70" localSheetId="0">#REF!</definedName>
    <definedName name="____TLA70">#REF!</definedName>
    <definedName name="____TLA95" localSheetId="0">#REF!</definedName>
    <definedName name="____TLA95">#REF!</definedName>
    <definedName name="____TR250" localSheetId="0">'[4]dongia (2)'!#REF!</definedName>
    <definedName name="____TR250">'[4]dongia (2)'!#REF!</definedName>
    <definedName name="____tr375" localSheetId="0">[4]giathanh1!#REF!</definedName>
    <definedName name="____tr375">[4]giathanh1!#REF!</definedName>
    <definedName name="____TRP1" localSheetId="0">#REF!</definedName>
    <definedName name="____TRP1">#REF!</definedName>
    <definedName name="____trw1" localSheetId="0">#REF!</definedName>
    <definedName name="____trw1">#REF!</definedName>
    <definedName name="____trw2" localSheetId="0">#REF!</definedName>
    <definedName name="____trw2">#REF!</definedName>
    <definedName name="____trw3" localSheetId="0">#REF!</definedName>
    <definedName name="____trw3">#REF!</definedName>
    <definedName name="____TVA1" localSheetId="0">#REF!</definedName>
    <definedName name="____TVA1">#REF!</definedName>
    <definedName name="____TW1" localSheetId="0">#REF!</definedName>
    <definedName name="____TW1">#REF!</definedName>
    <definedName name="____TW2" localSheetId="0">#REF!</definedName>
    <definedName name="____TW2">#REF!</definedName>
    <definedName name="____VL100" localSheetId="0">#REF!</definedName>
    <definedName name="____VL100">#REF!</definedName>
    <definedName name="____VL200" localSheetId="0">#REF!</definedName>
    <definedName name="____VL200">#REF!</definedName>
    <definedName name="____VL250" localSheetId="0">#REF!</definedName>
    <definedName name="____VL250">#REF!</definedName>
    <definedName name="____wil1" localSheetId="0" hidden="1">{#N/A,#N/A,FALSE,"M.01"}</definedName>
    <definedName name="____wil1" hidden="1">{#N/A,#N/A,FALSE,"M.01"}</definedName>
    <definedName name="___\A" localSheetId="0">#REF!</definedName>
    <definedName name="___\S">[2]M!$D$161</definedName>
    <definedName name="___1" localSheetId="0">#REF!</definedName>
    <definedName name="___1">#REF!</definedName>
    <definedName name="___1_2002_VS_2001" localSheetId="0">#REF!</definedName>
    <definedName name="___1_2002_VS_2001">#REF!</definedName>
    <definedName name="___10INV_PERUSAHAA_2" localSheetId="0">#REF!</definedName>
    <definedName name="___10INV_PERUSAHAA_2">#REF!</definedName>
    <definedName name="___11INV_PERUSAHAAN" localSheetId="0">#REF!</definedName>
    <definedName name="___11INV_PERUSAHAAN">#REF!</definedName>
    <definedName name="___12JTM_PER_TW" localSheetId="0">#REF!</definedName>
    <definedName name="___12JTM_PER_TW">#REF!</definedName>
    <definedName name="___13REKAP_KEGIATAN" localSheetId="0">#REF!</definedName>
    <definedName name="___13REKAP_KEGIATAN">#REF!</definedName>
    <definedName name="___14REKAP_PAK_AEP" localSheetId="0">#REF!</definedName>
    <definedName name="___14REKAP_PAK_AEP">#REF!</definedName>
    <definedName name="___15SUM_MUTDAL" localSheetId="0">#REF!</definedName>
    <definedName name="___15SUM_MUTDAL">#REF!</definedName>
    <definedName name="___2ANGG_PERUSAHA_2" localSheetId="0">#REF!</definedName>
    <definedName name="___2ANGG_PERUSAHA_2">#REF!</definedName>
    <definedName name="___3ANGG_PERUSAHAAN" localSheetId="0">#REF!</definedName>
    <definedName name="___3ANGG_PERUSAHAAN">#REF!</definedName>
    <definedName name="___4BAHAS_ANGG." localSheetId="0">#REF!</definedName>
    <definedName name="___4BAHAS_ANGG.">#REF!</definedName>
    <definedName name="___5BAHAS_DISTURB" localSheetId="0">#REF!</definedName>
    <definedName name="___5BAHAS_DISTURB">#REF!</definedName>
    <definedName name="___6FORM_A" localSheetId="0">#REF!</definedName>
    <definedName name="___6FORM_A">#REF!</definedName>
    <definedName name="___7FORM_B" localSheetId="0">#REF!</definedName>
    <definedName name="___7FORM_B">#REF!</definedName>
    <definedName name="___8GD_PER_TW" localSheetId="0">#REF!</definedName>
    <definedName name="___8GD_PER_TW">#REF!</definedName>
    <definedName name="___9GH_2_SPINDEL" localSheetId="0">#REF!</definedName>
    <definedName name="___9GH_2_SPINDEL">#REF!</definedName>
    <definedName name="___abb91" localSheetId="0">[4]chitimc!#REF!</definedName>
    <definedName name="___abb91">[4]chitimc!#REF!</definedName>
    <definedName name="___agt1">[11]REKAP!$H$31</definedName>
    <definedName name="___agt2">[11]REKAP!$H$33</definedName>
    <definedName name="___agt3">[11]REKAP!$H$35</definedName>
    <definedName name="___BAT48100">'[7]HARGA SATUAN'!$B$13</definedName>
    <definedName name="___BBM2" localSheetId="0">#REF!</definedName>
    <definedName name="___BBM2">#REF!</definedName>
    <definedName name="___col1" localSheetId="0">#REF!</definedName>
    <definedName name="___col1">#REF!</definedName>
    <definedName name="___col2" localSheetId="0">#REF!</definedName>
    <definedName name="___col2">#REF!</definedName>
    <definedName name="___col3" localSheetId="0">#REF!</definedName>
    <definedName name="___col3">#REF!</definedName>
    <definedName name="___col4" localSheetId="0">#REF!</definedName>
    <definedName name="___col4">#REF!</definedName>
    <definedName name="___CT250" localSheetId="0">'[4]dongia (2)'!#REF!</definedName>
    <definedName name="___CT250">'[4]dongia (2)'!#REF!</definedName>
    <definedName name="___DAF1" localSheetId="0">#REF!</definedName>
    <definedName name="___DAF1">#REF!</definedName>
    <definedName name="___DAF11" localSheetId="0">#REF!</definedName>
    <definedName name="___DAF11">#REF!</definedName>
    <definedName name="___DAF12" localSheetId="0">#REF!</definedName>
    <definedName name="___DAF12">#REF!</definedName>
    <definedName name="___DAF13" localSheetId="0">#REF!</definedName>
    <definedName name="___DAF13">#REF!</definedName>
    <definedName name="___daf133" localSheetId="0">#REF!</definedName>
    <definedName name="___daf133">#REF!</definedName>
    <definedName name="___DAF14" localSheetId="0">#REF!</definedName>
    <definedName name="___DAF14">#REF!</definedName>
    <definedName name="___DAF15" localSheetId="0">#REF!</definedName>
    <definedName name="___DAF15">#REF!</definedName>
    <definedName name="___DAF16" localSheetId="0">#REF!</definedName>
    <definedName name="___DAF16">#REF!</definedName>
    <definedName name="___DAF17" localSheetId="0">#REF!</definedName>
    <definedName name="___DAF17">#REF!</definedName>
    <definedName name="___DAF2" localSheetId="0">#REF!</definedName>
    <definedName name="___DAF2">#REF!</definedName>
    <definedName name="___DAF3" localSheetId="0">#REF!</definedName>
    <definedName name="___DAF3">#REF!</definedName>
    <definedName name="___ddn400" localSheetId="0">#REF!</definedName>
    <definedName name="___ddn400">#REF!</definedName>
    <definedName name="___ddn600" localSheetId="0">#REF!</definedName>
    <definedName name="___ddn600">#REF!</definedName>
    <definedName name="___dgt100" localSheetId="0">'[4]dongia (2)'!#REF!</definedName>
    <definedName name="___dgt100">'[4]dongia (2)'!#REF!</definedName>
    <definedName name="___ERR1" localSheetId="0" hidden="1">{#N/A,#N/A,FALSE,"M.42"}</definedName>
    <definedName name="___ERR1" hidden="1">{#N/A,#N/A,FALSE,"M.42"}</definedName>
    <definedName name="___GID1">'[4]LKVL-CK-HT-GD1'!$A$4</definedName>
    <definedName name="___hal1" localSheetId="0">#REF!</definedName>
    <definedName name="___hal1">#REF!</definedName>
    <definedName name="___hal2" localSheetId="0">#REF!</definedName>
    <definedName name="___hal2">#REF!</definedName>
    <definedName name="___hal3" localSheetId="0">#REF!</definedName>
    <definedName name="___hal3">#REF!</definedName>
    <definedName name="___hal4" localSheetId="0">#REF!</definedName>
    <definedName name="___hal4">#REF!</definedName>
    <definedName name="___hal5" localSheetId="0">#REF!</definedName>
    <definedName name="___hal5">#REF!</definedName>
    <definedName name="___hal6" localSheetId="0">#REF!</definedName>
    <definedName name="___hal6">#REF!</definedName>
    <definedName name="___HLM1" localSheetId="0">#REF!</definedName>
    <definedName name="___HLM1">#REF!</definedName>
    <definedName name="___HLM2" localSheetId="0">#REF!</definedName>
    <definedName name="___HLM2">#REF!</definedName>
    <definedName name="___HLM3" localSheetId="0">#REF!</definedName>
    <definedName name="___HLM3">#REF!</definedName>
    <definedName name="___JBN3" localSheetId="0" hidden="1">{#N/A,#N/A,FALSE,"M.32"}</definedName>
    <definedName name="___JBN3" hidden="1">{#N/A,#N/A,FALSE,"M.32"}</definedName>
    <definedName name="___jml1" localSheetId="0">[12]RAB!#REF!</definedName>
    <definedName name="___jml1">[12]RAB!#REF!</definedName>
    <definedName name="___jml10" localSheetId="0">[12]RAB!#REF!</definedName>
    <definedName name="___jml10">[12]RAB!#REF!</definedName>
    <definedName name="___jml11" localSheetId="0">[12]RAB!#REF!</definedName>
    <definedName name="___jml11">[12]RAB!#REF!</definedName>
    <definedName name="___jml12" localSheetId="0">[12]RAB!#REF!</definedName>
    <definedName name="___jml12">[12]RAB!#REF!</definedName>
    <definedName name="___jml13" localSheetId="0">[12]RAB!#REF!</definedName>
    <definedName name="___jml13">[12]RAB!#REF!</definedName>
    <definedName name="___jml14" localSheetId="0">[12]RAB!#REF!</definedName>
    <definedName name="___jml14">[12]RAB!#REF!</definedName>
    <definedName name="___jml15" localSheetId="0">[12]RAB!#REF!</definedName>
    <definedName name="___jml15">[12]RAB!#REF!</definedName>
    <definedName name="___jml2" localSheetId="0">[12]RAB!#REF!</definedName>
    <definedName name="___jml2">[12]RAB!#REF!</definedName>
    <definedName name="___jml3" localSheetId="0">[12]RAB!#REF!</definedName>
    <definedName name="___jml3">[12]RAB!#REF!</definedName>
    <definedName name="___jml4" localSheetId="0">[12]RAB!#REF!</definedName>
    <definedName name="___jml4">[12]RAB!#REF!</definedName>
    <definedName name="___jml5" localSheetId="0">[12]RAB!#REF!</definedName>
    <definedName name="___jml5">[12]RAB!#REF!</definedName>
    <definedName name="___jml6" localSheetId="0">[12]RAB!#REF!</definedName>
    <definedName name="___jml6">[12]RAB!#REF!</definedName>
    <definedName name="___jml7" localSheetId="0">[12]RAB!#REF!</definedName>
    <definedName name="___jml7">[12]RAB!#REF!</definedName>
    <definedName name="___jml8" localSheetId="0">[12]RAB!#REF!</definedName>
    <definedName name="___jml8">[12]RAB!#REF!</definedName>
    <definedName name="___jml9" localSheetId="0">[12]RAB!#REF!</definedName>
    <definedName name="___jml9">[12]RAB!#REF!</definedName>
    <definedName name="___JUD1" localSheetId="0">#REF!</definedName>
    <definedName name="___JUD1">#REF!</definedName>
    <definedName name="___JUD2" localSheetId="0">#REF!</definedName>
    <definedName name="___JUD2">#REF!</definedName>
    <definedName name="___JUD3" localSheetId="0">#REF!</definedName>
    <definedName name="___JUD3">#REF!</definedName>
    <definedName name="___JUD4" localSheetId="0">#REF!</definedName>
    <definedName name="___JUD4">#REF!</definedName>
    <definedName name="___JUD5" localSheetId="0">#REF!</definedName>
    <definedName name="___JUD5">#REF!</definedName>
    <definedName name="___JUD6" localSheetId="0">#REF!</definedName>
    <definedName name="___JUD6">#REF!</definedName>
    <definedName name="___JUD7" localSheetId="0">#REF!</definedName>
    <definedName name="___JUD7">#REF!</definedName>
    <definedName name="___JUL3" localSheetId="0">#REF!</definedName>
    <definedName name="___JUL3">#REF!</definedName>
    <definedName name="___kb1" localSheetId="0">[9]ca!#REF!</definedName>
    <definedName name="___kb1">[9]ca!#REF!</definedName>
    <definedName name="___kb2" localSheetId="0">[9]ca!#REF!</definedName>
    <definedName name="___kb2">[9]ca!#REF!</definedName>
    <definedName name="___kin3" localSheetId="0" hidden="1">{#N/A,#N/A,FALSE,"M.31"}</definedName>
    <definedName name="___kin3" hidden="1">{#N/A,#N/A,FALSE,"M.31"}</definedName>
    <definedName name="___kit2" localSheetId="0" hidden="1">{#N/A,#N/A,FALSE,"M.43"}</definedName>
    <definedName name="___kit2" hidden="1">{#N/A,#N/A,FALSE,"M.43"}</definedName>
    <definedName name="___kl09" localSheetId="0" hidden="1">{#N/A,#N/A,FALSE,"M.01"}</definedName>
    <definedName name="___kl09" hidden="1">{#N/A,#N/A,FALSE,"M.01"}</definedName>
    <definedName name="___kp1" localSheetId="0">[9]ca!#REF!</definedName>
    <definedName name="___kp1">[9]ca!#REF!</definedName>
    <definedName name="___KWH1">'[3]DATA-BASE SUTT'!$M$11:$M$383</definedName>
    <definedName name="___KWH2">'[3]DATA-BASE SUTT'!$P$11:$P$383</definedName>
    <definedName name="___KWH3">'[3]DATA-BASE SUTT'!$S$11:$S$383</definedName>
    <definedName name="___la150">'[7]HARGA SATUAN'!$B$25</definedName>
    <definedName name="___LP2">#N/A</definedName>
    <definedName name="___MAC12" localSheetId="0">#REF!</definedName>
    <definedName name="___MAC12">#REF!</definedName>
    <definedName name="___MAC46" localSheetId="0">#REF!</definedName>
    <definedName name="___MAC46">#REF!</definedName>
    <definedName name="___MAN1" localSheetId="0">#REF!</definedName>
    <definedName name="___MAN1">#REF!</definedName>
    <definedName name="___MAN2" localSheetId="0">#REF!</definedName>
    <definedName name="___MAN2">#REF!</definedName>
    <definedName name="___MAN3" localSheetId="0">#REF!</definedName>
    <definedName name="___MAN3">#REF!</definedName>
    <definedName name="___MEI92" localSheetId="0">#REF!</definedName>
    <definedName name="___MEI92">#REF!</definedName>
    <definedName name="___NCL100" localSheetId="0">#REF!</definedName>
    <definedName name="___NCL100">#REF!</definedName>
    <definedName name="___NCL200" localSheetId="0">#REF!</definedName>
    <definedName name="___NCL200">#REF!</definedName>
    <definedName name="___NCL250" localSheetId="0">#REF!</definedName>
    <definedName name="___NCL250">#REF!</definedName>
    <definedName name="___nin190" localSheetId="0">#REF!</definedName>
    <definedName name="___nin190">#REF!</definedName>
    <definedName name="___NOP92">#N/A</definedName>
    <definedName name="___npv1" localSheetId="0">#REF!</definedName>
    <definedName name="___npv1">#REF!</definedName>
    <definedName name="___npv2" localSheetId="0">#REF!</definedName>
    <definedName name="___npv2">#REF!</definedName>
    <definedName name="___OAF1" localSheetId="0">#REF!</definedName>
    <definedName name="___OAF1">#REF!</definedName>
    <definedName name="___Oil1" localSheetId="0">#REF!</definedName>
    <definedName name="___Oil1">#REF!</definedName>
    <definedName name="___OKT92">#N/A</definedName>
    <definedName name="___pmt7040">'[7]HARGA SATUAN'!$B$8</definedName>
    <definedName name="___PRD1" localSheetId="0">#REF!</definedName>
    <definedName name="___PRD1">#REF!</definedName>
    <definedName name="___PRD2" localSheetId="0">#REF!</definedName>
    <definedName name="___PRD2">#REF!</definedName>
    <definedName name="___PRD3" localSheetId="0">#REF!</definedName>
    <definedName name="___PRD3">#REF!</definedName>
    <definedName name="___PRD4" localSheetId="0">#REF!</definedName>
    <definedName name="___PRD4">#REF!</definedName>
    <definedName name="___PRD5" localSheetId="0">#REF!</definedName>
    <definedName name="___PRD5">#REF!</definedName>
    <definedName name="___rab1" localSheetId="0">#REF!</definedName>
    <definedName name="___rab1">#REF!</definedName>
    <definedName name="___rab2" localSheetId="0">#REF!</definedName>
    <definedName name="___rab2">#REF!</definedName>
    <definedName name="___RIP2" localSheetId="0" hidden="1">{#N/A,#N/A,FALSE,"M.01"}</definedName>
    <definedName name="___RIP2" hidden="1">{#N/A,#N/A,FALSE,"M.01"}</definedName>
    <definedName name="___RIP3" localSheetId="0" hidden="1">{#N/A,#N/A,FALSE,"M.41"}</definedName>
    <definedName name="___RIP3" hidden="1">{#N/A,#N/A,FALSE,"M.41"}</definedName>
    <definedName name="___RMS1" localSheetId="0">#REF!</definedName>
    <definedName name="___RMS1">#REF!</definedName>
    <definedName name="___RMS2" localSheetId="0">#REF!</definedName>
    <definedName name="___RMS2">#REF!</definedName>
    <definedName name="___RMS3" localSheetId="0">#REF!</definedName>
    <definedName name="___RMS3">#REF!</definedName>
    <definedName name="___RMS4" localSheetId="0">#REF!</definedName>
    <definedName name="___RMS4">#REF!</definedName>
    <definedName name="___sc1" localSheetId="0">#REF!</definedName>
    <definedName name="___sc1">#REF!</definedName>
    <definedName name="___SC2" localSheetId="0">#REF!</definedName>
    <definedName name="___SC2">#REF!</definedName>
    <definedName name="___sc3" localSheetId="0">#REF!</definedName>
    <definedName name="___sc3">#REF!</definedName>
    <definedName name="___sem1" localSheetId="0">#REF!</definedName>
    <definedName name="___sem1">#REF!</definedName>
    <definedName name="___SEP92">#N/A</definedName>
    <definedName name="___SKW1">[10]NRCPTK01!$A$1:$AB$42</definedName>
    <definedName name="___SLA2009" localSheetId="0" hidden="1">{#N/A,#N/A,FALSE,"M.32"}</definedName>
    <definedName name="___SLA2009" hidden="1">{#N/A,#N/A,FALSE,"M.32"}</definedName>
    <definedName name="___sm1" localSheetId="0">#REF!</definedName>
    <definedName name="___sm1">#REF!</definedName>
    <definedName name="___SN3" localSheetId="0">#REF!</definedName>
    <definedName name="___SN3">#REF!</definedName>
    <definedName name="___Tab1" localSheetId="0">#REF!</definedName>
    <definedName name="___Tab1">#REF!</definedName>
    <definedName name="___Tab2" localSheetId="0">#REF!</definedName>
    <definedName name="___Tab2">#REF!</definedName>
    <definedName name="___Tab3" localSheetId="0">#REF!</definedName>
    <definedName name="___Tab3">#REF!</definedName>
    <definedName name="___TH1" localSheetId="0" hidden="1">{#N/A,#N/A,FALSE,"M.34"}</definedName>
    <definedName name="___TH1" hidden="1">{#N/A,#N/A,FALSE,"M.34"}</definedName>
    <definedName name="___th100" localSheetId="0">'[4]dongia (2)'!#REF!</definedName>
    <definedName name="___th100">'[4]dongia (2)'!#REF!</definedName>
    <definedName name="___TH160" localSheetId="0">'[4]dongia (2)'!#REF!</definedName>
    <definedName name="___TH160">'[4]dongia (2)'!#REF!</definedName>
    <definedName name="___th2" localSheetId="0" hidden="1">{#N/A,#N/A,FALSE,"M.42"}</definedName>
    <definedName name="___th2" hidden="1">{#N/A,#N/A,FALSE,"M.42"}</definedName>
    <definedName name="___TL1" localSheetId="0">#REF!</definedName>
    <definedName name="___TL1">#REF!</definedName>
    <definedName name="___TL2" localSheetId="0">#REF!</definedName>
    <definedName name="___TL2">#REF!</definedName>
    <definedName name="___TL3" localSheetId="0">#REF!</definedName>
    <definedName name="___TL3">#REF!</definedName>
    <definedName name="___TLA120" localSheetId="0">#REF!</definedName>
    <definedName name="___TLA120">#REF!</definedName>
    <definedName name="___TLA35" localSheetId="0">#REF!</definedName>
    <definedName name="___TLA35">#REF!</definedName>
    <definedName name="___TLA50" localSheetId="0">#REF!</definedName>
    <definedName name="___TLA50">#REF!</definedName>
    <definedName name="___TLA70" localSheetId="0">#REF!</definedName>
    <definedName name="___TLA70">#REF!</definedName>
    <definedName name="___TLA95" localSheetId="0">#REF!</definedName>
    <definedName name="___TLA95">#REF!</definedName>
    <definedName name="___TR250" localSheetId="0">'[4]dongia (2)'!#REF!</definedName>
    <definedName name="___TR250">'[4]dongia (2)'!#REF!</definedName>
    <definedName name="___tr375" localSheetId="0">[4]giathanh1!#REF!</definedName>
    <definedName name="___tr375">[4]giathanh1!#REF!</definedName>
    <definedName name="___TRP1" localSheetId="0">#REF!</definedName>
    <definedName name="___TRP1">#REF!</definedName>
    <definedName name="___trw1" localSheetId="0">#REF!</definedName>
    <definedName name="___trw1">#REF!</definedName>
    <definedName name="___trw2" localSheetId="0">#REF!</definedName>
    <definedName name="___trw2">#REF!</definedName>
    <definedName name="___trw3" localSheetId="0">#REF!</definedName>
    <definedName name="___trw3">#REF!</definedName>
    <definedName name="___TVA1" localSheetId="0">#REF!</definedName>
    <definedName name="___TVA1">#REF!</definedName>
    <definedName name="___TW1" localSheetId="0">#REF!</definedName>
    <definedName name="___TW1">#REF!</definedName>
    <definedName name="___TW2" localSheetId="0">#REF!</definedName>
    <definedName name="___TW2">#REF!</definedName>
    <definedName name="___VL100" localSheetId="0">#REF!</definedName>
    <definedName name="___VL100">#REF!</definedName>
    <definedName name="___VL200" localSheetId="0">#REF!</definedName>
    <definedName name="___VL200">#REF!</definedName>
    <definedName name="___VL250" localSheetId="0">#REF!</definedName>
    <definedName name="___VL250">#REF!</definedName>
    <definedName name="___wil1" localSheetId="0" hidden="1">{#N/A,#N/A,FALSE,"M.01"}</definedName>
    <definedName name="___wil1" hidden="1">{#N/A,#N/A,FALSE,"M.01"}</definedName>
    <definedName name="__\0">#REF!</definedName>
    <definedName name="__\A" localSheetId="0">#REF!</definedName>
    <definedName name="__\A">#REF!</definedName>
    <definedName name="__\B">#REF!</definedName>
    <definedName name="__\b11_567891011">#REF!</definedName>
    <definedName name="__\b12_567891011">#REF!</definedName>
    <definedName name="__\b13_567891011">#REF!</definedName>
    <definedName name="__\b14_567891011">#REF!</definedName>
    <definedName name="__\b23">#REF!</definedName>
    <definedName name="__\b23_567891011">#REF!</definedName>
    <definedName name="__\b78">#REF!</definedName>
    <definedName name="__\C">#REF!</definedName>
    <definedName name="__\C309">#REF!</definedName>
    <definedName name="__\CABANG">#REF!</definedName>
    <definedName name="__\CDKWH">#REF!</definedName>
    <definedName name="__\CDP">#REF!</definedName>
    <definedName name="__\CDPLG">#REF!</definedName>
    <definedName name="__\CDRP">#REF!</definedName>
    <definedName name="__\CDRPKWH">#REF!</definedName>
    <definedName name="__\CDVA">#REF!</definedName>
    <definedName name="__\CHLM2">#REF!</definedName>
    <definedName name="__\CHLM3">#REF!</definedName>
    <definedName name="__\CREKAP">#REF!</definedName>
    <definedName name="__\D">#REF!</definedName>
    <definedName name="__\E">#REF!</definedName>
    <definedName name="__\F">#REF!</definedName>
    <definedName name="__\G">#REF!</definedName>
    <definedName name="__\H">#REF!</definedName>
    <definedName name="__\I">#REF!</definedName>
    <definedName name="__\i11_567891011">#REF!</definedName>
    <definedName name="__\i12_567891011">#REF!</definedName>
    <definedName name="__\i13_567891011">#REF!</definedName>
    <definedName name="__\i14_567891011">#REF!</definedName>
    <definedName name="__\i23">#REF!</definedName>
    <definedName name="__\i78">#REF!</definedName>
    <definedName name="__\IPD">#REF!</definedName>
    <definedName name="__\LIHAT">#REF!</definedName>
    <definedName name="__\LX1">#REF!</definedName>
    <definedName name="__\MENU">#REF!</definedName>
    <definedName name="__\o">#REF!</definedName>
    <definedName name="__\p23">#REF!</definedName>
    <definedName name="__\p567891011">#REF!</definedName>
    <definedName name="__\PSLD">#REF!</definedName>
    <definedName name="__\r11_567891011">#REF!</definedName>
    <definedName name="__\r12_567891011">#REF!</definedName>
    <definedName name="__\r123_567891011">#REF!</definedName>
    <definedName name="__\r13_567891011">#REF!</definedName>
    <definedName name="__\r23">#REF!</definedName>
    <definedName name="__\r78">#REF!</definedName>
    <definedName name="__\S" localSheetId="0">#REF!</definedName>
    <definedName name="__\S">#REF!</definedName>
    <definedName name="__\s1_567891011">#REF!</definedName>
    <definedName name="__\s1011">#REF!</definedName>
    <definedName name="__\s21_567891011">#REF!</definedName>
    <definedName name="__\s22_567891011">#REF!</definedName>
    <definedName name="__\s23">#REF!</definedName>
    <definedName name="__\s23_567891011">#REF!</definedName>
    <definedName name="__\s24_567891011">#REF!</definedName>
    <definedName name="__\s25_567891011">#REF!</definedName>
    <definedName name="__\s3_567891011">#REF!</definedName>
    <definedName name="__\S309">#REF!</definedName>
    <definedName name="__\s678">#REF!</definedName>
    <definedName name="__\s78">#REF!</definedName>
    <definedName name="__\SDP">#REF!</definedName>
    <definedName name="__\tcm23">#REF!</definedName>
    <definedName name="__\tcm567891011">#REF!</definedName>
    <definedName name="__\u">#REF!</definedName>
    <definedName name="__\V">#REF!</definedName>
    <definedName name="__\X">#REF!</definedName>
    <definedName name="__\y">#REF!</definedName>
    <definedName name="__1" localSheetId="0">#REF!</definedName>
    <definedName name="__1">#REF!</definedName>
    <definedName name="__1___________________2002_VS_2001" localSheetId="0">#REF!</definedName>
    <definedName name="__1___________________2002_VS_2001">#REF!</definedName>
    <definedName name="__1_2002_VS_2001" localSheetId="0">#REF!</definedName>
    <definedName name="__1_2002_VS_2001">#REF!</definedName>
    <definedName name="__10___________________INV_PERUSAHAA_2" localSheetId="0">#REF!</definedName>
    <definedName name="__10___________________INV_PERUSAHAA_2">#REF!</definedName>
    <definedName name="__100_____________INV_PERUSAHAA_2" localSheetId="0">#REF!</definedName>
    <definedName name="__100_____________INV_PERUSAHAA_2">#REF!</definedName>
    <definedName name="__101_____________INV_PERUSAHAAN" localSheetId="0">#REF!</definedName>
    <definedName name="__101_____________INV_PERUSAHAAN">#REF!</definedName>
    <definedName name="__102_____________JTM_PER_TW" localSheetId="0">#REF!</definedName>
    <definedName name="__102_____________JTM_PER_TW">#REF!</definedName>
    <definedName name="__103_____________REKAP_KEGIATAN" localSheetId="0">#REF!</definedName>
    <definedName name="__103_____________REKAP_KEGIATAN">#REF!</definedName>
    <definedName name="__104_____________REKAP_PAK_AEP" localSheetId="0">#REF!</definedName>
    <definedName name="__104_____________REKAP_PAK_AEP">#REF!</definedName>
    <definedName name="__105_____________SUM_MUTDAL" localSheetId="0">#REF!</definedName>
    <definedName name="__105_____________SUM_MUTDAL">#REF!</definedName>
    <definedName name="__106____________2002_VS_2001" localSheetId="0">#REF!</definedName>
    <definedName name="__106____________2002_VS_2001">#REF!</definedName>
    <definedName name="__107____________ANGG_PERUSAHA_2" localSheetId="0">#REF!</definedName>
    <definedName name="__107____________ANGG_PERUSAHA_2">#REF!</definedName>
    <definedName name="__108____________ANGG_PERUSAHAAN" localSheetId="0">#REF!</definedName>
    <definedName name="__108____________ANGG_PERUSAHAAN">#REF!</definedName>
    <definedName name="__109____________BAHAS_ANGG." localSheetId="0">#REF!</definedName>
    <definedName name="__109____________BAHAS_ANGG.">#REF!</definedName>
    <definedName name="__10INV_PERUSAHAA_2" localSheetId="0">#REF!</definedName>
    <definedName name="__10INV_PERUSAHAA_2">#REF!</definedName>
    <definedName name="__11___________________INV_PERUSAHAAN" localSheetId="0">#REF!</definedName>
    <definedName name="__11___________________INV_PERUSAHAAN">#REF!</definedName>
    <definedName name="__110____________BAHAS_DISTURB" localSheetId="0">#REF!</definedName>
    <definedName name="__110____________BAHAS_DISTURB">#REF!</definedName>
    <definedName name="__111____________FORM_A" localSheetId="0">#REF!</definedName>
    <definedName name="__111____________FORM_A">#REF!</definedName>
    <definedName name="__112____________FORM_B" localSheetId="0">#REF!</definedName>
    <definedName name="__112____________FORM_B">#REF!</definedName>
    <definedName name="__113____________GD_PER_TW" localSheetId="0">#REF!</definedName>
    <definedName name="__113____________GD_PER_TW">#REF!</definedName>
    <definedName name="__114____________GH_2_SPINDEL" localSheetId="0">#REF!</definedName>
    <definedName name="__114____________GH_2_SPINDEL">#REF!</definedName>
    <definedName name="__115____________INV_PERUSAHAA_2" localSheetId="0">#REF!</definedName>
    <definedName name="__115____________INV_PERUSAHAA_2">#REF!</definedName>
    <definedName name="__116____________INV_PERUSAHAAN" localSheetId="0">#REF!</definedName>
    <definedName name="__116____________INV_PERUSAHAAN">#REF!</definedName>
    <definedName name="__117____________JTM_PER_TW" localSheetId="0">#REF!</definedName>
    <definedName name="__117____________JTM_PER_TW">#REF!</definedName>
    <definedName name="__118____________REKAP_KEGIATAN" localSheetId="0">#REF!</definedName>
    <definedName name="__118____________REKAP_KEGIATAN">#REF!</definedName>
    <definedName name="__119____________REKAP_PAK_AEP" localSheetId="0">#REF!</definedName>
    <definedName name="__119____________REKAP_PAK_AEP">#REF!</definedName>
    <definedName name="__11INV_PERUSAHAAN" localSheetId="0">#REF!</definedName>
    <definedName name="__11INV_PERUSAHAAN">#REF!</definedName>
    <definedName name="__12___________________JTM_PER_TW" localSheetId="0">#REF!</definedName>
    <definedName name="__12___________________JTM_PER_TW">#REF!</definedName>
    <definedName name="__120____________SUM_MUTDAL" localSheetId="0">#REF!</definedName>
    <definedName name="__120____________SUM_MUTDAL">#REF!</definedName>
    <definedName name="__121___________2002_VS_2001" localSheetId="0">#REF!</definedName>
    <definedName name="__121___________2002_VS_2001">#REF!</definedName>
    <definedName name="__122___________ANGG_PERUSAHA_2" localSheetId="0">#REF!</definedName>
    <definedName name="__122___________ANGG_PERUSAHA_2">#REF!</definedName>
    <definedName name="__123___________ANGG_PERUSAHAAN" localSheetId="0">#REF!</definedName>
    <definedName name="__123___________ANGG_PERUSAHAAN">#REF!</definedName>
    <definedName name="__123Graph_A" localSheetId="0" hidden="1">'[13]TRNS-C1'!#REF!</definedName>
    <definedName name="__123Graph_A" hidden="1">'[13]TRNS-C1'!#REF!</definedName>
    <definedName name="__123Graph_A1" hidden="1">[2]C!$D$322:$K$322</definedName>
    <definedName name="__123Graph_A2" hidden="1">[2]C!$D$372:$K$372</definedName>
    <definedName name="__123Graph_ACPEXIND" hidden="1">[2]M!$F$18:$N$18</definedName>
    <definedName name="__123Graph_ACPEXJAVA" hidden="1">[2]M!$V$18:$AD$18</definedName>
    <definedName name="__123Graph_ACPEXOUTS" hidden="1">[2]M!$AL$18:$AT$18</definedName>
    <definedName name="__123Graph_AFININDO" hidden="1">[2]M!$F$27:$N$27</definedName>
    <definedName name="__123Graph_AFINJAVA" hidden="1">[2]M!$V$27:$AD$27</definedName>
    <definedName name="__123Graph_AFINOUTS" hidden="1">[2]M!$AL$27:$AT$27</definedName>
    <definedName name="__123Graph_AFUELINDO" hidden="1">[2]M!$F$5:$N$5</definedName>
    <definedName name="__123Graph_AFUELJAVA" hidden="1">[2]M!$V$5:$AD$5</definedName>
    <definedName name="__123Graph_AFUELOUTS" hidden="1">[2]M!$AL$5:$AT$5</definedName>
    <definedName name="__123Graph_AKWH" localSheetId="0" hidden="1">[14]WAN!#REF!</definedName>
    <definedName name="__123Graph_AKWH" hidden="1">[14]WAN!#REF!</definedName>
    <definedName name="__123Graph_AOPEXIND" hidden="1">[2]M!$F$11:$N$11</definedName>
    <definedName name="__123Graph_AOPEXJAVA" hidden="1">[2]M!$V$11:$AD$11</definedName>
    <definedName name="__123Graph_AOPEXOUTS" hidden="1">[2]M!$AL$11:$AT$11</definedName>
    <definedName name="__123Graph_AREIND" hidden="1">[2]M!$F$23:$N$23</definedName>
    <definedName name="__123Graph_AREJAVA" hidden="1">[2]M!$V$23:$AD$23</definedName>
    <definedName name="__123Graph_AREOUTSIDE" hidden="1">[2]M!$AL$23:$AT$23</definedName>
    <definedName name="__123Graph_AVAPLG" localSheetId="0" hidden="1">[14]WAN!#REF!</definedName>
    <definedName name="__123Graph_AVAPLG" hidden="1">[14]WAN!#REF!</definedName>
    <definedName name="__123Graph_B" localSheetId="0" hidden="1">'[13]TRNS-C1'!#REF!</definedName>
    <definedName name="__123Graph_B" hidden="1">'[13]TRNS-C1'!#REF!</definedName>
    <definedName name="__123Graph_B1" hidden="1">[2]C!$D$323:$K$323</definedName>
    <definedName name="__123Graph_B2" hidden="1">[2]C!$D$373:$K$373</definedName>
    <definedName name="__123Graph_BCPEXIND" hidden="1">[2]M!$F$17:$N$17</definedName>
    <definedName name="__123Graph_BCPEXJAVA" hidden="1">[2]M!$V$17:$AD$17</definedName>
    <definedName name="__123Graph_BCPEXOUTS" hidden="1">[2]M!$AL$17:$AT$17</definedName>
    <definedName name="__123Graph_BFININDO" hidden="1">[2]M!$F$28:$N$28</definedName>
    <definedName name="__123Graph_BFINJAVA" hidden="1">[2]M!$V$28:$AD$28</definedName>
    <definedName name="__123Graph_BFINOUTS" hidden="1">[2]M!$AL$28:$AT$28</definedName>
    <definedName name="__123Graph_BFUELINDO" hidden="1">[2]M!$F$6:$N$6</definedName>
    <definedName name="__123Graph_BFUELJAVA" hidden="1">[2]M!$V$6:$AD$6</definedName>
    <definedName name="__123Graph_BFUELOUTS" hidden="1">[2]M!$AL$6:$AT$6</definedName>
    <definedName name="__123Graph_BKWH" hidden="1">[14]WAN!$P$8185:$P$8191</definedName>
    <definedName name="__123Graph_BOPEXIND" hidden="1">[2]M!$F$12:$N$12</definedName>
    <definedName name="__123Graph_BOPEXJAVA" hidden="1">[2]M!$V$12:$AD$12</definedName>
    <definedName name="__123Graph_BOPEXOUTS" hidden="1">[2]M!$AL$12:$AT$12</definedName>
    <definedName name="__123Graph_BREIND" hidden="1">[2]M!$F$24:$N$24</definedName>
    <definedName name="__123Graph_BREJAVA" hidden="1">[2]M!$V$24:$AD$24</definedName>
    <definedName name="__123Graph_BREOUTSIDE" hidden="1">[2]M!$AL$24:$AT$24</definedName>
    <definedName name="__123Graph_BVAPLG" localSheetId="0" hidden="1">[14]WAN!#REF!</definedName>
    <definedName name="__123Graph_BVAPLG" hidden="1">[14]WAN!#REF!</definedName>
    <definedName name="__123Graph_C" localSheetId="0" hidden="1">[14]WAN!#REF!</definedName>
    <definedName name="__123Graph_C" hidden="1">[14]WAN!#REF!</definedName>
    <definedName name="__123Graph_CCPEXIND" hidden="1">[2]M!$F$20:$N$20</definedName>
    <definedName name="__123Graph_CCPEXJAVA" hidden="1">[2]M!$V$20:$AD$20</definedName>
    <definedName name="__123Graph_CCPEXOUTS" hidden="1">[2]M!$AL$20:$AT$20</definedName>
    <definedName name="__123Graph_CFININDO" hidden="1">[2]M!$F$29:$N$29</definedName>
    <definedName name="__123Graph_CFINJAVA" hidden="1">[2]M!$V$29:$AD$29</definedName>
    <definedName name="__123Graph_CFINOUTS" hidden="1">[2]M!$F$29:$N$29</definedName>
    <definedName name="__123Graph_CFUELINDO" hidden="1">[2]M!$F$7:$N$7</definedName>
    <definedName name="__123Graph_CFUELJAVA" hidden="1">[2]M!$V$7:$AD$7</definedName>
    <definedName name="__123Graph_CFUELOUTS" hidden="1">[2]M!$AL$7:$AT$7</definedName>
    <definedName name="__123Graph_CKWH" localSheetId="0" hidden="1">[14]WAN!#REF!</definedName>
    <definedName name="__123Graph_CKWH" hidden="1">[14]WAN!#REF!</definedName>
    <definedName name="__123Graph_COPEXIND" hidden="1">[2]M!$F$13:$N$13</definedName>
    <definedName name="__123Graph_COPEXJAVA" hidden="1">[2]M!$V$13:$AD$13</definedName>
    <definedName name="__123Graph_COPEXOUTS" hidden="1">[2]M!$AL$13:$AT$13</definedName>
    <definedName name="__123Graph_CVAPLG" localSheetId="0" hidden="1">[14]WAN!#REF!</definedName>
    <definedName name="__123Graph_CVAPLG" hidden="1">[14]WAN!#REF!</definedName>
    <definedName name="__123Graph_D" localSheetId="0" hidden="1">[15]PkRp!#REF!</definedName>
    <definedName name="__123Graph_D" hidden="1">[15]PkRp!#REF!</definedName>
    <definedName name="__123Graph_DCPEXIND" hidden="1">[2]M!$F$19:$N$19</definedName>
    <definedName name="__123Graph_DCPEXJAVA" hidden="1">[2]M!$V$19:$AD$19</definedName>
    <definedName name="__123Graph_DCPEXOUTS" hidden="1">[2]M!$AL$19:$AT$19</definedName>
    <definedName name="__123Graph_DFUELINDO" hidden="1">[2]M!$F$8:$N$8</definedName>
    <definedName name="__123Graph_DFUELJAVA" hidden="1">[2]M!$V$8:$AD$8</definedName>
    <definedName name="__123Graph_DFUELOUTS" hidden="1">[2]M!$AL$8:$AT$8</definedName>
    <definedName name="__123Graph_DOPEXIND" hidden="1">[2]M!$F$14:$N$14</definedName>
    <definedName name="__123Graph_DOPEXJAVA" hidden="1">[2]M!$V$14:$AD$14</definedName>
    <definedName name="__123Graph_DOPEXOUTS" hidden="1">[2]M!$AL$14:$AT$14</definedName>
    <definedName name="__123Graph_X" localSheetId="0" hidden="1">'[13]TRNS-C1'!#REF!</definedName>
    <definedName name="__123Graph_X" hidden="1">'[13]TRNS-C1'!#REF!</definedName>
    <definedName name="__123Graph_XCPEXIND" hidden="1">[2]M!$F$3:$N$3</definedName>
    <definedName name="__123Graph_XCPEXJAVA" hidden="1">[2]M!$V$3:$AD$3</definedName>
    <definedName name="__123Graph_XCPEXOUTS" hidden="1">[2]M!$AL$3:$AT$3</definedName>
    <definedName name="__123Graph_XFININDO" hidden="1">[2]M!$F$3:$N$3</definedName>
    <definedName name="__123Graph_XFINJAVA" hidden="1">[2]M!$V$3:$AD$3</definedName>
    <definedName name="__123Graph_XFUELINDO" hidden="1">[2]M!$F$3:$N$3</definedName>
    <definedName name="__123Graph_XFUELJAVA" hidden="1">[2]M!$V$3:$AD$3</definedName>
    <definedName name="__123Graph_XFUELOUTS" hidden="1">[2]M!$AL$3:$AT$3</definedName>
    <definedName name="__123Graph_XKWH" hidden="1">[14]WAN!$O$8185:$O$8191</definedName>
    <definedName name="__123Graph_XOPEXIND" hidden="1">[2]M!$F$3:$N$3</definedName>
    <definedName name="__123Graph_XOPEXJAVA" hidden="1">[2]M!$V$3:$AD$3</definedName>
    <definedName name="__123Graph_XOPEXOUTS" hidden="1">[2]M!$AL$3:$AT$3</definedName>
    <definedName name="__123Graph_XREJAVA" hidden="1">[2]M!$V$3:$AD$3</definedName>
    <definedName name="__123Graph_XREOUTSIDE" hidden="1">[2]M!$AL$3:$AT$3</definedName>
    <definedName name="__123Graph_XVAPLG" hidden="1">[14]WAN!$O$8185:$O$8191</definedName>
    <definedName name="__124___________BAHAS_ANGG." localSheetId="0">#REF!</definedName>
    <definedName name="__124___________BAHAS_ANGG.">#REF!</definedName>
    <definedName name="__125___________BAHAS_DISTURB" localSheetId="0">#REF!</definedName>
    <definedName name="__125___________BAHAS_DISTURB">#REF!</definedName>
    <definedName name="__126___________FORM_A" localSheetId="0">#REF!</definedName>
    <definedName name="__126___________FORM_A">#REF!</definedName>
    <definedName name="__127___________FORM_B" localSheetId="0">#REF!</definedName>
    <definedName name="__127___________FORM_B">#REF!</definedName>
    <definedName name="__128___________GD_PER_TW" localSheetId="0">#REF!</definedName>
    <definedName name="__128___________GD_PER_TW">#REF!</definedName>
    <definedName name="__129___________GH_2_SPINDEL" localSheetId="0">#REF!</definedName>
    <definedName name="__129___________GH_2_SPINDEL">#REF!</definedName>
    <definedName name="__12JTM_PER_TW" localSheetId="0">#REF!</definedName>
    <definedName name="__12JTM_PER_TW">#REF!</definedName>
    <definedName name="__13___________________REKAP_KEGIATAN" localSheetId="0">#REF!</definedName>
    <definedName name="__13___________________REKAP_KEGIATAN">#REF!</definedName>
    <definedName name="__130___________INV_PERUSAHAA_2" localSheetId="0">#REF!</definedName>
    <definedName name="__130___________INV_PERUSAHAA_2">#REF!</definedName>
    <definedName name="__131___________INV_PERUSAHAAN" localSheetId="0">#REF!</definedName>
    <definedName name="__131___________INV_PERUSAHAAN">#REF!</definedName>
    <definedName name="__132___________JTM_PER_TW" localSheetId="0">#REF!</definedName>
    <definedName name="__132___________JTM_PER_TW">#REF!</definedName>
    <definedName name="__133___________REKAP_KEGIATAN" localSheetId="0">#REF!</definedName>
    <definedName name="__133___________REKAP_KEGIATAN">#REF!</definedName>
    <definedName name="__134___________REKAP_PAK_AEP" localSheetId="0">#REF!</definedName>
    <definedName name="__134___________REKAP_PAK_AEP">#REF!</definedName>
    <definedName name="__135___________SUM_MUTDAL" localSheetId="0">#REF!</definedName>
    <definedName name="__135___________SUM_MUTDAL">#REF!</definedName>
    <definedName name="__136__________2002_VS_2001" localSheetId="0">#REF!</definedName>
    <definedName name="__136__________2002_VS_2001">#REF!</definedName>
    <definedName name="__137__________ANGG_PERUSAHA_2" localSheetId="0">#REF!</definedName>
    <definedName name="__137__________ANGG_PERUSAHA_2">#REF!</definedName>
    <definedName name="__138__________ANGG_PERUSAHAAN" localSheetId="0">#REF!</definedName>
    <definedName name="__138__________ANGG_PERUSAHAAN">#REF!</definedName>
    <definedName name="__139__________BAHAS_ANGG." localSheetId="0">#REF!</definedName>
    <definedName name="__139__________BAHAS_ANGG.">#REF!</definedName>
    <definedName name="__13REKAP_KEGIATAN" localSheetId="0">#REF!</definedName>
    <definedName name="__13REKAP_KEGIATAN">#REF!</definedName>
    <definedName name="__14___________________REKAP_PAK_AEP" localSheetId="0">#REF!</definedName>
    <definedName name="__14___________________REKAP_PAK_AEP">#REF!</definedName>
    <definedName name="__140__________BAHAS_DISTURB" localSheetId="0">#REF!</definedName>
    <definedName name="__140__________BAHAS_DISTURB">#REF!</definedName>
    <definedName name="__141__________FORM_A" localSheetId="0">#REF!</definedName>
    <definedName name="__141__________FORM_A">#REF!</definedName>
    <definedName name="__142__________FORM_B" localSheetId="0">#REF!</definedName>
    <definedName name="__142__________FORM_B">#REF!</definedName>
    <definedName name="__143__________GD_PER_TW" localSheetId="0">#REF!</definedName>
    <definedName name="__143__________GD_PER_TW">#REF!</definedName>
    <definedName name="__144__________GH_2_SPINDEL" localSheetId="0">#REF!</definedName>
    <definedName name="__144__________GH_2_SPINDEL">#REF!</definedName>
    <definedName name="__145__________INV_PERUSAHAA_2" localSheetId="0">#REF!</definedName>
    <definedName name="__145__________INV_PERUSAHAA_2">#REF!</definedName>
    <definedName name="__146__________INV_PERUSAHAAN" localSheetId="0">#REF!</definedName>
    <definedName name="__146__________INV_PERUSAHAAN">#REF!</definedName>
    <definedName name="__147__________JTM_PER_TW" localSheetId="0">#REF!</definedName>
    <definedName name="__147__________JTM_PER_TW">#REF!</definedName>
    <definedName name="__148__________REKAP_KEGIATAN" localSheetId="0">#REF!</definedName>
    <definedName name="__148__________REKAP_KEGIATAN">#REF!</definedName>
    <definedName name="__149__________REKAP_PAK_AEP" localSheetId="0">#REF!</definedName>
    <definedName name="__149__________REKAP_PAK_AEP">#REF!</definedName>
    <definedName name="__14REKAP_PAK_AEP" localSheetId="0">#REF!</definedName>
    <definedName name="__14REKAP_PAK_AEP">#REF!</definedName>
    <definedName name="__15___________________SUM_MUTDAL" localSheetId="0">#REF!</definedName>
    <definedName name="__15___________________SUM_MUTDAL">#REF!</definedName>
    <definedName name="__150__________SUM_MUTDAL" localSheetId="0">#REF!</definedName>
    <definedName name="__150__________SUM_MUTDAL">#REF!</definedName>
    <definedName name="__151_________2002_VS_2001" localSheetId="0">#REF!</definedName>
    <definedName name="__151_________2002_VS_2001">#REF!</definedName>
    <definedName name="__152_________ANGG_PERUSAHA_2" localSheetId="0">#REF!</definedName>
    <definedName name="__152_________ANGG_PERUSAHA_2">#REF!</definedName>
    <definedName name="__153_________ANGG_PERUSAHAAN" localSheetId="0">#REF!</definedName>
    <definedName name="__153_________ANGG_PERUSAHAAN">#REF!</definedName>
    <definedName name="__154_________BAHAS_ANGG." localSheetId="0">#REF!</definedName>
    <definedName name="__154_________BAHAS_ANGG.">#REF!</definedName>
    <definedName name="__155_________BAHAS_DISTURB" localSheetId="0">#REF!</definedName>
    <definedName name="__155_________BAHAS_DISTURB">#REF!</definedName>
    <definedName name="__156_________FORM_A" localSheetId="0">#REF!</definedName>
    <definedName name="__156_________FORM_A">#REF!</definedName>
    <definedName name="__157_________FORM_B" localSheetId="0">#REF!</definedName>
    <definedName name="__157_________FORM_B">#REF!</definedName>
    <definedName name="__158_________GD_PER_TW" localSheetId="0">#REF!</definedName>
    <definedName name="__158_________GD_PER_TW">#REF!</definedName>
    <definedName name="__159_________GH_2_SPINDEL" localSheetId="0">#REF!</definedName>
    <definedName name="__159_________GH_2_SPINDEL">#REF!</definedName>
    <definedName name="__15SUM_MUTDAL" localSheetId="0">#REF!</definedName>
    <definedName name="__15SUM_MUTDAL">#REF!</definedName>
    <definedName name="__16__________________2002_VS_2001" localSheetId="0">#REF!</definedName>
    <definedName name="__16__________________2002_VS_2001">#REF!</definedName>
    <definedName name="__160_________INV_PERUSAHAA_2" localSheetId="0">#REF!</definedName>
    <definedName name="__160_________INV_PERUSAHAA_2">#REF!</definedName>
    <definedName name="__161_________INV_PERUSAHAAN" localSheetId="0">#REF!</definedName>
    <definedName name="__161_________INV_PERUSAHAAN">#REF!</definedName>
    <definedName name="__162_________JTM_PER_TW" localSheetId="0">#REF!</definedName>
    <definedName name="__162_________JTM_PER_TW">#REF!</definedName>
    <definedName name="__163_________REKAP_KEGIATAN" localSheetId="0">#REF!</definedName>
    <definedName name="__163_________REKAP_KEGIATAN">#REF!</definedName>
    <definedName name="__164_________REKAP_PAK_AEP" localSheetId="0">#REF!</definedName>
    <definedName name="__164_________REKAP_PAK_AEP">#REF!</definedName>
    <definedName name="__165_________SUM_MUTDAL" localSheetId="0">#REF!</definedName>
    <definedName name="__165_________SUM_MUTDAL">#REF!</definedName>
    <definedName name="__166________2002_VS_2001" localSheetId="0">#REF!</definedName>
    <definedName name="__166________2002_VS_2001">#REF!</definedName>
    <definedName name="__167________ANGG_PERUSAHA_2" localSheetId="0">#REF!</definedName>
    <definedName name="__167________ANGG_PERUSAHA_2">#REF!</definedName>
    <definedName name="__168________ANGG_PERUSAHAAN" localSheetId="0">#REF!</definedName>
    <definedName name="__168________ANGG_PERUSAHAAN">#REF!</definedName>
    <definedName name="__169________BAHAS_ANGG." localSheetId="0">#REF!</definedName>
    <definedName name="__169________BAHAS_ANGG.">#REF!</definedName>
    <definedName name="__17__________________ANGG_PERUSAHA_2" localSheetId="0">#REF!</definedName>
    <definedName name="__17__________________ANGG_PERUSAHA_2">#REF!</definedName>
    <definedName name="__170________BAHAS_DISTURB" localSheetId="0">#REF!</definedName>
    <definedName name="__170________BAHAS_DISTURB">#REF!</definedName>
    <definedName name="__171________FORM_A" localSheetId="0">#REF!</definedName>
    <definedName name="__171________FORM_A">#REF!</definedName>
    <definedName name="__172________FORM_B" localSheetId="0">#REF!</definedName>
    <definedName name="__172________FORM_B">#REF!</definedName>
    <definedName name="__173________GD_PER_TW" localSheetId="0">#REF!</definedName>
    <definedName name="__173________GD_PER_TW">#REF!</definedName>
    <definedName name="__174________GH_2_SPINDEL" localSheetId="0">#REF!</definedName>
    <definedName name="__174________GH_2_SPINDEL">#REF!</definedName>
    <definedName name="__175________INV_PERUSAHAA_2" localSheetId="0">#REF!</definedName>
    <definedName name="__175________INV_PERUSAHAA_2">#REF!</definedName>
    <definedName name="__176________INV_PERUSAHAAN" localSheetId="0">#REF!</definedName>
    <definedName name="__176________INV_PERUSAHAAN">#REF!</definedName>
    <definedName name="__177________JTM_PER_TW" localSheetId="0">#REF!</definedName>
    <definedName name="__177________JTM_PER_TW">#REF!</definedName>
    <definedName name="__178________REKAP_KEGIATAN" localSheetId="0">#REF!</definedName>
    <definedName name="__178________REKAP_KEGIATAN">#REF!</definedName>
    <definedName name="__179________REKAP_PAK_AEP" localSheetId="0">#REF!</definedName>
    <definedName name="__179________REKAP_PAK_AEP">#REF!</definedName>
    <definedName name="__18__________________ANGG_PERUSAHAAN" localSheetId="0">#REF!</definedName>
    <definedName name="__18__________________ANGG_PERUSAHAAN">#REF!</definedName>
    <definedName name="__180________SUM_MUTDAL" localSheetId="0">#REF!</definedName>
    <definedName name="__180________SUM_MUTDAL">#REF!</definedName>
    <definedName name="__181_______2002_VS_2001" localSheetId="0">#REF!</definedName>
    <definedName name="__181_______2002_VS_2001">#REF!</definedName>
    <definedName name="__182_______ANGG_PERUSAHA_2" localSheetId="0">#REF!</definedName>
    <definedName name="__182_______ANGG_PERUSAHA_2">#REF!</definedName>
    <definedName name="__183_______ANGG_PERUSAHAAN" localSheetId="0">#REF!</definedName>
    <definedName name="__183_______ANGG_PERUSAHAAN">#REF!</definedName>
    <definedName name="__184_______BAHAS_ANGG." localSheetId="0">#REF!</definedName>
    <definedName name="__184_______BAHAS_ANGG.">#REF!</definedName>
    <definedName name="__185_______BAHAS_DISTURB" localSheetId="0">#REF!</definedName>
    <definedName name="__185_______BAHAS_DISTURB">#REF!</definedName>
    <definedName name="__186_______FORM_A" localSheetId="0">#REF!</definedName>
    <definedName name="__186_______FORM_A">#REF!</definedName>
    <definedName name="__187_______FORM_B" localSheetId="0">#REF!</definedName>
    <definedName name="__187_______FORM_B">#REF!</definedName>
    <definedName name="__188_______GD_PER_TW" localSheetId="0">#REF!</definedName>
    <definedName name="__188_______GD_PER_TW">#REF!</definedName>
    <definedName name="__189_______GH_2_SPINDEL" localSheetId="0">#REF!</definedName>
    <definedName name="__189_______GH_2_SPINDEL">#REF!</definedName>
    <definedName name="__19__________________BAHAS_ANGG." localSheetId="0">#REF!</definedName>
    <definedName name="__19__________________BAHAS_ANGG.">#REF!</definedName>
    <definedName name="__190_______INV_PERUSAHAA_2" localSheetId="0">#REF!</definedName>
    <definedName name="__190_______INV_PERUSAHAA_2">#REF!</definedName>
    <definedName name="__191_______INV_PERUSAHAAN" localSheetId="0">#REF!</definedName>
    <definedName name="__191_______INV_PERUSAHAAN">#REF!</definedName>
    <definedName name="__192_______JTM_PER_TW" localSheetId="0">#REF!</definedName>
    <definedName name="__192_______JTM_PER_TW">#REF!</definedName>
    <definedName name="__193_______REKAP_KEGIATAN" localSheetId="0">#REF!</definedName>
    <definedName name="__193_______REKAP_KEGIATAN">#REF!</definedName>
    <definedName name="__194_______REKAP_PAK_AEP" localSheetId="0">#REF!</definedName>
    <definedName name="__194_______REKAP_PAK_AEP">#REF!</definedName>
    <definedName name="__195_______SUM_MUTDAL" localSheetId="0">#REF!</definedName>
    <definedName name="__195_______SUM_MUTDAL">#REF!</definedName>
    <definedName name="__196______2002_VS_2001" localSheetId="0">#REF!</definedName>
    <definedName name="__196______2002_VS_2001">#REF!</definedName>
    <definedName name="__197______ANGG_PERUSAHA_2" localSheetId="0">#REF!</definedName>
    <definedName name="__197______ANGG_PERUSAHA_2">#REF!</definedName>
    <definedName name="__198______ANGG_PERUSAHAAN" localSheetId="0">#REF!</definedName>
    <definedName name="__198______ANGG_PERUSAHAAN">#REF!</definedName>
    <definedName name="__199______BAHAS_ANGG." localSheetId="0">#REF!</definedName>
    <definedName name="__199______BAHAS_ANGG.">#REF!</definedName>
    <definedName name="__2___________________ANGG_PERUSAHA_2" localSheetId="0">#REF!</definedName>
    <definedName name="__2___________________ANGG_PERUSAHA_2">#REF!</definedName>
    <definedName name="__20__________________BAHAS_DISTURB" localSheetId="0">#REF!</definedName>
    <definedName name="__20__________________BAHAS_DISTURB">#REF!</definedName>
    <definedName name="__200______BAHAS_DISTURB" localSheetId="0">#REF!</definedName>
    <definedName name="__200______BAHAS_DISTURB">#REF!</definedName>
    <definedName name="__201______FORM_A" localSheetId="0">#REF!</definedName>
    <definedName name="__201______FORM_A">#REF!</definedName>
    <definedName name="__202______FORM_B" localSheetId="0">#REF!</definedName>
    <definedName name="__202______FORM_B">#REF!</definedName>
    <definedName name="__203______GD_PER_TW" localSheetId="0">#REF!</definedName>
    <definedName name="__203______GD_PER_TW">#REF!</definedName>
    <definedName name="__204______GH_2_SPINDEL" localSheetId="0">#REF!</definedName>
    <definedName name="__204______GH_2_SPINDEL">#REF!</definedName>
    <definedName name="__205______INV_PERUSAHAA_2" localSheetId="0">#REF!</definedName>
    <definedName name="__205______INV_PERUSAHAA_2">#REF!</definedName>
    <definedName name="__206______INV_PERUSAHAAN" localSheetId="0">#REF!</definedName>
    <definedName name="__206______INV_PERUSAHAAN">#REF!</definedName>
    <definedName name="__207______JTM_PER_TW" localSheetId="0">#REF!</definedName>
    <definedName name="__207______JTM_PER_TW">#REF!</definedName>
    <definedName name="__208______REKAP_KEGIATAN" localSheetId="0">#REF!</definedName>
    <definedName name="__208______REKAP_KEGIATAN">#REF!</definedName>
    <definedName name="__209______REKAP_PAK_AEP" localSheetId="0">#REF!</definedName>
    <definedName name="__209______REKAP_PAK_AEP">#REF!</definedName>
    <definedName name="__21__________________FORM_A" localSheetId="0">#REF!</definedName>
    <definedName name="__21__________________FORM_A">#REF!</definedName>
    <definedName name="__210______SUM_MUTDAL" localSheetId="0">#REF!</definedName>
    <definedName name="__210______SUM_MUTDAL">#REF!</definedName>
    <definedName name="__211_____2002_VS_2001" localSheetId="0">#REF!</definedName>
    <definedName name="__211_____2002_VS_2001">#REF!</definedName>
    <definedName name="__212_____ANGG_PERUSAHA_2" localSheetId="0">#REF!</definedName>
    <definedName name="__212_____ANGG_PERUSAHA_2">#REF!</definedName>
    <definedName name="__213_____ANGG_PERUSAHAAN" localSheetId="0">#REF!</definedName>
    <definedName name="__213_____ANGG_PERUSAHAAN">#REF!</definedName>
    <definedName name="__214_____BAHAS_ANGG." localSheetId="0">#REF!</definedName>
    <definedName name="__214_____BAHAS_ANGG.">#REF!</definedName>
    <definedName name="__215_____BAHAS_DISTURB" localSheetId="0">#REF!</definedName>
    <definedName name="__215_____BAHAS_DISTURB">#REF!</definedName>
    <definedName name="__216_____FORM_A" localSheetId="0">#REF!</definedName>
    <definedName name="__216_____FORM_A">#REF!</definedName>
    <definedName name="__217_____FORM_B" localSheetId="0">#REF!</definedName>
    <definedName name="__217_____FORM_B">#REF!</definedName>
    <definedName name="__218_____GD_PER_TW" localSheetId="0">#REF!</definedName>
    <definedName name="__218_____GD_PER_TW">#REF!</definedName>
    <definedName name="__219_____GH_2_SPINDEL" localSheetId="0">#REF!</definedName>
    <definedName name="__219_____GH_2_SPINDEL">#REF!</definedName>
    <definedName name="__22__________________FORM_B" localSheetId="0">#REF!</definedName>
    <definedName name="__22__________________FORM_B">#REF!</definedName>
    <definedName name="__220_____INV_PERUSAHAA_2" localSheetId="0">#REF!</definedName>
    <definedName name="__220_____INV_PERUSAHAA_2">#REF!</definedName>
    <definedName name="__221_____INV_PERUSAHAAN" localSheetId="0">#REF!</definedName>
    <definedName name="__221_____INV_PERUSAHAAN">#REF!</definedName>
    <definedName name="__222_____JTM_PER_TW" localSheetId="0">#REF!</definedName>
    <definedName name="__222_____JTM_PER_TW">#REF!</definedName>
    <definedName name="__223_____REKAP_KEGIATAN" localSheetId="0">#REF!</definedName>
    <definedName name="__223_____REKAP_KEGIATAN">#REF!</definedName>
    <definedName name="__224_____REKAP_PAK_AEP" localSheetId="0">#REF!</definedName>
    <definedName name="__224_____REKAP_PAK_AEP">#REF!</definedName>
    <definedName name="__225_____SUM_MUTDAL" localSheetId="0">#REF!</definedName>
    <definedName name="__225_____SUM_MUTDAL">#REF!</definedName>
    <definedName name="__226____2002_VS_2001" localSheetId="0">#REF!</definedName>
    <definedName name="__226____2002_VS_2001">#REF!</definedName>
    <definedName name="__227____ANGG_PERUSAHA_2" localSheetId="0">#REF!</definedName>
    <definedName name="__227____ANGG_PERUSAHA_2">#REF!</definedName>
    <definedName name="__228____ANGG_PERUSAHAAN" localSheetId="0">#REF!</definedName>
    <definedName name="__228____ANGG_PERUSAHAAN">#REF!</definedName>
    <definedName name="__229____BAHAS_ANGG." localSheetId="0">#REF!</definedName>
    <definedName name="__229____BAHAS_ANGG.">#REF!</definedName>
    <definedName name="__23__________________GD_PER_TW" localSheetId="0">#REF!</definedName>
    <definedName name="__23__________________GD_PER_TW">#REF!</definedName>
    <definedName name="__230____BAHAS_DISTURB" localSheetId="0">#REF!</definedName>
    <definedName name="__230____BAHAS_DISTURB">#REF!</definedName>
    <definedName name="__231____FORM_A" localSheetId="0">#REF!</definedName>
    <definedName name="__231____FORM_A">#REF!</definedName>
    <definedName name="__232____FORM_B" localSheetId="0">#REF!</definedName>
    <definedName name="__232____FORM_B">#REF!</definedName>
    <definedName name="__233____GD_PER_TW" localSheetId="0">#REF!</definedName>
    <definedName name="__233____GD_PER_TW">#REF!</definedName>
    <definedName name="__234____GH_2_SPINDEL" localSheetId="0">#REF!</definedName>
    <definedName name="__234____GH_2_SPINDEL">#REF!</definedName>
    <definedName name="__235____INV_PERUSAHAA_2" localSheetId="0">#REF!</definedName>
    <definedName name="__235____INV_PERUSAHAA_2">#REF!</definedName>
    <definedName name="__236____INV_PERUSAHAAN" localSheetId="0">#REF!</definedName>
    <definedName name="__236____INV_PERUSAHAAN">#REF!</definedName>
    <definedName name="__237____JTM_PER_TW" localSheetId="0">#REF!</definedName>
    <definedName name="__237____JTM_PER_TW">#REF!</definedName>
    <definedName name="__238____REKAP_KEGIATAN" localSheetId="0">#REF!</definedName>
    <definedName name="__238____REKAP_KEGIATAN">#REF!</definedName>
    <definedName name="__239____REKAP_PAK_AEP" localSheetId="0">#REF!</definedName>
    <definedName name="__239____REKAP_PAK_AEP">#REF!</definedName>
    <definedName name="__24__________________GH_2_SPINDEL" localSheetId="0">#REF!</definedName>
    <definedName name="__24__________________GH_2_SPINDEL">#REF!</definedName>
    <definedName name="__240____SUM_MUTDAL" localSheetId="0">#REF!</definedName>
    <definedName name="__240____SUM_MUTDAL">#REF!</definedName>
    <definedName name="__241__2002_VS_2001" localSheetId="0">#REF!</definedName>
    <definedName name="__241__2002_VS_2001">#REF!</definedName>
    <definedName name="__242__ANGG_PERUSAHA_2" localSheetId="0">#REF!</definedName>
    <definedName name="__242__ANGG_PERUSAHA_2">#REF!</definedName>
    <definedName name="__243__ANGG_PERUSAHAAN" localSheetId="0">#REF!</definedName>
    <definedName name="__243__ANGG_PERUSAHAAN">#REF!</definedName>
    <definedName name="__244__BAHAS_ANGG." localSheetId="0">#REF!</definedName>
    <definedName name="__244__BAHAS_ANGG.">#REF!</definedName>
    <definedName name="__245__BAHAS_DISTURB" localSheetId="0">#REF!</definedName>
    <definedName name="__245__BAHAS_DISTURB">#REF!</definedName>
    <definedName name="__246__FORM_A" localSheetId="0">#REF!</definedName>
    <definedName name="__246__FORM_A">#REF!</definedName>
    <definedName name="__247__FORM_B" localSheetId="0">#REF!</definedName>
    <definedName name="__247__FORM_B">#REF!</definedName>
    <definedName name="__248__GD_PER_TW" localSheetId="0">#REF!</definedName>
    <definedName name="__248__GD_PER_TW">#REF!</definedName>
    <definedName name="__249__GH_2_SPINDEL" localSheetId="0">#REF!</definedName>
    <definedName name="__249__GH_2_SPINDEL">#REF!</definedName>
    <definedName name="__25__________________INV_PERUSAHAA_2" localSheetId="0">#REF!</definedName>
    <definedName name="__25__________________INV_PERUSAHAA_2">#REF!</definedName>
    <definedName name="__250__INV_PERUSAHAA_2" localSheetId="0">#REF!</definedName>
    <definedName name="__250__INV_PERUSAHAA_2">#REF!</definedName>
    <definedName name="__251__INV_PERUSAHAAN" localSheetId="0">#REF!</definedName>
    <definedName name="__251__INV_PERUSAHAAN">#REF!</definedName>
    <definedName name="__252__JTM_PER_TW" localSheetId="0">#REF!</definedName>
    <definedName name="__252__JTM_PER_TW">#REF!</definedName>
    <definedName name="__253__REKAP_KEGIATAN" localSheetId="0">#REF!</definedName>
    <definedName name="__253__REKAP_KEGIATAN">#REF!</definedName>
    <definedName name="__254__REKAP_PAK_AEP" localSheetId="0">#REF!</definedName>
    <definedName name="__254__REKAP_PAK_AEP">#REF!</definedName>
    <definedName name="__255__SUM_MUTDAL" localSheetId="0">#REF!</definedName>
    <definedName name="__255__SUM_MUTDAL">#REF!</definedName>
    <definedName name="__256_2002_VS_2001" localSheetId="0">#REF!</definedName>
    <definedName name="__256_2002_VS_2001">#REF!</definedName>
    <definedName name="__257_ANGG_PERUSAHA_2" localSheetId="0">#REF!</definedName>
    <definedName name="__257_ANGG_PERUSAHA_2">#REF!</definedName>
    <definedName name="__258_ANGG_PERUSAHAAN" localSheetId="0">#REF!</definedName>
    <definedName name="__258_ANGG_PERUSAHAAN">#REF!</definedName>
    <definedName name="__259_BAHAS_ANGG." localSheetId="0">#REF!</definedName>
    <definedName name="__259_BAHAS_ANGG.">#REF!</definedName>
    <definedName name="__26__________________INV_PERUSAHAAN" localSheetId="0">#REF!</definedName>
    <definedName name="__26__________________INV_PERUSAHAAN">#REF!</definedName>
    <definedName name="__260_BAHAS_DISTURB" localSheetId="0">#REF!</definedName>
    <definedName name="__260_BAHAS_DISTURB">#REF!</definedName>
    <definedName name="__261_FORM_A" localSheetId="0">#REF!</definedName>
    <definedName name="__261_FORM_A">#REF!</definedName>
    <definedName name="__262_FORM_B" localSheetId="0">#REF!</definedName>
    <definedName name="__262_FORM_B">#REF!</definedName>
    <definedName name="__263_GD_PER_TW" localSheetId="0">#REF!</definedName>
    <definedName name="__263_GD_PER_TW">#REF!</definedName>
    <definedName name="__264_GH_2_SPINDEL" localSheetId="0">#REF!</definedName>
    <definedName name="__264_GH_2_SPINDEL">#REF!</definedName>
    <definedName name="__265_INV_PERUSAHAA_2" localSheetId="0">#REF!</definedName>
    <definedName name="__265_INV_PERUSAHAA_2">#REF!</definedName>
    <definedName name="__266_INV_PERUSAHAAN" localSheetId="0">#REF!</definedName>
    <definedName name="__266_INV_PERUSAHAAN">#REF!</definedName>
    <definedName name="__267_JTM_PER_TW" localSheetId="0">#REF!</definedName>
    <definedName name="__267_JTM_PER_TW">#REF!</definedName>
    <definedName name="__268_REKAP_KEGIATAN" localSheetId="0">#REF!</definedName>
    <definedName name="__268_REKAP_KEGIATAN">#REF!</definedName>
    <definedName name="__269_REKAP_PAK_AEP" localSheetId="0">#REF!</definedName>
    <definedName name="__269_REKAP_PAK_AEP">#REF!</definedName>
    <definedName name="__27__________________JTM_PER_TW" localSheetId="0">#REF!</definedName>
    <definedName name="__27__________________JTM_PER_TW">#REF!</definedName>
    <definedName name="__270_SUM_MUTDAL" localSheetId="0">#REF!</definedName>
    <definedName name="__270_SUM_MUTDAL">#REF!</definedName>
    <definedName name="__271_2002_VS_2001" localSheetId="0">#REF!</definedName>
    <definedName name="__271_2002_VS_2001">#REF!</definedName>
    <definedName name="__272ANGG_PERUSAHA_2" localSheetId="0">#REF!</definedName>
    <definedName name="__272ANGG_PERUSAHA_2">#REF!</definedName>
    <definedName name="__273ANGG_PERUSAHAAN" localSheetId="0">#REF!</definedName>
    <definedName name="__273ANGG_PERUSAHAAN">#REF!</definedName>
    <definedName name="__274BAHAS_ANGG." localSheetId="0">#REF!</definedName>
    <definedName name="__274BAHAS_ANGG.">#REF!</definedName>
    <definedName name="__275BAHAS_DISTURB" localSheetId="0">#REF!</definedName>
    <definedName name="__275BAHAS_DISTURB">#REF!</definedName>
    <definedName name="__276FORM_A" localSheetId="0">#REF!</definedName>
    <definedName name="__276FORM_A">#REF!</definedName>
    <definedName name="__277FORM_B" localSheetId="0">#REF!</definedName>
    <definedName name="__277FORM_B">#REF!</definedName>
    <definedName name="__278GD_PER_TW" localSheetId="0">#REF!</definedName>
    <definedName name="__278GD_PER_TW">#REF!</definedName>
    <definedName name="__279GH_2_SPINDEL" localSheetId="0">#REF!</definedName>
    <definedName name="__279GH_2_SPINDEL">#REF!</definedName>
    <definedName name="__28__________________REKAP_KEGIATAN" localSheetId="0">#REF!</definedName>
    <definedName name="__28__________________REKAP_KEGIATAN">#REF!</definedName>
    <definedName name="__280INV_PERUSAHAA_2" localSheetId="0">#REF!</definedName>
    <definedName name="__280INV_PERUSAHAA_2">#REF!</definedName>
    <definedName name="__281INV_PERUSAHAAN" localSheetId="0">#REF!</definedName>
    <definedName name="__281INV_PERUSAHAAN">#REF!</definedName>
    <definedName name="__282JTM_PER_TW" localSheetId="0">#REF!</definedName>
    <definedName name="__282JTM_PER_TW">#REF!</definedName>
    <definedName name="__283REKAP_KEGIATAN" localSheetId="0">#REF!</definedName>
    <definedName name="__283REKAP_KEGIATAN">#REF!</definedName>
    <definedName name="__284REKAP_PAK_AEP" localSheetId="0">#REF!</definedName>
    <definedName name="__284REKAP_PAK_AEP">#REF!</definedName>
    <definedName name="__285SUM_MUTDAL" localSheetId="0">#REF!</definedName>
    <definedName name="__285SUM_MUTDAL">#REF!</definedName>
    <definedName name="__29__________________REKAP_PAK_AEP" localSheetId="0">#REF!</definedName>
    <definedName name="__29__________________REKAP_PAK_AEP">#REF!</definedName>
    <definedName name="__2ANGG_PERUSAHA_2" localSheetId="0">#REF!</definedName>
    <definedName name="__2ANGG_PERUSAHA_2">#REF!</definedName>
    <definedName name="__3___________________ANGG_PERUSAHAAN" localSheetId="0">#REF!</definedName>
    <definedName name="__3___________________ANGG_PERUSAHAAN">#REF!</definedName>
    <definedName name="__30__________________SUM_MUTDAL" localSheetId="0">#REF!</definedName>
    <definedName name="__30__________________SUM_MUTDAL">#REF!</definedName>
    <definedName name="__31_________________2002_VS_2001" localSheetId="0">#REF!</definedName>
    <definedName name="__31_________________2002_VS_2001">#REF!</definedName>
    <definedName name="__32_________________ANGG_PERUSAHA_2" localSheetId="0">#REF!</definedName>
    <definedName name="__32_________________ANGG_PERUSAHA_2">#REF!</definedName>
    <definedName name="__33_________________ANGG_PERUSAHAAN" localSheetId="0">#REF!</definedName>
    <definedName name="__33_________________ANGG_PERUSAHAAN">#REF!</definedName>
    <definedName name="__34_________________BAHAS_ANGG." localSheetId="0">#REF!</definedName>
    <definedName name="__34_________________BAHAS_ANGG.">#REF!</definedName>
    <definedName name="__35_________________BAHAS_DISTURB" localSheetId="0">#REF!</definedName>
    <definedName name="__35_________________BAHAS_DISTURB">#REF!</definedName>
    <definedName name="__36_________________FORM_A" localSheetId="0">#REF!</definedName>
    <definedName name="__36_________________FORM_A">#REF!</definedName>
    <definedName name="__37_________________FORM_B" localSheetId="0">#REF!</definedName>
    <definedName name="__37_________________FORM_B">#REF!</definedName>
    <definedName name="__38_________________GD_PER_TW" localSheetId="0">#REF!</definedName>
    <definedName name="__38_________________GD_PER_TW">#REF!</definedName>
    <definedName name="__39_________________GH_2_SPINDEL" localSheetId="0">#REF!</definedName>
    <definedName name="__39_________________GH_2_SPINDEL">#REF!</definedName>
    <definedName name="__3ANGG_PERUSAHAAN" localSheetId="0">#REF!</definedName>
    <definedName name="__3ANGG_PERUSAHAAN">#REF!</definedName>
    <definedName name="__4___________________BAHAS_ANGG." localSheetId="0">#REF!</definedName>
    <definedName name="__4___________________BAHAS_ANGG.">#REF!</definedName>
    <definedName name="__40_________________INV_PERUSAHAA_2" localSheetId="0">#REF!</definedName>
    <definedName name="__40_________________INV_PERUSAHAA_2">#REF!</definedName>
    <definedName name="__41_________________INV_PERUSAHAAN" localSheetId="0">#REF!</definedName>
    <definedName name="__41_________________INV_PERUSAHAAN">#REF!</definedName>
    <definedName name="__42_________________JTM_PER_TW" localSheetId="0">#REF!</definedName>
    <definedName name="__42_________________JTM_PER_TW">#REF!</definedName>
    <definedName name="__43_________________REKAP_KEGIATAN" localSheetId="0">#REF!</definedName>
    <definedName name="__43_________________REKAP_KEGIATAN">#REF!</definedName>
    <definedName name="__44_________________REKAP_PAK_AEP" localSheetId="0">#REF!</definedName>
    <definedName name="__44_________________REKAP_PAK_AEP">#REF!</definedName>
    <definedName name="__45_________________SUM_MUTDAL" localSheetId="0">#REF!</definedName>
    <definedName name="__45_________________SUM_MUTDAL">#REF!</definedName>
    <definedName name="__46________________2002_VS_2001" localSheetId="0">#REF!</definedName>
    <definedName name="__46________________2002_VS_2001">#REF!</definedName>
    <definedName name="__47________________ANGG_PERUSAHA_2" localSheetId="0">#REF!</definedName>
    <definedName name="__47________________ANGG_PERUSAHA_2">#REF!</definedName>
    <definedName name="__48________________ANGG_PERUSAHAAN" localSheetId="0">#REF!</definedName>
    <definedName name="__48________________ANGG_PERUSAHAAN">#REF!</definedName>
    <definedName name="__49________________BAHAS_ANGG." localSheetId="0">#REF!</definedName>
    <definedName name="__49________________BAHAS_ANGG.">#REF!</definedName>
    <definedName name="__4BAHAS_ANGG." localSheetId="0">#REF!</definedName>
    <definedName name="__4BAHAS_ANGG.">#REF!</definedName>
    <definedName name="__5___________________BAHAS_DISTURB" localSheetId="0">#REF!</definedName>
    <definedName name="__5___________________BAHAS_DISTURB">#REF!</definedName>
    <definedName name="__50________________BAHAS_DISTURB" localSheetId="0">#REF!</definedName>
    <definedName name="__50________________BAHAS_DISTURB">#REF!</definedName>
    <definedName name="__51________________FORM_A" localSheetId="0">#REF!</definedName>
    <definedName name="__51________________FORM_A">#REF!</definedName>
    <definedName name="__52________________FORM_B" localSheetId="0">#REF!</definedName>
    <definedName name="__52________________FORM_B">#REF!</definedName>
    <definedName name="__53________________GD_PER_TW" localSheetId="0">#REF!</definedName>
    <definedName name="__53________________GD_PER_TW">#REF!</definedName>
    <definedName name="__54________________GH_2_SPINDEL" localSheetId="0">#REF!</definedName>
    <definedName name="__54________________GH_2_SPINDEL">#REF!</definedName>
    <definedName name="__55________________INV_PERUSAHAA_2" localSheetId="0">#REF!</definedName>
    <definedName name="__55________________INV_PERUSAHAA_2">#REF!</definedName>
    <definedName name="__56________________INV_PERUSAHAAN" localSheetId="0">#REF!</definedName>
    <definedName name="__56________________INV_PERUSAHAAN">#REF!</definedName>
    <definedName name="__57________________JTM_PER_TW" localSheetId="0">#REF!</definedName>
    <definedName name="__57________________JTM_PER_TW">#REF!</definedName>
    <definedName name="__58________________REKAP_KEGIATAN" localSheetId="0">#REF!</definedName>
    <definedName name="__58________________REKAP_KEGIATAN">#REF!</definedName>
    <definedName name="__59________________REKAP_PAK_AEP" localSheetId="0">#REF!</definedName>
    <definedName name="__59________________REKAP_PAK_AEP">#REF!</definedName>
    <definedName name="__5BAHAS_DISTURB" localSheetId="0">#REF!</definedName>
    <definedName name="__5BAHAS_DISTURB">#REF!</definedName>
    <definedName name="__6___________________FORM_A" localSheetId="0">#REF!</definedName>
    <definedName name="__6___________________FORM_A">#REF!</definedName>
    <definedName name="__60________________SUM_MUTDAL" localSheetId="0">#REF!</definedName>
    <definedName name="__60________________SUM_MUTDAL">#REF!</definedName>
    <definedName name="__61_______________2002_VS_2001" localSheetId="0">#REF!</definedName>
    <definedName name="__61_______________2002_VS_2001">#REF!</definedName>
    <definedName name="__62_______________ANGG_PERUSAHA_2" localSheetId="0">#REF!</definedName>
    <definedName name="__62_______________ANGG_PERUSAHA_2">#REF!</definedName>
    <definedName name="__63_______________ANGG_PERUSAHAAN" localSheetId="0">#REF!</definedName>
    <definedName name="__63_______________ANGG_PERUSAHAAN">#REF!</definedName>
    <definedName name="__64_______________BAHAS_ANGG." localSheetId="0">#REF!</definedName>
    <definedName name="__64_______________BAHAS_ANGG.">#REF!</definedName>
    <definedName name="__65_______________BAHAS_DISTURB" localSheetId="0">#REF!</definedName>
    <definedName name="__65_______________BAHAS_DISTURB">#REF!</definedName>
    <definedName name="__66_______________FORM_A" localSheetId="0">#REF!</definedName>
    <definedName name="__66_______________FORM_A">#REF!</definedName>
    <definedName name="__67_______________FORM_B" localSheetId="0">#REF!</definedName>
    <definedName name="__67_______________FORM_B">#REF!</definedName>
    <definedName name="__68_______________GD_PER_TW" localSheetId="0">#REF!</definedName>
    <definedName name="__68_______________GD_PER_TW">#REF!</definedName>
    <definedName name="__69_______________GH_2_SPINDEL" localSheetId="0">#REF!</definedName>
    <definedName name="__69_______________GH_2_SPINDEL">#REF!</definedName>
    <definedName name="__6FORM_A" localSheetId="0">#REF!</definedName>
    <definedName name="__6FORM_A">#REF!</definedName>
    <definedName name="__7___________________FORM_B" localSheetId="0">#REF!</definedName>
    <definedName name="__7___________________FORM_B">#REF!</definedName>
    <definedName name="__70_______________INV_PERUSAHAA_2" localSheetId="0">#REF!</definedName>
    <definedName name="__70_______________INV_PERUSAHAA_2">#REF!</definedName>
    <definedName name="__71_______________INV_PERUSAHAAN" localSheetId="0">#REF!</definedName>
    <definedName name="__71_______________INV_PERUSAHAAN">#REF!</definedName>
    <definedName name="__72_______________JTM_PER_TW" localSheetId="0">#REF!</definedName>
    <definedName name="__72_______________JTM_PER_TW">#REF!</definedName>
    <definedName name="__73_______________REKAP_KEGIATAN" localSheetId="0">#REF!</definedName>
    <definedName name="__73_______________REKAP_KEGIATAN">#REF!</definedName>
    <definedName name="__74_______________REKAP_PAK_AEP" localSheetId="0">#REF!</definedName>
    <definedName name="__74_______________REKAP_PAK_AEP">#REF!</definedName>
    <definedName name="__75_______________SUM_MUTDAL" localSheetId="0">#REF!</definedName>
    <definedName name="__75_______________SUM_MUTDAL">#REF!</definedName>
    <definedName name="__76______________2002_VS_2001" localSheetId="0">#REF!</definedName>
    <definedName name="__76______________2002_VS_2001">#REF!</definedName>
    <definedName name="__77______________ANGG_PERUSAHA_2" localSheetId="0">#REF!</definedName>
    <definedName name="__77______________ANGG_PERUSAHA_2">#REF!</definedName>
    <definedName name="__78______________ANGG_PERUSAHAAN" localSheetId="0">#REF!</definedName>
    <definedName name="__78______________ANGG_PERUSAHAAN">#REF!</definedName>
    <definedName name="__79______________BAHAS_ANGG." localSheetId="0">#REF!</definedName>
    <definedName name="__79______________BAHAS_ANGG.">#REF!</definedName>
    <definedName name="__7FORM_B" localSheetId="0">#REF!</definedName>
    <definedName name="__7FORM_B">#REF!</definedName>
    <definedName name="__8___________________GD_PER_TW" localSheetId="0">#REF!</definedName>
    <definedName name="__8___________________GD_PER_TW">#REF!</definedName>
    <definedName name="__80______________BAHAS_DISTURB" localSheetId="0">#REF!</definedName>
    <definedName name="__80______________BAHAS_DISTURB">#REF!</definedName>
    <definedName name="__81______________FORM_A" localSheetId="0">#REF!</definedName>
    <definedName name="__81______________FORM_A">#REF!</definedName>
    <definedName name="__82______________FORM_B" localSheetId="0">#REF!</definedName>
    <definedName name="__82______________FORM_B">#REF!</definedName>
    <definedName name="__83______________GD_PER_TW" localSheetId="0">#REF!</definedName>
    <definedName name="__83______________GD_PER_TW">#REF!</definedName>
    <definedName name="__84______________GH_2_SPINDEL" localSheetId="0">#REF!</definedName>
    <definedName name="__84______________GH_2_SPINDEL">#REF!</definedName>
    <definedName name="__85______________INV_PERUSAHAA_2" localSheetId="0">#REF!</definedName>
    <definedName name="__85______________INV_PERUSAHAA_2">#REF!</definedName>
    <definedName name="__86______________INV_PERUSAHAAN" localSheetId="0">#REF!</definedName>
    <definedName name="__86______________INV_PERUSAHAAN">#REF!</definedName>
    <definedName name="__87______________JTM_PER_TW" localSheetId="0">#REF!</definedName>
    <definedName name="__87______________JTM_PER_TW">#REF!</definedName>
    <definedName name="__88______________REKAP_KEGIATAN" localSheetId="0">#REF!</definedName>
    <definedName name="__88______________REKAP_KEGIATAN">#REF!</definedName>
    <definedName name="__89______________REKAP_PAK_AEP" localSheetId="0">#REF!</definedName>
    <definedName name="__89______________REKAP_PAK_AEP">#REF!</definedName>
    <definedName name="__8GD_PER_TW" localSheetId="0">#REF!</definedName>
    <definedName name="__8GD_PER_TW">#REF!</definedName>
    <definedName name="__9___________________GH_2_SPINDEL" localSheetId="0">#REF!</definedName>
    <definedName name="__9___________________GH_2_SPINDEL">#REF!</definedName>
    <definedName name="__90______________SUM_MUTDAL" localSheetId="0">#REF!</definedName>
    <definedName name="__90______________SUM_MUTDAL">#REF!</definedName>
    <definedName name="__91_____________2002_VS_2001" localSheetId="0">#REF!</definedName>
    <definedName name="__91_____________2002_VS_2001">#REF!</definedName>
    <definedName name="__92_____________ANGG_PERUSAHA_2" localSheetId="0">#REF!</definedName>
    <definedName name="__92_____________ANGG_PERUSAHA_2">#REF!</definedName>
    <definedName name="__93_____________ANGG_PERUSAHAAN" localSheetId="0">#REF!</definedName>
    <definedName name="__93_____________ANGG_PERUSAHAAN">#REF!</definedName>
    <definedName name="__94_____________BAHAS_ANGG." localSheetId="0">#REF!</definedName>
    <definedName name="__94_____________BAHAS_ANGG.">#REF!</definedName>
    <definedName name="__95_____________BAHAS_DISTURB" localSheetId="0">#REF!</definedName>
    <definedName name="__95_____________BAHAS_DISTURB">#REF!</definedName>
    <definedName name="__96_____________FORM_A" localSheetId="0">#REF!</definedName>
    <definedName name="__96_____________FORM_A">#REF!</definedName>
    <definedName name="__97_____________FORM_B" localSheetId="0">#REF!</definedName>
    <definedName name="__97_____________FORM_B">#REF!</definedName>
    <definedName name="__98_____________GD_PER_TW" localSheetId="0">#REF!</definedName>
    <definedName name="__98_____________GD_PER_TW">#REF!</definedName>
    <definedName name="__99_____________GH_2_SPINDEL" localSheetId="0">#REF!</definedName>
    <definedName name="__99_____________GH_2_SPINDEL">#REF!</definedName>
    <definedName name="__9GH_2_SPINDEL" localSheetId="0">#REF!</definedName>
    <definedName name="__9GH_2_SPINDEL">#REF!</definedName>
    <definedName name="__abb91" localSheetId="0">[4]chitimc!#REF!</definedName>
    <definedName name="__abb91">[4]chitimc!#REF!</definedName>
    <definedName name="__AGS02" localSheetId="0">#REF!</definedName>
    <definedName name="__AGS02">#REF!</definedName>
    <definedName name="__ags2003" localSheetId="0">#REF!</definedName>
    <definedName name="__ags2003">#REF!</definedName>
    <definedName name="__agt1">[11]REKAP!$H$31</definedName>
    <definedName name="__agt2">[11]REKAP!$H$33</definedName>
    <definedName name="__agt3">[11]REKAP!$H$35</definedName>
    <definedName name="__apr03" localSheetId="0">#REF!</definedName>
    <definedName name="__apr03">#REF!</definedName>
    <definedName name="__BAT48100">'[16]HARGA SATUAN'!$B$13</definedName>
    <definedName name="__BBM2" localSheetId="0">#REF!</definedName>
    <definedName name="__BBM2">#REF!</definedName>
    <definedName name="__col1" localSheetId="0">#REF!</definedName>
    <definedName name="__col1">#REF!</definedName>
    <definedName name="__col2" localSheetId="0">#REF!</definedName>
    <definedName name="__col2">#REF!</definedName>
    <definedName name="__col3" localSheetId="0">#REF!</definedName>
    <definedName name="__col3">#REF!</definedName>
    <definedName name="__col4" localSheetId="0">#REF!</definedName>
    <definedName name="__col4">#REF!</definedName>
    <definedName name="__CT250" localSheetId="0">'[4]dongia (2)'!#REF!</definedName>
    <definedName name="__CT250">'[4]dongia (2)'!#REF!</definedName>
    <definedName name="__DAF1" localSheetId="0">#REF!</definedName>
    <definedName name="__DAF1">#REF!</definedName>
    <definedName name="__DAF11" localSheetId="0">#REF!</definedName>
    <definedName name="__DAF11">#REF!</definedName>
    <definedName name="__DAF12" localSheetId="0">#REF!</definedName>
    <definedName name="__DAF12">#REF!</definedName>
    <definedName name="__DAF13" localSheetId="0">#REF!</definedName>
    <definedName name="__DAF13">#REF!</definedName>
    <definedName name="__daf133" localSheetId="0">#REF!</definedName>
    <definedName name="__daf133">#REF!</definedName>
    <definedName name="__DAF14" localSheetId="0">#REF!</definedName>
    <definedName name="__DAF14">#REF!</definedName>
    <definedName name="__DAF15" localSheetId="0">#REF!</definedName>
    <definedName name="__DAF15">#REF!</definedName>
    <definedName name="__DAF16" localSheetId="0">#REF!</definedName>
    <definedName name="__DAF16">#REF!</definedName>
    <definedName name="__DAF17" localSheetId="0">#REF!</definedName>
    <definedName name="__DAF17">#REF!</definedName>
    <definedName name="__DAF2" localSheetId="0">#REF!</definedName>
    <definedName name="__DAF2">#REF!</definedName>
    <definedName name="__DAF3" localSheetId="0">#REF!</definedName>
    <definedName name="__DAF3">#REF!</definedName>
    <definedName name="__ddn400" localSheetId="0">#REF!</definedName>
    <definedName name="__ddn400">#REF!</definedName>
    <definedName name="__ddn600" localSheetId="0">#REF!</definedName>
    <definedName name="__ddn600">#REF!</definedName>
    <definedName name="__DES02" localSheetId="0">#REF!</definedName>
    <definedName name="__DES02">#REF!</definedName>
    <definedName name="__dgt100" localSheetId="0">'[4]dongia (2)'!#REF!</definedName>
    <definedName name="__dgt100">'[4]dongia (2)'!#REF!</definedName>
    <definedName name="__DMA7">[6]sept!$I$68</definedName>
    <definedName name="__ERR1" localSheetId="0" hidden="1">{#N/A,#N/A,FALSE,"M.42"}</definedName>
    <definedName name="__ERR1" hidden="1">{#N/A,#N/A,FALSE,"M.42"}</definedName>
    <definedName name="__GID1">'[4]LKVL-CK-HT-GD1'!$A$4</definedName>
    <definedName name="__hal1" localSheetId="0">#REF!</definedName>
    <definedName name="__hal1">#REF!</definedName>
    <definedName name="__hal2" localSheetId="0">#REF!</definedName>
    <definedName name="__hal2">#REF!</definedName>
    <definedName name="__hal3" localSheetId="0">#REF!</definedName>
    <definedName name="__hal3">#REF!</definedName>
    <definedName name="__hal4" localSheetId="0">#REF!</definedName>
    <definedName name="__hal4">#REF!</definedName>
    <definedName name="__hal5" localSheetId="0">#REF!</definedName>
    <definedName name="__hal5">#REF!</definedName>
    <definedName name="__hal6" localSheetId="0">#REF!</definedName>
    <definedName name="__hal6">#REF!</definedName>
    <definedName name="__HLM1" localSheetId="0">#REF!</definedName>
    <definedName name="__HLM1">#REF!</definedName>
    <definedName name="__HLM2" localSheetId="0">#REF!</definedName>
    <definedName name="__HLM2">#REF!</definedName>
    <definedName name="__HLM3" localSheetId="0">#REF!</definedName>
    <definedName name="__HLM3">#REF!</definedName>
    <definedName name="__JAN02" localSheetId="0">#REF!</definedName>
    <definedName name="__JAN02">#REF!</definedName>
    <definedName name="__JAN03" localSheetId="0">#REF!</definedName>
    <definedName name="__JAN03">#REF!</definedName>
    <definedName name="__JBN3" localSheetId="0" hidden="1">{#N/A,#N/A,FALSE,"M.32"}</definedName>
    <definedName name="__JBN3" hidden="1">{#N/A,#N/A,FALSE,"M.32"}</definedName>
    <definedName name="__Jh1" localSheetId="0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__Jh1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__jml1" localSheetId="0">[12]RAB!#REF!</definedName>
    <definedName name="__jml1">[12]RAB!#REF!</definedName>
    <definedName name="__jml10" localSheetId="0">[12]RAB!#REF!</definedName>
    <definedName name="__jml10">[12]RAB!#REF!</definedName>
    <definedName name="__jml11" localSheetId="0">[12]RAB!#REF!</definedName>
    <definedName name="__jml11">[12]RAB!#REF!</definedName>
    <definedName name="__jml12" localSheetId="0">[12]RAB!#REF!</definedName>
    <definedName name="__jml12">[12]RAB!#REF!</definedName>
    <definedName name="__jml13" localSheetId="0">[12]RAB!#REF!</definedName>
    <definedName name="__jml13">[12]RAB!#REF!</definedName>
    <definedName name="__jml14" localSheetId="0">[12]RAB!#REF!</definedName>
    <definedName name="__jml14">[12]RAB!#REF!</definedName>
    <definedName name="__jml15" localSheetId="0">[12]RAB!#REF!</definedName>
    <definedName name="__jml15">[12]RAB!#REF!</definedName>
    <definedName name="__jml2" localSheetId="0">[12]RAB!#REF!</definedName>
    <definedName name="__jml2">[12]RAB!#REF!</definedName>
    <definedName name="__jml3" localSheetId="0">[12]RAB!#REF!</definedName>
    <definedName name="__jml3">[12]RAB!#REF!</definedName>
    <definedName name="__jml4" localSheetId="0">[12]RAB!#REF!</definedName>
    <definedName name="__jml4">[12]RAB!#REF!</definedName>
    <definedName name="__jml5" localSheetId="0">[12]RAB!#REF!</definedName>
    <definedName name="__jml5">[12]RAB!#REF!</definedName>
    <definedName name="__jml6" localSheetId="0">[12]RAB!#REF!</definedName>
    <definedName name="__jml6">[12]RAB!#REF!</definedName>
    <definedName name="__jml7" localSheetId="0">[12]RAB!#REF!</definedName>
    <definedName name="__jml7">[12]RAB!#REF!</definedName>
    <definedName name="__jml8" localSheetId="0">[12]RAB!#REF!</definedName>
    <definedName name="__jml8">[12]RAB!#REF!</definedName>
    <definedName name="__jml9" localSheetId="0">[12]RAB!#REF!</definedName>
    <definedName name="__jml9">[12]RAB!#REF!</definedName>
    <definedName name="__JUD1" localSheetId="0">#REF!</definedName>
    <definedName name="__JUD1">#REF!</definedName>
    <definedName name="__JUD2" localSheetId="0">#REF!</definedName>
    <definedName name="__JUD2">#REF!</definedName>
    <definedName name="__JUD3" localSheetId="0">#REF!</definedName>
    <definedName name="__JUD3">#REF!</definedName>
    <definedName name="__JUD4" localSheetId="0">#REF!</definedName>
    <definedName name="__JUD4">#REF!</definedName>
    <definedName name="__JUD5" localSheetId="0">#REF!</definedName>
    <definedName name="__JUD5">#REF!</definedName>
    <definedName name="__JUD6" localSheetId="0">#REF!</definedName>
    <definedName name="__JUD6">#REF!</definedName>
    <definedName name="__JUD7" localSheetId="0">#REF!</definedName>
    <definedName name="__JUD7">#REF!</definedName>
    <definedName name="__JUL02" localSheetId="0">#REF!</definedName>
    <definedName name="__JUL02">#REF!</definedName>
    <definedName name="__JUL3" localSheetId="0">#REF!</definedName>
    <definedName name="__JUL3">#REF!</definedName>
    <definedName name="__JUN02" localSheetId="0">#REF!</definedName>
    <definedName name="__JUN02">#REF!</definedName>
    <definedName name="__JUN03" localSheetId="0">#REF!</definedName>
    <definedName name="__JUN03">#REF!</definedName>
    <definedName name="__kb1" localSheetId="0">[17]ca!#REF!</definedName>
    <definedName name="__kb1">[17]ca!#REF!</definedName>
    <definedName name="__kb2" localSheetId="0">[17]ca!#REF!</definedName>
    <definedName name="__kb2">[17]ca!#REF!</definedName>
    <definedName name="__kin3" localSheetId="0" hidden="1">{#N/A,#N/A,FALSE,"M.31"}</definedName>
    <definedName name="__kin3" hidden="1">{#N/A,#N/A,FALSE,"M.31"}</definedName>
    <definedName name="__kit2" localSheetId="0" hidden="1">{#N/A,#N/A,FALSE,"M.43"}</definedName>
    <definedName name="__kit2" hidden="1">{#N/A,#N/A,FALSE,"M.43"}</definedName>
    <definedName name="__kl09" localSheetId="0" hidden="1">{#N/A,#N/A,FALSE,"M.01"}</definedName>
    <definedName name="__kl09" hidden="1">{#N/A,#N/A,FALSE,"M.01"}</definedName>
    <definedName name="__kp1" localSheetId="0">[17]ca!#REF!</definedName>
    <definedName name="__kp1">[17]ca!#REF!</definedName>
    <definedName name="__KWH1">'[3]DATA-BASE SUTT'!$M$11:$M$383</definedName>
    <definedName name="__KWH2">'[3]DATA-BASE SUTT'!$P$11:$P$383</definedName>
    <definedName name="__KWH3">'[3]DATA-BASE SUTT'!$S$11:$S$383</definedName>
    <definedName name="__la150">'[16]HARGA SATUAN'!$B$25</definedName>
    <definedName name="__LP2">#N/A</definedName>
    <definedName name="__M2" localSheetId="0" hidden="1">{#N/A,#N/A,FALSE,"M.42"}</definedName>
    <definedName name="__M2" hidden="1">{#N/A,#N/A,FALSE,"M.42"}</definedName>
    <definedName name="__MAC12" localSheetId="0">#REF!</definedName>
    <definedName name="__MAC12">#REF!</definedName>
    <definedName name="__MAC46" localSheetId="0">#REF!</definedName>
    <definedName name="__MAC46">#REF!</definedName>
    <definedName name="__MAIN__" localSheetId="0">#REF!</definedName>
    <definedName name="__MAIN__">#REF!</definedName>
    <definedName name="__MAN1" localSheetId="0">#REF!</definedName>
    <definedName name="__MAN1">#REF!</definedName>
    <definedName name="__MAN2" localSheetId="0">#REF!</definedName>
    <definedName name="__MAN2">#REF!</definedName>
    <definedName name="__MAN3" localSheetId="0">#REF!</definedName>
    <definedName name="__MAN3">#REF!</definedName>
    <definedName name="__mar03" localSheetId="0">#REF!</definedName>
    <definedName name="__mar03">#REF!</definedName>
    <definedName name="__MEI02" localSheetId="0">#REF!</definedName>
    <definedName name="__MEI02">#REF!</definedName>
    <definedName name="__MEI92" localSheetId="0">#REF!</definedName>
    <definedName name="__MEI92">#REF!</definedName>
    <definedName name="__NCL100" localSheetId="0">#REF!</definedName>
    <definedName name="__NCL100">#REF!</definedName>
    <definedName name="__NCL200" localSheetId="0">#REF!</definedName>
    <definedName name="__NCL200">#REF!</definedName>
    <definedName name="__NCL250" localSheetId="0">#REF!</definedName>
    <definedName name="__NCL250">#REF!</definedName>
    <definedName name="__nin190" localSheetId="0">#REF!</definedName>
    <definedName name="__nin190">#REF!</definedName>
    <definedName name="__nop02" localSheetId="0">#REF!</definedName>
    <definedName name="__nop02">#REF!</definedName>
    <definedName name="__NOP92">#N/A</definedName>
    <definedName name="__nov2003" localSheetId="0">#REF!</definedName>
    <definedName name="__nov2003">#REF!</definedName>
    <definedName name="__npv1" localSheetId="0">#REF!</definedName>
    <definedName name="__npv1">#REF!</definedName>
    <definedName name="__npv2" localSheetId="0">#REF!</definedName>
    <definedName name="__npv2">#REF!</definedName>
    <definedName name="__OAF1" localSheetId="0">#REF!</definedName>
    <definedName name="__OAF1">#REF!</definedName>
    <definedName name="__Oil1" localSheetId="0">#REF!</definedName>
    <definedName name="__Oil1">#REF!</definedName>
    <definedName name="__OKT02" localSheetId="0">#REF!</definedName>
    <definedName name="__OKT02">#REF!</definedName>
    <definedName name="__okt2003" localSheetId="0">#REF!</definedName>
    <definedName name="__okt2003">#REF!</definedName>
    <definedName name="__OKT92">#N/A</definedName>
    <definedName name="__peb03" localSheetId="0">#REF!</definedName>
    <definedName name="__peb03">#REF!</definedName>
    <definedName name="__pmt7040">'[16]HARGA SATUAN'!$B$8</definedName>
    <definedName name="__PRD1" localSheetId="0">#REF!</definedName>
    <definedName name="__PRD1">#REF!</definedName>
    <definedName name="__PRD2" localSheetId="0">#REF!</definedName>
    <definedName name="__PRD2">#REF!</definedName>
    <definedName name="__PRD3" localSheetId="0">#REF!</definedName>
    <definedName name="__PRD3">#REF!</definedName>
    <definedName name="__PRD4" localSheetId="0">#REF!</definedName>
    <definedName name="__PRD4">#REF!</definedName>
    <definedName name="__PRD5" localSheetId="0">#REF!</definedName>
    <definedName name="__PRD5">#REF!</definedName>
    <definedName name="__PTG02">[18]PTG!$C$5:$AB$58</definedName>
    <definedName name="__rab1" localSheetId="0">#REF!</definedName>
    <definedName name="__rab1">#REF!</definedName>
    <definedName name="__rab2" localSheetId="0">#REF!</definedName>
    <definedName name="__rab2">#REF!</definedName>
    <definedName name="__RAO207" localSheetId="0" hidden="1">{#N/A,#N/A,FALSE,"M.42"}</definedName>
    <definedName name="__RAO207" hidden="1">{#N/A,#N/A,FALSE,"M.42"}</definedName>
    <definedName name="__RIP2" localSheetId="0" hidden="1">{#N/A,#N/A,FALSE,"M.01"}</definedName>
    <definedName name="__RIP2" hidden="1">{#N/A,#N/A,FALSE,"M.01"}</definedName>
    <definedName name="__RIP3" localSheetId="0" hidden="1">{#N/A,#N/A,FALSE,"M.41"}</definedName>
    <definedName name="__RIP3" hidden="1">{#N/A,#N/A,FALSE,"M.41"}</definedName>
    <definedName name="__RMS1" localSheetId="0">#REF!</definedName>
    <definedName name="__RMS1">#REF!</definedName>
    <definedName name="__RMS2" localSheetId="0">#REF!</definedName>
    <definedName name="__RMS2">#REF!</definedName>
    <definedName name="__RMS3" localSheetId="0">#REF!</definedName>
    <definedName name="__RMS3">#REF!</definedName>
    <definedName name="__RMS4" localSheetId="0">#REF!</definedName>
    <definedName name="__RMS4">#REF!</definedName>
    <definedName name="__sc1" localSheetId="0">#REF!</definedName>
    <definedName name="__sc1">#REF!</definedName>
    <definedName name="__SC2" localSheetId="0">#REF!</definedName>
    <definedName name="__SC2">#REF!</definedName>
    <definedName name="__sc3" localSheetId="0">#REF!</definedName>
    <definedName name="__sc3">#REF!</definedName>
    <definedName name="__SEC1" localSheetId="0">#REF!</definedName>
    <definedName name="__SEC1">#REF!</definedName>
    <definedName name="__sec2" localSheetId="0">#REF!</definedName>
    <definedName name="__sec2">#REF!</definedName>
    <definedName name="__sem1" localSheetId="0">#REF!</definedName>
    <definedName name="__sem1">#REF!</definedName>
    <definedName name="__SEP02" localSheetId="0">#REF!</definedName>
    <definedName name="__SEP02">#REF!</definedName>
    <definedName name="__SEP03" localSheetId="0">#REF!</definedName>
    <definedName name="__SEP03">#REF!</definedName>
    <definedName name="__sep2003" localSheetId="0">#REF!</definedName>
    <definedName name="__sep2003">#REF!</definedName>
    <definedName name="__SEP92">#N/A</definedName>
    <definedName name="__SKW1">[19]NRCPTK01!$A$1:$AB$42</definedName>
    <definedName name="__SLA2009" localSheetId="0" hidden="1">{#N/A,#N/A,FALSE,"M.32"}</definedName>
    <definedName name="__SLA2009" hidden="1">{#N/A,#N/A,FALSE,"M.32"}</definedName>
    <definedName name="__sm1" localSheetId="0">#REF!</definedName>
    <definedName name="__sm1">#REF!</definedName>
    <definedName name="__SN3" localSheetId="0">#REF!</definedName>
    <definedName name="__SN3">#REF!</definedName>
    <definedName name="__Tab1" localSheetId="0">#REF!</definedName>
    <definedName name="__Tab1">#REF!</definedName>
    <definedName name="__Tab2" localSheetId="0">#REF!</definedName>
    <definedName name="__Tab2">#REF!</definedName>
    <definedName name="__Tab3" localSheetId="0">#REF!</definedName>
    <definedName name="__Tab3">#REF!</definedName>
    <definedName name="__TH1" localSheetId="0" hidden="1">{#N/A,#N/A,FALSE,"M.34"}</definedName>
    <definedName name="__TH1" hidden="1">{#N/A,#N/A,FALSE,"M.34"}</definedName>
    <definedName name="__th100" localSheetId="0">'[4]dongia (2)'!#REF!</definedName>
    <definedName name="__th100">'[4]dongia (2)'!#REF!</definedName>
    <definedName name="__TH160" localSheetId="0">'[4]dongia (2)'!#REF!</definedName>
    <definedName name="__TH160">'[4]dongia (2)'!#REF!</definedName>
    <definedName name="__th2" localSheetId="0" hidden="1">{#N/A,#N/A,FALSE,"M.42"}</definedName>
    <definedName name="__th2" hidden="1">{#N/A,#N/A,FALSE,"M.42"}</definedName>
    <definedName name="__TL1" localSheetId="0">#REF!</definedName>
    <definedName name="__TL1">#REF!</definedName>
    <definedName name="__TL2" localSheetId="0">#REF!</definedName>
    <definedName name="__TL2">#REF!</definedName>
    <definedName name="__TL3" localSheetId="0">#REF!</definedName>
    <definedName name="__TL3">#REF!</definedName>
    <definedName name="__TLA120" localSheetId="0">#REF!</definedName>
    <definedName name="__TLA120">#REF!</definedName>
    <definedName name="__TLA35" localSheetId="0">#REF!</definedName>
    <definedName name="__TLA35">#REF!</definedName>
    <definedName name="__TLA50" localSheetId="0">#REF!</definedName>
    <definedName name="__TLA50">#REF!</definedName>
    <definedName name="__TLA70" localSheetId="0">#REF!</definedName>
    <definedName name="__TLA70">#REF!</definedName>
    <definedName name="__TLA95" localSheetId="0">#REF!</definedName>
    <definedName name="__TLA95">#REF!</definedName>
    <definedName name="__TR250" localSheetId="0">'[4]dongia (2)'!#REF!</definedName>
    <definedName name="__TR250">'[4]dongia (2)'!#REF!</definedName>
    <definedName name="__tr375" localSheetId="0">[4]giathanh1!#REF!</definedName>
    <definedName name="__tr375">[4]giathanh1!#REF!</definedName>
    <definedName name="__TRP1" localSheetId="0">#REF!</definedName>
    <definedName name="__TRP1">#REF!</definedName>
    <definedName name="__trw1" localSheetId="0">#REF!</definedName>
    <definedName name="__trw1">#REF!</definedName>
    <definedName name="__trw2" localSheetId="0">#REF!</definedName>
    <definedName name="__trw2">#REF!</definedName>
    <definedName name="__trw3" localSheetId="0">#REF!</definedName>
    <definedName name="__trw3">#REF!</definedName>
    <definedName name="__TVA1" localSheetId="0">#REF!</definedName>
    <definedName name="__TVA1">#REF!</definedName>
    <definedName name="__TW1" localSheetId="0">#REF!</definedName>
    <definedName name="__TW1">#REF!</definedName>
    <definedName name="__TW2" localSheetId="0">#REF!</definedName>
    <definedName name="__TW2">#REF!</definedName>
    <definedName name="__VL100" localSheetId="0">#REF!</definedName>
    <definedName name="__VL100">#REF!</definedName>
    <definedName name="__VL200" localSheetId="0">#REF!</definedName>
    <definedName name="__VL200">#REF!</definedName>
    <definedName name="__VL250" localSheetId="0">#REF!</definedName>
    <definedName name="__VL250">#REF!</definedName>
    <definedName name="__wil1" localSheetId="0" hidden="1">{#N/A,#N/A,FALSE,"M.01"}</definedName>
    <definedName name="__wil1" hidden="1">{#N/A,#N/A,FALSE,"M.01"}</definedName>
    <definedName name="_\0" localSheetId="0">#REF!</definedName>
    <definedName name="_\B" localSheetId="0">#REF!</definedName>
    <definedName name="_\b11_567891011" localSheetId="0">#REF!</definedName>
    <definedName name="_\b12_567891011" localSheetId="0">#REF!</definedName>
    <definedName name="_\b13_567891011" localSheetId="0">#REF!</definedName>
    <definedName name="_\b14_567891011" localSheetId="0">#REF!</definedName>
    <definedName name="_\b23" localSheetId="0">#REF!</definedName>
    <definedName name="_\b23_567891011" localSheetId="0">#REF!</definedName>
    <definedName name="_\b78" localSheetId="0">#REF!</definedName>
    <definedName name="_\bbsuralaya">[1]Uraian!$R$586</definedName>
    <definedName name="_\C" localSheetId="0">#REF!</definedName>
    <definedName name="_\C309" localSheetId="0">#REF!</definedName>
    <definedName name="_\CABANG" localSheetId="0">#REF!</definedName>
    <definedName name="_\CDKWH" localSheetId="0">#REF!</definedName>
    <definedName name="_\CDP" localSheetId="0">#REF!</definedName>
    <definedName name="_\CDPLG" localSheetId="0">#REF!</definedName>
    <definedName name="_\CDRP" localSheetId="0">#REF!</definedName>
    <definedName name="_\CDRPKWH" localSheetId="0">#REF!</definedName>
    <definedName name="_\CDVA" localSheetId="0">#REF!</definedName>
    <definedName name="_\CHLM2" localSheetId="0">#REF!</definedName>
    <definedName name="_\CHLM3" localSheetId="0">#REF!</definedName>
    <definedName name="_\CREKAP" localSheetId="0">#REF!</definedName>
    <definedName name="_\D" localSheetId="0">#REF!</definedName>
    <definedName name="_\E" localSheetId="0">#REF!</definedName>
    <definedName name="_\F" localSheetId="0">#REF!</definedName>
    <definedName name="_\G" localSheetId="0">#REF!</definedName>
    <definedName name="_\H" localSheetId="0">#REF!</definedName>
    <definedName name="_\I" localSheetId="0">#REF!</definedName>
    <definedName name="_\i11_567891011" localSheetId="0">#REF!</definedName>
    <definedName name="_\i12_567891011" localSheetId="0">#REF!</definedName>
    <definedName name="_\i13_567891011" localSheetId="0">#REF!</definedName>
    <definedName name="_\i14_567891011" localSheetId="0">#REF!</definedName>
    <definedName name="_\i23" localSheetId="0">#REF!</definedName>
    <definedName name="_\i78" localSheetId="0">#REF!</definedName>
    <definedName name="_\IPD" localSheetId="0">#REF!</definedName>
    <definedName name="_\J">[2]M!$D$136</definedName>
    <definedName name="_\K">[2]M!$D$141</definedName>
    <definedName name="_\L">[2]M!$D$146</definedName>
    <definedName name="_\LIHAT" localSheetId="0">#REF!</definedName>
    <definedName name="_\LX1" localSheetId="0">#REF!</definedName>
    <definedName name="_\M">[2]M!$D$166</definedName>
    <definedName name="_\MENU" localSheetId="0">#REF!</definedName>
    <definedName name="_\o" localSheetId="0">#REF!</definedName>
    <definedName name="_\P">[2]M!$A$228</definedName>
    <definedName name="_\p23" localSheetId="0">#REF!</definedName>
    <definedName name="_\p567891011" localSheetId="0">#REF!</definedName>
    <definedName name="_\PSLD" localSheetId="0">#REF!</definedName>
    <definedName name="_\Q">[2]M!$B$51</definedName>
    <definedName name="_\R">[2]M!$B$40</definedName>
    <definedName name="_\r11_567891011" localSheetId="0">#REF!</definedName>
    <definedName name="_\r12_567891011" localSheetId="0">#REF!</definedName>
    <definedName name="_\r123_567891011" localSheetId="0">#REF!</definedName>
    <definedName name="_\r13_567891011" localSheetId="0">#REF!</definedName>
    <definedName name="_\r23" localSheetId="0">#REF!</definedName>
    <definedName name="_\r78" localSheetId="0">#REF!</definedName>
    <definedName name="_\s1_567891011" localSheetId="0">#REF!</definedName>
    <definedName name="_\s1011" localSheetId="0">#REF!</definedName>
    <definedName name="_\s21_567891011" localSheetId="0">#REF!</definedName>
    <definedName name="_\s22_567891011" localSheetId="0">#REF!</definedName>
    <definedName name="_\s23" localSheetId="0">#REF!</definedName>
    <definedName name="_\s23_567891011" localSheetId="0">#REF!</definedName>
    <definedName name="_\s24_567891011" localSheetId="0">#REF!</definedName>
    <definedName name="_\s25_567891011" localSheetId="0">#REF!</definedName>
    <definedName name="_\s3_567891011" localSheetId="0">#REF!</definedName>
    <definedName name="_\S309" localSheetId="0">#REF!</definedName>
    <definedName name="_\s678" localSheetId="0">#REF!</definedName>
    <definedName name="_\s78" localSheetId="0">#REF!</definedName>
    <definedName name="_\SDP" localSheetId="0">#REF!</definedName>
    <definedName name="_\T">[2]M!$D$156</definedName>
    <definedName name="_\tcm23" localSheetId="0">#REF!</definedName>
    <definedName name="_\tcm567891011" localSheetId="0">#REF!</definedName>
    <definedName name="_\u" localSheetId="0">#REF!</definedName>
    <definedName name="_\V" localSheetId="0">#REF!</definedName>
    <definedName name="_\W">[2]M!$C$169</definedName>
    <definedName name="_\X" localSheetId="0">#REF!</definedName>
    <definedName name="_\y" localSheetId="0">#REF!</definedName>
    <definedName name="_\Z">[2]M!$D$151</definedName>
    <definedName name="_001" localSheetId="0">'[20]DFTR GARDIST'!#REF!</definedName>
    <definedName name="_001">'[20]DFTR GARDIST'!#REF!</definedName>
    <definedName name="_1" localSheetId="0">#REF!</definedName>
    <definedName name="_1">#REF!</definedName>
    <definedName name="_1___________________2002_VS_2001" localSheetId="0">#REF!</definedName>
    <definedName name="_1___________________2002_VS_2001">#REF!</definedName>
    <definedName name="_1____2002_VS_2001" localSheetId="0">#REF!</definedName>
    <definedName name="_1____2002_VS_2001">#REF!</definedName>
    <definedName name="_1___2002_VS_2001" localSheetId="0">#REF!</definedName>
    <definedName name="_1___2002_VS_2001">#REF!</definedName>
    <definedName name="_1__123Graph_ACHART_1" localSheetId="0" hidden="1">[14]WAN!#REF!</definedName>
    <definedName name="_1__123Graph_ACHART_1" hidden="1">[14]WAN!#REF!</definedName>
    <definedName name="_1_2002_VS_2001" localSheetId="0">#REF!</definedName>
    <definedName name="_1_2002_VS_2001">#REF!</definedName>
    <definedName name="_10" localSheetId="0">#REF!</definedName>
    <definedName name="_10">#REF!</definedName>
    <definedName name="_10___________________INV_PERUSAHAA_2" localSheetId="0">#REF!</definedName>
    <definedName name="_10___________________INV_PERUSAHAA_2">#REF!</definedName>
    <definedName name="_10____INV_PERUSAHAA_2" localSheetId="0">#REF!</definedName>
    <definedName name="_10____INV_PERUSAHAA_2">#REF!</definedName>
    <definedName name="_10___INV_PERUSAHAA_2" localSheetId="0">#REF!</definedName>
    <definedName name="_10___INV_PERUSAHAA_2">#REF!</definedName>
    <definedName name="_10__123Graph_BCHART_5" localSheetId="0" hidden="1">[14]WAN!#REF!</definedName>
    <definedName name="_10__123Graph_BCHART_5" hidden="1">[14]WAN!#REF!</definedName>
    <definedName name="_10_INV_PERUSAHAA_2" localSheetId="0">#REF!</definedName>
    <definedName name="_10_INV_PERUSAHAA_2">#REF!</definedName>
    <definedName name="_100_____________INV_PERUSAHAA_2" localSheetId="0">#REF!</definedName>
    <definedName name="_100_____________INV_PERUSAHAA_2">#REF!</definedName>
    <definedName name="_101_____________INV_PERUSAHAAN" localSheetId="0">#REF!</definedName>
    <definedName name="_101_____________INV_PERUSAHAAN">#REF!</definedName>
    <definedName name="_102_____________JTM_PER_TW" localSheetId="0">#REF!</definedName>
    <definedName name="_102_____________JTM_PER_TW">#REF!</definedName>
    <definedName name="_103_____________REKAP_KEGIATAN" localSheetId="0">#REF!</definedName>
    <definedName name="_103_____________REKAP_KEGIATAN">#REF!</definedName>
    <definedName name="_104_____________REKAP_PAK_AEP" localSheetId="0">#REF!</definedName>
    <definedName name="_104_____________REKAP_PAK_AEP">#REF!</definedName>
    <definedName name="_104BAHAS_ANGG." localSheetId="0">#REF!</definedName>
    <definedName name="_104BAHAS_ANGG.">#REF!</definedName>
    <definedName name="_105_____________SUM_MUTDAL" localSheetId="0">#REF!</definedName>
    <definedName name="_105_____________SUM_MUTDAL">#REF!</definedName>
    <definedName name="_106____________2002_VS_2001" localSheetId="0">#REF!</definedName>
    <definedName name="_106____________2002_VS_2001">#REF!</definedName>
    <definedName name="_107____________ANGG_PERUSAHA_2" localSheetId="0">#REF!</definedName>
    <definedName name="_107____________ANGG_PERUSAHA_2">#REF!</definedName>
    <definedName name="_108____________ANGG_PERUSAHAAN" localSheetId="0">#REF!</definedName>
    <definedName name="_108____________ANGG_PERUSAHAAN">#REF!</definedName>
    <definedName name="_109____________BAHAS_ANGG." localSheetId="0">#REF!</definedName>
    <definedName name="_109____________BAHAS_ANGG.">#REF!</definedName>
    <definedName name="_10BAHAS_DISTURB" localSheetId="0">#REF!</definedName>
    <definedName name="_10BAHAS_DISTURB">#REF!</definedName>
    <definedName name="_10INV_PERUSAHAA_2" localSheetId="0">#REF!</definedName>
    <definedName name="_10INV_PERUSAHAA_2">#REF!</definedName>
    <definedName name="_11" localSheetId="0">#REF!</definedName>
    <definedName name="_11">#REF!</definedName>
    <definedName name="_11___________________INV_PERUSAHAAN" localSheetId="0">#REF!</definedName>
    <definedName name="_11___________________INV_PERUSAHAAN">#REF!</definedName>
    <definedName name="_11____INV_PERUSAHAAN" localSheetId="0">#REF!</definedName>
    <definedName name="_11____INV_PERUSAHAAN">#REF!</definedName>
    <definedName name="_11___INV_PERUSAHAAN" localSheetId="0">#REF!</definedName>
    <definedName name="_11___INV_PERUSAHAAN">#REF!</definedName>
    <definedName name="_11__123Graph_ACHART_1" localSheetId="0" hidden="1">[14]WAN!#REF!</definedName>
    <definedName name="_11__123Graph_ACHART_1" hidden="1">[14]WAN!#REF!</definedName>
    <definedName name="_11__123Graph_CCHART_1" localSheetId="0" hidden="1">[14]WAN!#REF!</definedName>
    <definedName name="_11__123Graph_CCHART_1" hidden="1">[14]WAN!#REF!</definedName>
    <definedName name="_11_INV_PERUSAHAAN" localSheetId="0">#REF!</definedName>
    <definedName name="_11_INV_PERUSAHAAN">#REF!</definedName>
    <definedName name="_110____________BAHAS_DISTURB" localSheetId="0">#REF!</definedName>
    <definedName name="_110____________BAHAS_DISTURB">#REF!</definedName>
    <definedName name="_110__123Graph_BCHART_5" localSheetId="0" hidden="1">[14]WAN!#REF!</definedName>
    <definedName name="_110__123Graph_BCHART_5" hidden="1">[14]WAN!#REF!</definedName>
    <definedName name="_111____________FORM_A" localSheetId="0">#REF!</definedName>
    <definedName name="_111____________FORM_A">#REF!</definedName>
    <definedName name="_112____________FORM_B" localSheetId="0">#REF!</definedName>
    <definedName name="_112____________FORM_B">#REF!</definedName>
    <definedName name="_113____________GD_PER_TW" localSheetId="0">#REF!</definedName>
    <definedName name="_113____________GD_PER_TW">#REF!</definedName>
    <definedName name="_114____________GH_2_SPINDEL" localSheetId="0">#REF!</definedName>
    <definedName name="_114____________GH_2_SPINDEL">#REF!</definedName>
    <definedName name="_115____________INV_PERUSAHAA_2" localSheetId="0">#REF!</definedName>
    <definedName name="_115____________INV_PERUSAHAA_2">#REF!</definedName>
    <definedName name="_116____________INV_PERUSAHAAN" localSheetId="0">#REF!</definedName>
    <definedName name="_116____________INV_PERUSAHAAN">#REF!</definedName>
    <definedName name="_117____________JTM_PER_TW" localSheetId="0">#REF!</definedName>
    <definedName name="_117____________JTM_PER_TW">#REF!</definedName>
    <definedName name="_118____________REKAP_KEGIATAN" localSheetId="0">#REF!</definedName>
    <definedName name="_118____________REKAP_KEGIATAN">#REF!</definedName>
    <definedName name="_119____________REKAP_PAK_AEP" localSheetId="0">#REF!</definedName>
    <definedName name="_119____________REKAP_PAK_AEP">#REF!</definedName>
    <definedName name="_11INV_PERUSAHAAN" localSheetId="0">#REF!</definedName>
    <definedName name="_11INV_PERUSAHAAN">#REF!</definedName>
    <definedName name="_12" localSheetId="0">#REF!</definedName>
    <definedName name="_12">#REF!</definedName>
    <definedName name="_12___________________JTM_PER_TW" localSheetId="0">#REF!</definedName>
    <definedName name="_12___________________JTM_PER_TW">#REF!</definedName>
    <definedName name="_12____JTM_PER_TW" localSheetId="0">#REF!</definedName>
    <definedName name="_12____JTM_PER_TW">#REF!</definedName>
    <definedName name="_12___JTM_PER_TW" localSheetId="0">#REF!</definedName>
    <definedName name="_12___JTM_PER_TW">#REF!</definedName>
    <definedName name="_12__123Graph_CCHART_2" localSheetId="0" hidden="1">[14]WAN!#REF!</definedName>
    <definedName name="_12__123Graph_CCHART_2" hidden="1">[14]WAN!#REF!</definedName>
    <definedName name="_12_JTM_PER_TW" localSheetId="0">#REF!</definedName>
    <definedName name="_12_JTM_PER_TW">#REF!</definedName>
    <definedName name="_120____________SUM_MUTDAL" localSheetId="0">#REF!</definedName>
    <definedName name="_120____________SUM_MUTDAL">#REF!</definedName>
    <definedName name="_121___________2002_VS_2001" localSheetId="0">#REF!</definedName>
    <definedName name="_121___________2002_VS_2001">#REF!</definedName>
    <definedName name="_121__123Graph_CCHART_1" localSheetId="0" hidden="1">[14]WAN!#REF!</definedName>
    <definedName name="_121__123Graph_CCHART_1" hidden="1">[14]WAN!#REF!</definedName>
    <definedName name="_122___________ANGG_PERUSAHA_2" localSheetId="0">#REF!</definedName>
    <definedName name="_122___________ANGG_PERUSAHA_2">#REF!</definedName>
    <definedName name="_123___________ANGG_PERUSAHAAN" localSheetId="0">#REF!</definedName>
    <definedName name="_123___________ANGG_PERUSAHAAN">#REF!</definedName>
    <definedName name="_124___________BAHAS_ANGG." localSheetId="0">#REF!</definedName>
    <definedName name="_124___________BAHAS_ANGG.">#REF!</definedName>
    <definedName name="_125___________BAHAS_DISTURB" localSheetId="0">#REF!</definedName>
    <definedName name="_125___________BAHAS_DISTURB">#REF!</definedName>
    <definedName name="_126___________FORM_A" localSheetId="0">#REF!</definedName>
    <definedName name="_126___________FORM_A">#REF!</definedName>
    <definedName name="_127___________FORM_B" localSheetId="0">#REF!</definedName>
    <definedName name="_127___________FORM_B">#REF!</definedName>
    <definedName name="_128___________GD_PER_TW" localSheetId="0">#REF!</definedName>
    <definedName name="_128___________GD_PER_TW">#REF!</definedName>
    <definedName name="_129___________GH_2_SPINDEL" localSheetId="0">#REF!</definedName>
    <definedName name="_129___________GH_2_SPINDEL">#REF!</definedName>
    <definedName name="_12BAHAS_ANGG." localSheetId="0">#REF!</definedName>
    <definedName name="_12BAHAS_ANGG.">#REF!</definedName>
    <definedName name="_12FORM_A" localSheetId="0">#REF!</definedName>
    <definedName name="_12FORM_A">#REF!</definedName>
    <definedName name="_12JTM_PER_TW" localSheetId="0">#REF!</definedName>
    <definedName name="_12JTM_PER_TW">#REF!</definedName>
    <definedName name="_13">#N/A</definedName>
    <definedName name="_13___________________REKAP_KEGIATAN" localSheetId="0">#REF!</definedName>
    <definedName name="_13___________________REKAP_KEGIATAN">#REF!</definedName>
    <definedName name="_13____REKAP_KEGIATAN" localSheetId="0">#REF!</definedName>
    <definedName name="_13____REKAP_KEGIATAN">#REF!</definedName>
    <definedName name="_13___REKAP_KEGIATAN" localSheetId="0">#REF!</definedName>
    <definedName name="_13___REKAP_KEGIATAN">#REF!</definedName>
    <definedName name="_13__123Graph_CCHART_3" localSheetId="0" hidden="1">[14]WAN!#REF!</definedName>
    <definedName name="_13__123Graph_CCHART_3" hidden="1">[14]WAN!#REF!</definedName>
    <definedName name="_13_REKAP_KEGIATAN" localSheetId="0">#REF!</definedName>
    <definedName name="_13_REKAP_KEGIATAN">#REF!</definedName>
    <definedName name="_130___________INV_PERUSAHAA_2" localSheetId="0">#REF!</definedName>
    <definedName name="_130___________INV_PERUSAHAA_2">#REF!</definedName>
    <definedName name="_130BAHAS_DISTURB" localSheetId="0">#REF!</definedName>
    <definedName name="_130BAHAS_DISTURB">#REF!</definedName>
    <definedName name="_131___________INV_PERUSAHAAN" localSheetId="0">#REF!</definedName>
    <definedName name="_131___________INV_PERUSAHAAN">#REF!</definedName>
    <definedName name="_132___________JTM_PER_TW" localSheetId="0">#REF!</definedName>
    <definedName name="_132___________JTM_PER_TW">#REF!</definedName>
    <definedName name="_132__123Graph_CCHART_2" localSheetId="0" hidden="1">[14]WAN!#REF!</definedName>
    <definedName name="_132__123Graph_CCHART_2" hidden="1">[14]WAN!#REF!</definedName>
    <definedName name="_133___________REKAP_KEGIATAN" localSheetId="0">#REF!</definedName>
    <definedName name="_133___________REKAP_KEGIATAN">#REF!</definedName>
    <definedName name="_134___________REKAP_PAK_AEP" localSheetId="0">#REF!</definedName>
    <definedName name="_134___________REKAP_PAK_AEP">#REF!</definedName>
    <definedName name="_135___________SUM_MUTDAL" localSheetId="0">#REF!</definedName>
    <definedName name="_135___________SUM_MUTDAL">#REF!</definedName>
    <definedName name="_136__________2002_VS_2001" localSheetId="0">#REF!</definedName>
    <definedName name="_136__________2002_VS_2001">#REF!</definedName>
    <definedName name="_137__________ANGG_PERUSAHA_2" localSheetId="0">#REF!</definedName>
    <definedName name="_137__________ANGG_PERUSAHA_2">#REF!</definedName>
    <definedName name="_138__________ANGG_PERUSAHAAN" localSheetId="0">#REF!</definedName>
    <definedName name="_138__________ANGG_PERUSAHAAN">#REF!</definedName>
    <definedName name="_139__________BAHAS_ANGG." localSheetId="0">#REF!</definedName>
    <definedName name="_139__________BAHAS_ANGG.">#REF!</definedName>
    <definedName name="_13REKAP_KEGIATAN" localSheetId="0">#REF!</definedName>
    <definedName name="_13REKAP_KEGIATAN">#REF!</definedName>
    <definedName name="_14">#N/A</definedName>
    <definedName name="_14___________________REKAP_PAK_AEP" localSheetId="0">#REF!</definedName>
    <definedName name="_14___________________REKAP_PAK_AEP">#REF!</definedName>
    <definedName name="_14____REKAP_PAK_AEP" localSheetId="0">#REF!</definedName>
    <definedName name="_14____REKAP_PAK_AEP">#REF!</definedName>
    <definedName name="_14___REKAP_PAK_AEP" localSheetId="0">#REF!</definedName>
    <definedName name="_14___REKAP_PAK_AEP">#REF!</definedName>
    <definedName name="_14__123Graph_CCHART_4" localSheetId="0" hidden="1">[14]WAN!#REF!</definedName>
    <definedName name="_14__123Graph_CCHART_4" hidden="1">[14]WAN!#REF!</definedName>
    <definedName name="_14_REKAP_PAK_AEP" localSheetId="0">#REF!</definedName>
    <definedName name="_14_REKAP_PAK_AEP">#REF!</definedName>
    <definedName name="_140__________BAHAS_DISTURB" localSheetId="0">#REF!</definedName>
    <definedName name="_140__________BAHAS_DISTURB">#REF!</definedName>
    <definedName name="_141__________FORM_A" localSheetId="0">#REF!</definedName>
    <definedName name="_141__________FORM_A">#REF!</definedName>
    <definedName name="_142__________FORM_B" localSheetId="0">#REF!</definedName>
    <definedName name="_142__________FORM_B">#REF!</definedName>
    <definedName name="_143__________GD_PER_TW" localSheetId="0">#REF!</definedName>
    <definedName name="_143__________GD_PER_TW">#REF!</definedName>
    <definedName name="_143__123Graph_CCHART_3" localSheetId="0" hidden="1">[14]WAN!#REF!</definedName>
    <definedName name="_143__123Graph_CCHART_3" hidden="1">[14]WAN!#REF!</definedName>
    <definedName name="_144__________GH_2_SPINDEL" localSheetId="0">#REF!</definedName>
    <definedName name="_144__________GH_2_SPINDEL">#REF!</definedName>
    <definedName name="_145__________INV_PERUSAHAA_2" localSheetId="0">#REF!</definedName>
    <definedName name="_145__________INV_PERUSAHAA_2">#REF!</definedName>
    <definedName name="_146__________INV_PERUSAHAAN" localSheetId="0">#REF!</definedName>
    <definedName name="_146__________INV_PERUSAHAAN">#REF!</definedName>
    <definedName name="_147__________JTM_PER_TW" localSheetId="0">#REF!</definedName>
    <definedName name="_147__________JTM_PER_TW">#REF!</definedName>
    <definedName name="_148__________REKAP_KEGIATAN" localSheetId="0">#REF!</definedName>
    <definedName name="_148__________REKAP_KEGIATAN">#REF!</definedName>
    <definedName name="_149__________REKAP_PAK_AEP" localSheetId="0">#REF!</definedName>
    <definedName name="_149__________REKAP_PAK_AEP">#REF!</definedName>
    <definedName name="_14FORM_B" localSheetId="0">#REF!</definedName>
    <definedName name="_14FORM_B">#REF!</definedName>
    <definedName name="_14REKAP_PAK_AEP" localSheetId="0">#REF!</definedName>
    <definedName name="_14REKAP_PAK_AEP">#REF!</definedName>
    <definedName name="_15">#N/A</definedName>
    <definedName name="_15___________________SUM_MUTDAL" localSheetId="0">#REF!</definedName>
    <definedName name="_15___________________SUM_MUTDAL">#REF!</definedName>
    <definedName name="_15____SUM_MUTDAL" localSheetId="0">#REF!</definedName>
    <definedName name="_15____SUM_MUTDAL">#REF!</definedName>
    <definedName name="_15___SUM_MUTDAL" localSheetId="0">#REF!</definedName>
    <definedName name="_15___SUM_MUTDAL">#REF!</definedName>
    <definedName name="_15__123Graph_CCHART_5" localSheetId="0" hidden="1">[14]WAN!#REF!</definedName>
    <definedName name="_15__123Graph_CCHART_5" hidden="1">[14]WAN!#REF!</definedName>
    <definedName name="_15_SUM_MUTDAL" localSheetId="0">#REF!</definedName>
    <definedName name="_15_SUM_MUTDAL">#REF!</definedName>
    <definedName name="_150__________SUM_MUTDAL" localSheetId="0">#REF!</definedName>
    <definedName name="_150__________SUM_MUTDAL">#REF!</definedName>
    <definedName name="_151_________2002_VS_2001" localSheetId="0">#REF!</definedName>
    <definedName name="_151_________2002_VS_2001">#REF!</definedName>
    <definedName name="_152_________ANGG_PERUSAHA_2" localSheetId="0">#REF!</definedName>
    <definedName name="_152_________ANGG_PERUSAHA_2">#REF!</definedName>
    <definedName name="_153_________ANGG_PERUSAHAAN" localSheetId="0">#REF!</definedName>
    <definedName name="_153_________ANGG_PERUSAHAAN">#REF!</definedName>
    <definedName name="_154_________BAHAS_ANGG." localSheetId="0">#REF!</definedName>
    <definedName name="_154_________BAHAS_ANGG.">#REF!</definedName>
    <definedName name="_154__123Graph_CCHART_4" localSheetId="0" hidden="1">[14]WAN!#REF!</definedName>
    <definedName name="_154__123Graph_CCHART_4" hidden="1">[14]WAN!#REF!</definedName>
    <definedName name="_155_________BAHAS_DISTURB" localSheetId="0">#REF!</definedName>
    <definedName name="_155_________BAHAS_DISTURB">#REF!</definedName>
    <definedName name="_156_________FORM_A" localSheetId="0">#REF!</definedName>
    <definedName name="_156_________FORM_A">#REF!</definedName>
    <definedName name="_156FORM_A" localSheetId="0">#REF!</definedName>
    <definedName name="_156FORM_A">#REF!</definedName>
    <definedName name="_157_________FORM_B" localSheetId="0">#REF!</definedName>
    <definedName name="_157_________FORM_B">#REF!</definedName>
    <definedName name="_158_________GD_PER_TW" localSheetId="0">#REF!</definedName>
    <definedName name="_158_________GD_PER_TW">#REF!</definedName>
    <definedName name="_159_________GH_2_SPINDEL" localSheetId="0">#REF!</definedName>
    <definedName name="_159_________GH_2_SPINDEL">#REF!</definedName>
    <definedName name="_15BAHAS_DISTURB" localSheetId="0">#REF!</definedName>
    <definedName name="_15BAHAS_DISTURB">#REF!</definedName>
    <definedName name="_15SUM_MUTDAL" localSheetId="0">#REF!</definedName>
    <definedName name="_15SUM_MUTDAL">#REF!</definedName>
    <definedName name="_16">#N/A</definedName>
    <definedName name="_16__________________2002_VS_2001" localSheetId="0">#REF!</definedName>
    <definedName name="_16__________________2002_VS_2001">#REF!</definedName>
    <definedName name="_16__123Graph_DCHART_5" localSheetId="0" hidden="1">[14]WAN!#REF!</definedName>
    <definedName name="_16__123Graph_DCHART_5" hidden="1">[14]WAN!#REF!</definedName>
    <definedName name="_16__2002_VS_2001" localSheetId="0">#REF!</definedName>
    <definedName name="_16__2002_VS_2001">#REF!</definedName>
    <definedName name="_16_2002_VS_2001" localSheetId="0">#REF!</definedName>
    <definedName name="_16_2002_VS_2001">#REF!</definedName>
    <definedName name="_160_________INV_PERUSAHAA_2" localSheetId="0">#REF!</definedName>
    <definedName name="_160_________INV_PERUSAHAA_2">#REF!</definedName>
    <definedName name="_161_________INV_PERUSAHAAN" localSheetId="0">#REF!</definedName>
    <definedName name="_161_________INV_PERUSAHAAN">#REF!</definedName>
    <definedName name="_162_________JTM_PER_TW" localSheetId="0">#REF!</definedName>
    <definedName name="_162_________JTM_PER_TW">#REF!</definedName>
    <definedName name="_163_________REKAP_KEGIATAN" localSheetId="0">#REF!</definedName>
    <definedName name="_163_________REKAP_KEGIATAN">#REF!</definedName>
    <definedName name="_164_________REKAP_PAK_AEP" localSheetId="0">#REF!</definedName>
    <definedName name="_164_________REKAP_PAK_AEP">#REF!</definedName>
    <definedName name="_165_________SUM_MUTDAL" localSheetId="0">#REF!</definedName>
    <definedName name="_165_________SUM_MUTDAL">#REF!</definedName>
    <definedName name="_165__123Graph_CCHART_5" localSheetId="0" hidden="1">[14]WAN!#REF!</definedName>
    <definedName name="_165__123Graph_CCHART_5" hidden="1">[14]WAN!#REF!</definedName>
    <definedName name="_166________2002_VS_2001" localSheetId="0">#REF!</definedName>
    <definedName name="_166________2002_VS_2001">#REF!</definedName>
    <definedName name="_167________ANGG_PERUSAHA_2" localSheetId="0">#REF!</definedName>
    <definedName name="_167________ANGG_PERUSAHA_2">#REF!</definedName>
    <definedName name="_168________ANGG_PERUSAHAAN" localSheetId="0">#REF!</definedName>
    <definedName name="_168________ANGG_PERUSAHAAN">#REF!</definedName>
    <definedName name="_169________BAHAS_ANGG." localSheetId="0">#REF!</definedName>
    <definedName name="_169________BAHAS_ANGG.">#REF!</definedName>
    <definedName name="_16GD_PER_TW" localSheetId="0">#REF!</definedName>
    <definedName name="_16GD_PER_TW">#REF!</definedName>
    <definedName name="_17">#N/A</definedName>
    <definedName name="_17__________________ANGG_PERUSAHA_2" localSheetId="0">#REF!</definedName>
    <definedName name="_17__________________ANGG_PERUSAHA_2">#REF!</definedName>
    <definedName name="_17__123Graph_XCHART_1" localSheetId="0" hidden="1">[14]WAN!#REF!</definedName>
    <definedName name="_17__123Graph_XCHART_1" hidden="1">[14]WAN!#REF!</definedName>
    <definedName name="_17__ANGG_PERUSAHA_2" localSheetId="0">#REF!</definedName>
    <definedName name="_17__ANGG_PERUSAHA_2">#REF!</definedName>
    <definedName name="_170________BAHAS_DISTURB" localSheetId="0">#REF!</definedName>
    <definedName name="_170________BAHAS_DISTURB">#REF!</definedName>
    <definedName name="_171________FORM_A" localSheetId="0">#REF!</definedName>
    <definedName name="_171________FORM_A">#REF!</definedName>
    <definedName name="_172________FORM_B" localSheetId="0">#REF!</definedName>
    <definedName name="_172________FORM_B">#REF!</definedName>
    <definedName name="_173________GD_PER_TW" localSheetId="0">#REF!</definedName>
    <definedName name="_173________GD_PER_TW">#REF!</definedName>
    <definedName name="_174________GH_2_SPINDEL" localSheetId="0">#REF!</definedName>
    <definedName name="_174________GH_2_SPINDEL">#REF!</definedName>
    <definedName name="_175________INV_PERUSAHAA_2" localSheetId="0">#REF!</definedName>
    <definedName name="_175________INV_PERUSAHAA_2">#REF!</definedName>
    <definedName name="_176________INV_PERUSAHAAN" localSheetId="0">#REF!</definedName>
    <definedName name="_176________INV_PERUSAHAAN">#REF!</definedName>
    <definedName name="_176__123Graph_DCHART_5" localSheetId="0" hidden="1">[14]WAN!#REF!</definedName>
    <definedName name="_176__123Graph_DCHART_5" hidden="1">[14]WAN!#REF!</definedName>
    <definedName name="_177________JTM_PER_TW" localSheetId="0">#REF!</definedName>
    <definedName name="_177________JTM_PER_TW">#REF!</definedName>
    <definedName name="_178________REKAP_KEGIATAN" localSheetId="0">#REF!</definedName>
    <definedName name="_178________REKAP_KEGIATAN">#REF!</definedName>
    <definedName name="_179________REKAP_PAK_AEP" localSheetId="0">#REF!</definedName>
    <definedName name="_179________REKAP_PAK_AEP">#REF!</definedName>
    <definedName name="_17ANGG_PERUSAHA_2" localSheetId="0">#REF!</definedName>
    <definedName name="_17ANGG_PERUSAHA_2">#REF!</definedName>
    <definedName name="_18">#N/A</definedName>
    <definedName name="_18__________________ANGG_PERUSAHAAN" localSheetId="0">#REF!</definedName>
    <definedName name="_18__________________ANGG_PERUSAHAAN">#REF!</definedName>
    <definedName name="_18__123Graph_XCHART_2" localSheetId="0" hidden="1">[14]WAN!#REF!</definedName>
    <definedName name="_18__123Graph_XCHART_2" hidden="1">[14]WAN!#REF!</definedName>
    <definedName name="_18__ANGG_PERUSAHAAN" localSheetId="0">#REF!</definedName>
    <definedName name="_18__ANGG_PERUSAHAAN">#REF!</definedName>
    <definedName name="_180________SUM_MUTDAL" localSheetId="0">#REF!</definedName>
    <definedName name="_180________SUM_MUTDAL">#REF!</definedName>
    <definedName name="_181_______2002_VS_2001" localSheetId="0">#REF!</definedName>
    <definedName name="_181_______2002_VS_2001">#REF!</definedName>
    <definedName name="_182_______ANGG_PERUSAHA_2" localSheetId="0">#REF!</definedName>
    <definedName name="_182_______ANGG_PERUSAHA_2">#REF!</definedName>
    <definedName name="_182FORM_B" localSheetId="0">#REF!</definedName>
    <definedName name="_182FORM_B">#REF!</definedName>
    <definedName name="_183_______ANGG_PERUSAHAAN" localSheetId="0">#REF!</definedName>
    <definedName name="_183_______ANGG_PERUSAHAAN">#REF!</definedName>
    <definedName name="_184_______BAHAS_ANGG." localSheetId="0">#REF!</definedName>
    <definedName name="_184_______BAHAS_ANGG.">#REF!</definedName>
    <definedName name="_185_______BAHAS_DISTURB" localSheetId="0">#REF!</definedName>
    <definedName name="_185_______BAHAS_DISTURB">#REF!</definedName>
    <definedName name="_186_______FORM_A" localSheetId="0">#REF!</definedName>
    <definedName name="_186_______FORM_A">#REF!</definedName>
    <definedName name="_187_______FORM_B" localSheetId="0">#REF!</definedName>
    <definedName name="_187_______FORM_B">#REF!</definedName>
    <definedName name="_187__123Graph_XCHART_1" localSheetId="0" hidden="1">[14]WAN!#REF!</definedName>
    <definedName name="_187__123Graph_XCHART_1" hidden="1">[14]WAN!#REF!</definedName>
    <definedName name="_188_______GD_PER_TW" localSheetId="0">#REF!</definedName>
    <definedName name="_188_______GD_PER_TW">#REF!</definedName>
    <definedName name="_189_______GH_2_SPINDEL" localSheetId="0">#REF!</definedName>
    <definedName name="_189_______GH_2_SPINDEL">#REF!</definedName>
    <definedName name="_18ANGG_PERUSAHAAN" localSheetId="0">#REF!</definedName>
    <definedName name="_18ANGG_PERUSAHAAN">#REF!</definedName>
    <definedName name="_18FORM_A" localSheetId="0">#REF!</definedName>
    <definedName name="_18FORM_A">#REF!</definedName>
    <definedName name="_18GH_2_SPINDEL" localSheetId="0">#REF!</definedName>
    <definedName name="_18GH_2_SPINDEL">#REF!</definedName>
    <definedName name="_19">#N/A</definedName>
    <definedName name="_19__________________BAHAS_ANGG." localSheetId="0">#REF!</definedName>
    <definedName name="_19__________________BAHAS_ANGG.">#REF!</definedName>
    <definedName name="_19__123Graph_XCHART_3" localSheetId="0" hidden="1">[14]WAN!#REF!</definedName>
    <definedName name="_19__123Graph_XCHART_3" hidden="1">[14]WAN!#REF!</definedName>
    <definedName name="_19__BAHAS_ANGG." localSheetId="0">#REF!</definedName>
    <definedName name="_19__BAHAS_ANGG.">#REF!</definedName>
    <definedName name="_190_______INV_PERUSAHAA_2" localSheetId="0">#REF!</definedName>
    <definedName name="_190_______INV_PERUSAHAA_2">#REF!</definedName>
    <definedName name="_191_______INV_PERUSAHAAN" localSheetId="0">#REF!</definedName>
    <definedName name="_191_______INV_PERUSAHAAN">#REF!</definedName>
    <definedName name="_192_______JTM_PER_TW" localSheetId="0">#REF!</definedName>
    <definedName name="_192_______JTM_PER_TW">#REF!</definedName>
    <definedName name="_193_______REKAP_KEGIATAN" localSheetId="0">#REF!</definedName>
    <definedName name="_193_______REKAP_KEGIATAN">#REF!</definedName>
    <definedName name="_194_______REKAP_PAK_AEP" localSheetId="0">#REF!</definedName>
    <definedName name="_194_______REKAP_PAK_AEP">#REF!</definedName>
    <definedName name="_195_______SUM_MUTDAL" localSheetId="0">#REF!</definedName>
    <definedName name="_195_______SUM_MUTDAL">#REF!</definedName>
    <definedName name="_196______2002_VS_2001" localSheetId="0">#REF!</definedName>
    <definedName name="_196______2002_VS_2001">#REF!</definedName>
    <definedName name="_197______ANGG_PERUSAHA_2" localSheetId="0">#REF!</definedName>
    <definedName name="_197______ANGG_PERUSAHA_2">#REF!</definedName>
    <definedName name="_198______ANGG_PERUSAHAAN" localSheetId="0">#REF!</definedName>
    <definedName name="_198______ANGG_PERUSAHAAN">#REF!</definedName>
    <definedName name="_198__123Graph_XCHART_2" localSheetId="0" hidden="1">[14]WAN!#REF!</definedName>
    <definedName name="_198__123Graph_XCHART_2" hidden="1">[14]WAN!#REF!</definedName>
    <definedName name="_199______BAHAS_ANGG." localSheetId="0">#REF!</definedName>
    <definedName name="_199______BAHAS_ANGG.">#REF!</definedName>
    <definedName name="_19BAHAS_ANGG." localSheetId="0">#REF!</definedName>
    <definedName name="_19BAHAS_ANGG.">#REF!</definedName>
    <definedName name="_1S" localSheetId="0">#REF!</definedName>
    <definedName name="_1S">#REF!</definedName>
    <definedName name="_1T" localSheetId="0">#REF!</definedName>
    <definedName name="_1T">#REF!</definedName>
    <definedName name="_2" localSheetId="0">#REF!</definedName>
    <definedName name="_2">#REF!</definedName>
    <definedName name="_2___________________ANGG_PERUSAHA_2" localSheetId="0">#REF!</definedName>
    <definedName name="_2___________________ANGG_PERUSAHA_2">#REF!</definedName>
    <definedName name="_2____ANGG_PERUSAHA_2" localSheetId="0">#REF!</definedName>
    <definedName name="_2____ANGG_PERUSAHA_2">#REF!</definedName>
    <definedName name="_2___ANGG_PERUSAHA_2" localSheetId="0">#REF!</definedName>
    <definedName name="_2___ANGG_PERUSAHA_2">#REF!</definedName>
    <definedName name="_2__123Graph_ACHART_2" localSheetId="0" hidden="1">[14]WAN!#REF!</definedName>
    <definedName name="_2__123Graph_ACHART_2" hidden="1">[14]WAN!#REF!</definedName>
    <definedName name="_2_2002_VS_2001" localSheetId="0">#REF!</definedName>
    <definedName name="_2_2002_VS_2001">#REF!</definedName>
    <definedName name="_2_ANGG_PERUSAHA_2" localSheetId="0">#REF!</definedName>
    <definedName name="_2_ANGG_PERUSAHA_2">#REF!</definedName>
    <definedName name="_20__________________BAHAS_DISTURB" localSheetId="0">#REF!</definedName>
    <definedName name="_20__________________BAHAS_DISTURB">#REF!</definedName>
    <definedName name="_20__123Graph_XCHART_4" localSheetId="0" hidden="1">[14]WAN!#REF!</definedName>
    <definedName name="_20__123Graph_XCHART_4" hidden="1">[14]WAN!#REF!</definedName>
    <definedName name="_20__BAHAS_DISTURB" localSheetId="0">#REF!</definedName>
    <definedName name="_20__BAHAS_DISTURB">#REF!</definedName>
    <definedName name="_200______BAHAS_DISTURB" localSheetId="0">#REF!</definedName>
    <definedName name="_200______BAHAS_DISTURB">#REF!</definedName>
    <definedName name="_201______FORM_A" localSheetId="0">#REF!</definedName>
    <definedName name="_201______FORM_A">#REF!</definedName>
    <definedName name="_202______FORM_B" localSheetId="0">#REF!</definedName>
    <definedName name="_202______FORM_B">#REF!</definedName>
    <definedName name="_203______GD_PER_TW" localSheetId="0">#REF!</definedName>
    <definedName name="_203______GD_PER_TW">#REF!</definedName>
    <definedName name="_204______GH_2_SPINDEL" localSheetId="0">#REF!</definedName>
    <definedName name="_204______GH_2_SPINDEL">#REF!</definedName>
    <definedName name="_205______INV_PERUSAHAA_2" localSheetId="0">#REF!</definedName>
    <definedName name="_205______INV_PERUSAHAA_2">#REF!</definedName>
    <definedName name="_206______INV_PERUSAHAAN" localSheetId="0">#REF!</definedName>
    <definedName name="_206______INV_PERUSAHAAN">#REF!</definedName>
    <definedName name="_207______JTM_PER_TW" localSheetId="0">#REF!</definedName>
    <definedName name="_207______JTM_PER_TW">#REF!</definedName>
    <definedName name="_208______REKAP_KEGIATAN" localSheetId="0">#REF!</definedName>
    <definedName name="_208______REKAP_KEGIATAN">#REF!</definedName>
    <definedName name="_208GD_PER_TW" localSheetId="0">#REF!</definedName>
    <definedName name="_208GD_PER_TW">#REF!</definedName>
    <definedName name="_209______REKAP_PAK_AEP" localSheetId="0">#REF!</definedName>
    <definedName name="_209______REKAP_PAK_AEP">#REF!</definedName>
    <definedName name="_209__123Graph_XCHART_3" localSheetId="0" hidden="1">[14]WAN!#REF!</definedName>
    <definedName name="_209__123Graph_XCHART_3" hidden="1">[14]WAN!#REF!</definedName>
    <definedName name="_20BAHAS_DISTURB" localSheetId="0">#REF!</definedName>
    <definedName name="_20BAHAS_DISTURB">#REF!</definedName>
    <definedName name="_20INV_PERUSAHAA_2" localSheetId="0">#REF!</definedName>
    <definedName name="_20INV_PERUSAHAA_2">#REF!</definedName>
    <definedName name="_21__________________FORM_A" localSheetId="0">#REF!</definedName>
    <definedName name="_21__________________FORM_A">#REF!</definedName>
    <definedName name="_21__123Graph_XCHART_5" localSheetId="0" hidden="1">[14]WAN!#REF!</definedName>
    <definedName name="_21__123Graph_XCHART_5" hidden="1">[14]WAN!#REF!</definedName>
    <definedName name="_21__FORM_A" localSheetId="0">#REF!</definedName>
    <definedName name="_21__FORM_A">#REF!</definedName>
    <definedName name="_210______SUM_MUTDAL" localSheetId="0">#REF!</definedName>
    <definedName name="_210______SUM_MUTDAL">#REF!</definedName>
    <definedName name="_211_____2002_VS_2001" localSheetId="0">#REF!</definedName>
    <definedName name="_211_____2002_VS_2001">#REF!</definedName>
    <definedName name="_212_____ANGG_PERUSAHA_2" localSheetId="0">#REF!</definedName>
    <definedName name="_212_____ANGG_PERUSAHA_2">#REF!</definedName>
    <definedName name="_213_____ANGG_PERUSAHAAN" localSheetId="0">#REF!</definedName>
    <definedName name="_213_____ANGG_PERUSAHAAN">#REF!</definedName>
    <definedName name="_214_____BAHAS_ANGG." localSheetId="0">#REF!</definedName>
    <definedName name="_214_____BAHAS_ANGG.">#REF!</definedName>
    <definedName name="_215_____BAHAS_DISTURB" localSheetId="0">#REF!</definedName>
    <definedName name="_215_____BAHAS_DISTURB">#REF!</definedName>
    <definedName name="_216_____FORM_A" localSheetId="0">#REF!</definedName>
    <definedName name="_216_____FORM_A">#REF!</definedName>
    <definedName name="_217_____FORM_B" localSheetId="0">#REF!</definedName>
    <definedName name="_217_____FORM_B">#REF!</definedName>
    <definedName name="_218_____GD_PER_TW" localSheetId="0">#REF!</definedName>
    <definedName name="_218_____GD_PER_TW">#REF!</definedName>
    <definedName name="_219_____GH_2_SPINDEL" localSheetId="0">#REF!</definedName>
    <definedName name="_219_____GH_2_SPINDEL">#REF!</definedName>
    <definedName name="_21FORM_A" localSheetId="0">#REF!</definedName>
    <definedName name="_21FORM_A">#REF!</definedName>
    <definedName name="_21FORM_B" localSheetId="0">#REF!</definedName>
    <definedName name="_21FORM_B">#REF!</definedName>
    <definedName name="_22__________________FORM_B" localSheetId="0">#REF!</definedName>
    <definedName name="_22__________________FORM_B">#REF!</definedName>
    <definedName name="_22__123Graph_ACHART_2" localSheetId="0" hidden="1">[14]WAN!#REF!</definedName>
    <definedName name="_22__123Graph_ACHART_2" hidden="1">[14]WAN!#REF!</definedName>
    <definedName name="_22__FORM_B" localSheetId="0">#REF!</definedName>
    <definedName name="_22__FORM_B">#REF!</definedName>
    <definedName name="_220_____INV_PERUSAHAA_2" localSheetId="0">#REF!</definedName>
    <definedName name="_220_____INV_PERUSAHAA_2">#REF!</definedName>
    <definedName name="_220__123Graph_XCHART_4" localSheetId="0" hidden="1">[14]WAN!#REF!</definedName>
    <definedName name="_220__123Graph_XCHART_4" hidden="1">[14]WAN!#REF!</definedName>
    <definedName name="_221_____INV_PERUSAHAAN" localSheetId="0">#REF!</definedName>
    <definedName name="_221_____INV_PERUSAHAAN">#REF!</definedName>
    <definedName name="_222_____JTM_PER_TW" localSheetId="0">#REF!</definedName>
    <definedName name="_222_____JTM_PER_TW">#REF!</definedName>
    <definedName name="_223_____REKAP_KEGIATAN" localSheetId="0">#REF!</definedName>
    <definedName name="_223_____REKAP_KEGIATAN">#REF!</definedName>
    <definedName name="_224_____REKAP_PAK_AEP" localSheetId="0">#REF!</definedName>
    <definedName name="_224_____REKAP_PAK_AEP">#REF!</definedName>
    <definedName name="_225_____SUM_MUTDAL" localSheetId="0">#REF!</definedName>
    <definedName name="_225_____SUM_MUTDAL">#REF!</definedName>
    <definedName name="_226____2002_VS_2001" localSheetId="0">#REF!</definedName>
    <definedName name="_226____2002_VS_2001">#REF!</definedName>
    <definedName name="_227____ANGG_PERUSAHA_2" localSheetId="0">#REF!</definedName>
    <definedName name="_227____ANGG_PERUSAHA_2">#REF!</definedName>
    <definedName name="_228____ANGG_PERUSAHAAN" localSheetId="0">#REF!</definedName>
    <definedName name="_228____ANGG_PERUSAHAAN">#REF!</definedName>
    <definedName name="_229____BAHAS_ANGG." localSheetId="0">#REF!</definedName>
    <definedName name="_229____BAHAS_ANGG.">#REF!</definedName>
    <definedName name="_22FORM_B" localSheetId="0">#REF!</definedName>
    <definedName name="_22FORM_B">#REF!</definedName>
    <definedName name="_22INV_PERUSAHAAN" localSheetId="0">#REF!</definedName>
    <definedName name="_22INV_PERUSAHAAN">#REF!</definedName>
    <definedName name="_23__________________GD_PER_TW" localSheetId="0">#REF!</definedName>
    <definedName name="_23__________________GD_PER_TW">#REF!</definedName>
    <definedName name="_23__GD_PER_TW" localSheetId="0">#REF!</definedName>
    <definedName name="_23__GD_PER_TW">#REF!</definedName>
    <definedName name="_230____BAHAS_DISTURB" localSheetId="0">#REF!</definedName>
    <definedName name="_230____BAHAS_DISTURB">#REF!</definedName>
    <definedName name="_231____FORM_A" localSheetId="0">#REF!</definedName>
    <definedName name="_231____FORM_A">#REF!</definedName>
    <definedName name="_231__123Graph_XCHART_5" localSheetId="0" hidden="1">[14]WAN!#REF!</definedName>
    <definedName name="_231__123Graph_XCHART_5" hidden="1">[14]WAN!#REF!</definedName>
    <definedName name="_232____FORM_B" localSheetId="0">#REF!</definedName>
    <definedName name="_232____FORM_B">#REF!</definedName>
    <definedName name="_233____GD_PER_TW" localSheetId="0">#REF!</definedName>
    <definedName name="_233____GD_PER_TW">#REF!</definedName>
    <definedName name="_234____GH_2_SPINDEL" localSheetId="0">#REF!</definedName>
    <definedName name="_234____GH_2_SPINDEL">#REF!</definedName>
    <definedName name="_234GH_2_SPINDEL" localSheetId="0">#REF!</definedName>
    <definedName name="_234GH_2_SPINDEL">#REF!</definedName>
    <definedName name="_235____INV_PERUSAHAA_2" localSheetId="0">#REF!</definedName>
    <definedName name="_235____INV_PERUSAHAA_2">#REF!</definedName>
    <definedName name="_236____INV_PERUSAHAAN" localSheetId="0">#REF!</definedName>
    <definedName name="_236____INV_PERUSAHAAN">#REF!</definedName>
    <definedName name="_237____JTM_PER_TW" localSheetId="0">#REF!</definedName>
    <definedName name="_237____JTM_PER_TW">#REF!</definedName>
    <definedName name="_238____REKAP_KEGIATAN" localSheetId="0">#REF!</definedName>
    <definedName name="_238____REKAP_KEGIATAN">#REF!</definedName>
    <definedName name="_239____REKAP_PAK_AEP" localSheetId="0">#REF!</definedName>
    <definedName name="_239____REKAP_PAK_AEP">#REF!</definedName>
    <definedName name="_23GD_PER_TW" localSheetId="0">#REF!</definedName>
    <definedName name="_23GD_PER_TW">#REF!</definedName>
    <definedName name="_24__________________GH_2_SPINDEL" localSheetId="0">#REF!</definedName>
    <definedName name="_24__________________GH_2_SPINDEL">#REF!</definedName>
    <definedName name="_24__GH_2_SPINDEL" localSheetId="0">#REF!</definedName>
    <definedName name="_24__GH_2_SPINDEL">#REF!</definedName>
    <definedName name="_240____SUM_MUTDAL" localSheetId="0">#REF!</definedName>
    <definedName name="_240____SUM_MUTDAL">#REF!</definedName>
    <definedName name="_241__2002_VS_2001" localSheetId="0">#REF!</definedName>
    <definedName name="_241__2002_VS_2001">#REF!</definedName>
    <definedName name="_242__ANGG_PERUSAHA_2" localSheetId="0">#REF!</definedName>
    <definedName name="_242__ANGG_PERUSAHA_2">#REF!</definedName>
    <definedName name="_243__ANGG_PERUSAHAAN" localSheetId="0">#REF!</definedName>
    <definedName name="_243__ANGG_PERUSAHAAN">#REF!</definedName>
    <definedName name="_244__BAHAS_ANGG." localSheetId="0">#REF!</definedName>
    <definedName name="_244__BAHAS_ANGG.">#REF!</definedName>
    <definedName name="_245__BAHAS_DISTURB" localSheetId="0">#REF!</definedName>
    <definedName name="_245__BAHAS_DISTURB">#REF!</definedName>
    <definedName name="_246__FORM_A" localSheetId="0">#REF!</definedName>
    <definedName name="_246__FORM_A">#REF!</definedName>
    <definedName name="_247__FORM_B" localSheetId="0">#REF!</definedName>
    <definedName name="_247__FORM_B">#REF!</definedName>
    <definedName name="_248__GD_PER_TW" localSheetId="0">#REF!</definedName>
    <definedName name="_248__GD_PER_TW">#REF!</definedName>
    <definedName name="_249__GH_2_SPINDEL" localSheetId="0">#REF!</definedName>
    <definedName name="_249__GH_2_SPINDEL">#REF!</definedName>
    <definedName name="_24GD_PER_TW" localSheetId="0">#REF!</definedName>
    <definedName name="_24GD_PER_TW">#REF!</definedName>
    <definedName name="_24GH_2_SPINDEL" localSheetId="0">#REF!</definedName>
    <definedName name="_24GH_2_SPINDEL">#REF!</definedName>
    <definedName name="_24JTM_PER_TW" localSheetId="0">#REF!</definedName>
    <definedName name="_24JTM_PER_TW">#REF!</definedName>
    <definedName name="_25__________________INV_PERUSAHAA_2" localSheetId="0">#REF!</definedName>
    <definedName name="_25__________________INV_PERUSAHAA_2">#REF!</definedName>
    <definedName name="_25__INV_PERUSAHAA_2" localSheetId="0">#REF!</definedName>
    <definedName name="_25__INV_PERUSAHAA_2">#REF!</definedName>
    <definedName name="_250__INV_PERUSAHAA_2" localSheetId="0">#REF!</definedName>
    <definedName name="_250__INV_PERUSAHAA_2">#REF!</definedName>
    <definedName name="_251__INV_PERUSAHAAN" localSheetId="0">#REF!</definedName>
    <definedName name="_251__INV_PERUSAHAAN">#REF!</definedName>
    <definedName name="_252__JTM_PER_TW" localSheetId="0">#REF!</definedName>
    <definedName name="_252__JTM_PER_TW">#REF!</definedName>
    <definedName name="_253__REKAP_KEGIATAN" localSheetId="0">#REF!</definedName>
    <definedName name="_253__REKAP_KEGIATAN">#REF!</definedName>
    <definedName name="_254__REKAP_PAK_AEP" localSheetId="0">#REF!</definedName>
    <definedName name="_254__REKAP_PAK_AEP">#REF!</definedName>
    <definedName name="_255__SUM_MUTDAL" localSheetId="0">#REF!</definedName>
    <definedName name="_255__SUM_MUTDAL">#REF!</definedName>
    <definedName name="_256_2002_VS_2001" localSheetId="0">#REF!</definedName>
    <definedName name="_256_2002_VS_2001">#REF!</definedName>
    <definedName name="_257_ANGG_PERUSAHA_2" localSheetId="0">#REF!</definedName>
    <definedName name="_257_ANGG_PERUSAHA_2">#REF!</definedName>
    <definedName name="_258_ANGG_PERUSAHAAN" localSheetId="0">#REF!</definedName>
    <definedName name="_258_ANGG_PERUSAHAAN">#REF!</definedName>
    <definedName name="_259_BAHAS_ANGG." localSheetId="0">#REF!</definedName>
    <definedName name="_259_BAHAS_ANGG.">#REF!</definedName>
    <definedName name="_25INV_PERUSAHAA_2" localSheetId="0">#REF!</definedName>
    <definedName name="_25INV_PERUSAHAA_2">#REF!</definedName>
    <definedName name="_26__________________INV_PERUSAHAAN" localSheetId="0">#REF!</definedName>
    <definedName name="_26__________________INV_PERUSAHAAN">#REF!</definedName>
    <definedName name="_26__INV_PERUSAHAAN" localSheetId="0">#REF!</definedName>
    <definedName name="_26__INV_PERUSAHAAN">#REF!</definedName>
    <definedName name="_26_2002_VS_2001" localSheetId="0">#REF!</definedName>
    <definedName name="_26_2002_VS_2001">#REF!</definedName>
    <definedName name="_260_BAHAS_DISTURB" localSheetId="0">#REF!</definedName>
    <definedName name="_260_BAHAS_DISTURB">#REF!</definedName>
    <definedName name="_260INV_PERUSAHAA_2" localSheetId="0">#REF!</definedName>
    <definedName name="_260INV_PERUSAHAA_2">#REF!</definedName>
    <definedName name="_261_FORM_A" localSheetId="0">#REF!</definedName>
    <definedName name="_261_FORM_A">#REF!</definedName>
    <definedName name="_262_FORM_B" localSheetId="0">#REF!</definedName>
    <definedName name="_262_FORM_B">#REF!</definedName>
    <definedName name="_263_GD_PER_TW" localSheetId="0">#REF!</definedName>
    <definedName name="_263_GD_PER_TW">#REF!</definedName>
    <definedName name="_264_GH_2_SPINDEL" localSheetId="0">#REF!</definedName>
    <definedName name="_264_GH_2_SPINDEL">#REF!</definedName>
    <definedName name="_265_INV_PERUSAHAA_2" localSheetId="0">#REF!</definedName>
    <definedName name="_265_INV_PERUSAHAA_2">#REF!</definedName>
    <definedName name="_266_INV_PERUSAHAAN" localSheetId="0">#REF!</definedName>
    <definedName name="_266_INV_PERUSAHAAN">#REF!</definedName>
    <definedName name="_267_JTM_PER_TW" localSheetId="0">#REF!</definedName>
    <definedName name="_267_JTM_PER_TW">#REF!</definedName>
    <definedName name="_268_REKAP_KEGIATAN" localSheetId="0">#REF!</definedName>
    <definedName name="_268_REKAP_KEGIATAN">#REF!</definedName>
    <definedName name="_269_REKAP_PAK_AEP" localSheetId="0">#REF!</definedName>
    <definedName name="_269_REKAP_PAK_AEP">#REF!</definedName>
    <definedName name="_26INV_PERUSAHAAN" localSheetId="0">#REF!</definedName>
    <definedName name="_26INV_PERUSAHAAN">#REF!</definedName>
    <definedName name="_26REKAP_KEGIATAN" localSheetId="0">#REF!</definedName>
    <definedName name="_26REKAP_KEGIATAN">#REF!</definedName>
    <definedName name="_27__________________JTM_PER_TW" localSheetId="0">#REF!</definedName>
    <definedName name="_27__________________JTM_PER_TW">#REF!</definedName>
    <definedName name="_27__JTM_PER_TW" localSheetId="0">#REF!</definedName>
    <definedName name="_27__JTM_PER_TW">#REF!</definedName>
    <definedName name="_270_SUM_MUTDAL" localSheetId="0">#REF!</definedName>
    <definedName name="_270_SUM_MUTDAL">#REF!</definedName>
    <definedName name="_271_2002_VS_2001" localSheetId="0">#REF!</definedName>
    <definedName name="_271_2002_VS_2001">#REF!</definedName>
    <definedName name="_272ANGG_PERUSAHA_2" localSheetId="0">#REF!</definedName>
    <definedName name="_272ANGG_PERUSAHA_2">#REF!</definedName>
    <definedName name="_273ANGG_PERUSAHAAN" localSheetId="0">#REF!</definedName>
    <definedName name="_273ANGG_PERUSAHAAN">#REF!</definedName>
    <definedName name="_274BAHAS_ANGG." localSheetId="0">#REF!</definedName>
    <definedName name="_274BAHAS_ANGG.">#REF!</definedName>
    <definedName name="_275BAHAS_DISTURB" localSheetId="0">#REF!</definedName>
    <definedName name="_275BAHAS_DISTURB">#REF!</definedName>
    <definedName name="_276FORM_A" localSheetId="0">#REF!</definedName>
    <definedName name="_276FORM_A">#REF!</definedName>
    <definedName name="_277FORM_B" localSheetId="0">#REF!</definedName>
    <definedName name="_277FORM_B">#REF!</definedName>
    <definedName name="_278GD_PER_TW" localSheetId="0">#REF!</definedName>
    <definedName name="_278GD_PER_TW">#REF!</definedName>
    <definedName name="_279GH_2_SPINDEL" localSheetId="0">#REF!</definedName>
    <definedName name="_279GH_2_SPINDEL">#REF!</definedName>
    <definedName name="_27GH_2_SPINDEL" localSheetId="0">#REF!</definedName>
    <definedName name="_27GH_2_SPINDEL">#REF!</definedName>
    <definedName name="_27JTM_PER_TW" localSheetId="0">#REF!</definedName>
    <definedName name="_27JTM_PER_TW">#REF!</definedName>
    <definedName name="_28__________________REKAP_KEGIATAN" localSheetId="0">#REF!</definedName>
    <definedName name="_28__________________REKAP_KEGIATAN">#REF!</definedName>
    <definedName name="_28__REKAP_KEGIATAN" localSheetId="0">#REF!</definedName>
    <definedName name="_28__REKAP_KEGIATAN">#REF!</definedName>
    <definedName name="_280INV_PERUSAHAA_2" localSheetId="0">#REF!</definedName>
    <definedName name="_280INV_PERUSAHAA_2">#REF!</definedName>
    <definedName name="_281INV_PERUSAHAAN" localSheetId="0">#REF!</definedName>
    <definedName name="_281INV_PERUSAHAAN">#REF!</definedName>
    <definedName name="_282JTM_PER_TW" localSheetId="0">#REF!</definedName>
    <definedName name="_282JTM_PER_TW">#REF!</definedName>
    <definedName name="_283REKAP_KEGIATAN" localSheetId="0">#REF!</definedName>
    <definedName name="_283REKAP_KEGIATAN">#REF!</definedName>
    <definedName name="_284REKAP_PAK_AEP" localSheetId="0">#REF!</definedName>
    <definedName name="_284REKAP_PAK_AEP">#REF!</definedName>
    <definedName name="_285SUM_MUTDAL" localSheetId="0">#REF!</definedName>
    <definedName name="_285SUM_MUTDAL">#REF!</definedName>
    <definedName name="_286INV_PERUSAHAAN" localSheetId="0">#REF!</definedName>
    <definedName name="_286INV_PERUSAHAAN">#REF!</definedName>
    <definedName name="_28REKAP_KEGIATAN" localSheetId="0">#REF!</definedName>
    <definedName name="_28REKAP_KEGIATAN">#REF!</definedName>
    <definedName name="_28REKAP_PAK_AEP" localSheetId="0">#REF!</definedName>
    <definedName name="_28REKAP_PAK_AEP">#REF!</definedName>
    <definedName name="_29__________________REKAP_PAK_AEP" localSheetId="0">#REF!</definedName>
    <definedName name="_29__________________REKAP_PAK_AEP">#REF!</definedName>
    <definedName name="_29__REKAP_PAK_AEP" localSheetId="0">#REF!</definedName>
    <definedName name="_29__REKAP_PAK_AEP">#REF!</definedName>
    <definedName name="_29REKAP_PAK_AEP" localSheetId="0">#REF!</definedName>
    <definedName name="_29REKAP_PAK_AEP">#REF!</definedName>
    <definedName name="_2ANGG_PERUSAHA_2" localSheetId="0">#REF!</definedName>
    <definedName name="_2ANGG_PERUSAHA_2">#REF!</definedName>
    <definedName name="_2T" localSheetId="0">#REF!</definedName>
    <definedName name="_2T">#REF!</definedName>
    <definedName name="_3" localSheetId="0">#REF!</definedName>
    <definedName name="_3">#REF!</definedName>
    <definedName name="_3___________________ANGG_PERUSAHAAN" localSheetId="0">#REF!</definedName>
    <definedName name="_3___________________ANGG_PERUSAHAAN">#REF!</definedName>
    <definedName name="_3____ANGG_PERUSAHAAN" localSheetId="0">#REF!</definedName>
    <definedName name="_3____ANGG_PERUSAHAAN">#REF!</definedName>
    <definedName name="_3___ANGG_PERUSAHAAN" localSheetId="0">#REF!</definedName>
    <definedName name="_3___ANGG_PERUSAHAAN">#REF!</definedName>
    <definedName name="_3__123Graph_ACHART_3" localSheetId="0" hidden="1">[14]WAN!#REF!</definedName>
    <definedName name="_3__123Graph_ACHART_3" hidden="1">[14]WAN!#REF!</definedName>
    <definedName name="_3_2002_VS_2001" localSheetId="0">#REF!</definedName>
    <definedName name="_3_2002_VS_2001">#REF!</definedName>
    <definedName name="_3_ANGG_PERUSAHAAN" localSheetId="0">#REF!</definedName>
    <definedName name="_3_ANGG_PERUSAHAAN">#REF!</definedName>
    <definedName name="_30__________________SUM_MUTDAL" localSheetId="0">#REF!</definedName>
    <definedName name="_30__________________SUM_MUTDAL">#REF!</definedName>
    <definedName name="_30__SUM_MUTDAL" localSheetId="0">#REF!</definedName>
    <definedName name="_30__SUM_MUTDAL">#REF!</definedName>
    <definedName name="_30INV_PERUSAHAA_2" localSheetId="0">#REF!</definedName>
    <definedName name="_30INV_PERUSAHAA_2">#REF!</definedName>
    <definedName name="_30SUM_MUTDAL" localSheetId="0">#REF!</definedName>
    <definedName name="_30SUM_MUTDAL">#REF!</definedName>
    <definedName name="_31_________________2002_VS_2001" localSheetId="0">#REF!</definedName>
    <definedName name="_31_________________2002_VS_2001">#REF!</definedName>
    <definedName name="_31_2002_VS_2001" localSheetId="0">#REF!</definedName>
    <definedName name="_31_2002_VS_2001">#REF!</definedName>
    <definedName name="_312JTM_PER_TW" localSheetId="0">#REF!</definedName>
    <definedName name="_312JTM_PER_TW">#REF!</definedName>
    <definedName name="_32_________________ANGG_PERUSAHA_2" localSheetId="0">#REF!</definedName>
    <definedName name="_32_________________ANGG_PERUSAHA_2">#REF!</definedName>
    <definedName name="_32_ANGG_PERUSAHA_2" localSheetId="0">#REF!</definedName>
    <definedName name="_32_ANGG_PERUSAHA_2">#REF!</definedName>
    <definedName name="_33_________________ANGG_PERUSAHAAN" localSheetId="0">#REF!</definedName>
    <definedName name="_33_________________ANGG_PERUSAHAAN">#REF!</definedName>
    <definedName name="_33__123Graph_ACHART_3" localSheetId="0" hidden="1">[14]WAN!#REF!</definedName>
    <definedName name="_33__123Graph_ACHART_3" hidden="1">[14]WAN!#REF!</definedName>
    <definedName name="_33_ANGG_PERUSAHAAN" localSheetId="0">#REF!</definedName>
    <definedName name="_33_ANGG_PERUSAHAAN">#REF!</definedName>
    <definedName name="_338REKAP_KEGIATAN" localSheetId="0">#REF!</definedName>
    <definedName name="_338REKAP_KEGIATAN">#REF!</definedName>
    <definedName name="_33INV_PERUSAHAAN" localSheetId="0">#REF!</definedName>
    <definedName name="_33INV_PERUSAHAAN">#REF!</definedName>
    <definedName name="_34_________________BAHAS_ANGG." localSheetId="0">#REF!</definedName>
    <definedName name="_34_________________BAHAS_ANGG.">#REF!</definedName>
    <definedName name="_34_BAHAS_ANGG." localSheetId="0">#REF!</definedName>
    <definedName name="_34_BAHAS_ANGG.">#REF!</definedName>
    <definedName name="_35_________________BAHAS_DISTURB" localSheetId="0">#REF!</definedName>
    <definedName name="_35_________________BAHAS_DISTURB">#REF!</definedName>
    <definedName name="_35_BAHAS_DISTURB" localSheetId="0">#REF!</definedName>
    <definedName name="_35_BAHAS_DISTURB">#REF!</definedName>
    <definedName name="_36_________________FORM_A" localSheetId="0">#REF!</definedName>
    <definedName name="_36_________________FORM_A">#REF!</definedName>
    <definedName name="_36_FORM_A" localSheetId="0">#REF!</definedName>
    <definedName name="_36_FORM_A">#REF!</definedName>
    <definedName name="_364REKAP_PAK_AEP" localSheetId="0">#REF!</definedName>
    <definedName name="_364REKAP_PAK_AEP">#REF!</definedName>
    <definedName name="_36JTM_PER_TW" localSheetId="0">#REF!</definedName>
    <definedName name="_36JTM_PER_TW">#REF!</definedName>
    <definedName name="_37_________________FORM_B" localSheetId="0">#REF!</definedName>
    <definedName name="_37_________________FORM_B">#REF!</definedName>
    <definedName name="_37_FORM_B" localSheetId="0">#REF!</definedName>
    <definedName name="_37_FORM_B">#REF!</definedName>
    <definedName name="_38_________________GD_PER_TW" localSheetId="0">#REF!</definedName>
    <definedName name="_38_________________GD_PER_TW">#REF!</definedName>
    <definedName name="_38_GD_PER_TW" localSheetId="0">#REF!</definedName>
    <definedName name="_38_GD_PER_TW">#REF!</definedName>
    <definedName name="_39_________________GH_2_SPINDEL" localSheetId="0">#REF!</definedName>
    <definedName name="_39_________________GH_2_SPINDEL">#REF!</definedName>
    <definedName name="_39_GH_2_SPINDEL" localSheetId="0">#REF!</definedName>
    <definedName name="_39_GH_2_SPINDEL">#REF!</definedName>
    <definedName name="_390SUM_MUTDAL" localSheetId="0">#REF!</definedName>
    <definedName name="_390SUM_MUTDAL">#REF!</definedName>
    <definedName name="_39REKAP_KEGIATAN" localSheetId="0">#REF!</definedName>
    <definedName name="_39REKAP_KEGIATAN">#REF!</definedName>
    <definedName name="_3ANGG_PERUSAHAAN" localSheetId="0">#REF!</definedName>
    <definedName name="_3ANGG_PERUSAHAAN">#REF!</definedName>
    <definedName name="_3T" localSheetId="0">#REF!</definedName>
    <definedName name="_3T">#REF!</definedName>
    <definedName name="_3TR" localSheetId="0">#REF!</definedName>
    <definedName name="_3TR">#REF!</definedName>
    <definedName name="_4" localSheetId="0">#REF!</definedName>
    <definedName name="_4">#REF!</definedName>
    <definedName name="_4___________________BAHAS_ANGG." localSheetId="0">#REF!</definedName>
    <definedName name="_4___________________BAHAS_ANGG.">#REF!</definedName>
    <definedName name="_4____BAHAS_ANGG." localSheetId="0">#REF!</definedName>
    <definedName name="_4____BAHAS_ANGG.">#REF!</definedName>
    <definedName name="_4___BAHAS_ANGG." localSheetId="0">#REF!</definedName>
    <definedName name="_4___BAHAS_ANGG.">#REF!</definedName>
    <definedName name="_4__123Graph_ACHART_4" localSheetId="0" hidden="1">[14]WAN!#REF!</definedName>
    <definedName name="_4__123Graph_ACHART_4" hidden="1">[14]WAN!#REF!</definedName>
    <definedName name="_4_BAHAS_ANGG." localSheetId="0">#REF!</definedName>
    <definedName name="_4_BAHAS_ANGG.">#REF!</definedName>
    <definedName name="_40_________________INV_PERUSAHAA_2" localSheetId="0">#REF!</definedName>
    <definedName name="_40_________________INV_PERUSAHAA_2">#REF!</definedName>
    <definedName name="_40_INV_PERUSAHAA_2" localSheetId="0">#REF!</definedName>
    <definedName name="_40_INV_PERUSAHAA_2">#REF!</definedName>
    <definedName name="_41_________________INV_PERUSAHAAN" localSheetId="0">#REF!</definedName>
    <definedName name="_41_________________INV_PERUSAHAAN">#REF!</definedName>
    <definedName name="_41_INV_PERUSAHAAN" localSheetId="0">#REF!</definedName>
    <definedName name="_41_INV_PERUSAHAAN">#REF!</definedName>
    <definedName name="_42_________________JTM_PER_TW" localSheetId="0">#REF!</definedName>
    <definedName name="_42_________________JTM_PER_TW">#REF!</definedName>
    <definedName name="_42_JTM_PER_TW" localSheetId="0">#REF!</definedName>
    <definedName name="_42_JTM_PER_TW">#REF!</definedName>
    <definedName name="_42REKAP_PAK_AEP" localSheetId="0">#REF!</definedName>
    <definedName name="_42REKAP_PAK_AEP">#REF!</definedName>
    <definedName name="_43_________________REKAP_KEGIATAN" localSheetId="0">#REF!</definedName>
    <definedName name="_43_________________REKAP_KEGIATAN">#REF!</definedName>
    <definedName name="_43_REKAP_KEGIATAN" localSheetId="0">#REF!</definedName>
    <definedName name="_43_REKAP_KEGIATAN">#REF!</definedName>
    <definedName name="_44_________________REKAP_PAK_AEP" localSheetId="0">#REF!</definedName>
    <definedName name="_44_________________REKAP_PAK_AEP">#REF!</definedName>
    <definedName name="_44__123Graph_ACHART_4" localSheetId="0" hidden="1">[14]WAN!#REF!</definedName>
    <definedName name="_44__123Graph_ACHART_4" hidden="1">[14]WAN!#REF!</definedName>
    <definedName name="_44_REKAP_PAK_AEP" localSheetId="0">#REF!</definedName>
    <definedName name="_44_REKAP_PAK_AEP">#REF!</definedName>
    <definedName name="_45_________________SUM_MUTDAL" localSheetId="0">#REF!</definedName>
    <definedName name="_45_________________SUM_MUTDAL">#REF!</definedName>
    <definedName name="_45_SUM_MUTDAL" localSheetId="0">#REF!</definedName>
    <definedName name="_45_SUM_MUTDAL">#REF!</definedName>
    <definedName name="_45SUM_MUTDAL" localSheetId="0">#REF!</definedName>
    <definedName name="_45SUM_MUTDAL">#REF!</definedName>
    <definedName name="_46________________2002_VS_2001" localSheetId="0">#REF!</definedName>
    <definedName name="_46________________2002_VS_2001">#REF!</definedName>
    <definedName name="_46_2002_VS_2001" localSheetId="0">#REF!</definedName>
    <definedName name="_46_2002_VS_2001">#REF!</definedName>
    <definedName name="_47________________ANGG_PERUSAHA_2" localSheetId="0">#REF!</definedName>
    <definedName name="_47________________ANGG_PERUSAHA_2">#REF!</definedName>
    <definedName name="_47ANGG_PERUSAHA_2" localSheetId="0">#REF!</definedName>
    <definedName name="_47ANGG_PERUSAHA_2">#REF!</definedName>
    <definedName name="_48________________ANGG_PERUSAHAAN" localSheetId="0">#REF!</definedName>
    <definedName name="_48________________ANGG_PERUSAHAAN">#REF!</definedName>
    <definedName name="_48ANGG_PERUSAHAAN" localSheetId="0">#REF!</definedName>
    <definedName name="_48ANGG_PERUSAHAAN">#REF!</definedName>
    <definedName name="_49________________BAHAS_ANGG." localSheetId="0">#REF!</definedName>
    <definedName name="_49________________BAHAS_ANGG.">#REF!</definedName>
    <definedName name="_49BAHAS_ANGG." localSheetId="0">#REF!</definedName>
    <definedName name="_49BAHAS_ANGG.">#REF!</definedName>
    <definedName name="_4ANGG_PERUSAHA_2" localSheetId="0">#REF!</definedName>
    <definedName name="_4ANGG_PERUSAHA_2">#REF!</definedName>
    <definedName name="_4BAHAS_ANGG." localSheetId="0">#REF!</definedName>
    <definedName name="_4BAHAS_ANGG.">#REF!</definedName>
    <definedName name="_4T" localSheetId="0">#REF!</definedName>
    <definedName name="_4T">#REF!</definedName>
    <definedName name="_5" localSheetId="0">#REF!</definedName>
    <definedName name="_5">#REF!</definedName>
    <definedName name="_5___________________BAHAS_DISTURB" localSheetId="0">#REF!</definedName>
    <definedName name="_5___________________BAHAS_DISTURB">#REF!</definedName>
    <definedName name="_5____BAHAS_DISTURB" localSheetId="0">#REF!</definedName>
    <definedName name="_5____BAHAS_DISTURB">#REF!</definedName>
    <definedName name="_5___BAHAS_DISTURB" localSheetId="0">#REF!</definedName>
    <definedName name="_5___BAHAS_DISTURB">#REF!</definedName>
    <definedName name="_5__123Graph_ACHART_5" localSheetId="0" hidden="1">[14]WAN!#REF!</definedName>
    <definedName name="_5__123Graph_ACHART_5" hidden="1">[14]WAN!#REF!</definedName>
    <definedName name="_5_BAHAS_DISTURB" localSheetId="0">#REF!</definedName>
    <definedName name="_5_BAHAS_DISTURB">#REF!</definedName>
    <definedName name="_50________________BAHAS_DISTURB" localSheetId="0">#REF!</definedName>
    <definedName name="_50________________BAHAS_DISTURB">#REF!</definedName>
    <definedName name="_50BAHAS_DISTURB" localSheetId="0">#REF!</definedName>
    <definedName name="_50BAHAS_DISTURB">#REF!</definedName>
    <definedName name="_51________________FORM_A" localSheetId="0">#REF!</definedName>
    <definedName name="_51________________FORM_A">#REF!</definedName>
    <definedName name="_51FORM_A" localSheetId="0">#REF!</definedName>
    <definedName name="_51FORM_A">#REF!</definedName>
    <definedName name="_52________________FORM_B" localSheetId="0">#REF!</definedName>
    <definedName name="_52________________FORM_B">#REF!</definedName>
    <definedName name="_52ANGG_PERUSAHA_2" localSheetId="0">#REF!</definedName>
    <definedName name="_52ANGG_PERUSAHA_2">#REF!</definedName>
    <definedName name="_52FORM_B" localSheetId="0">#REF!</definedName>
    <definedName name="_52FORM_B">#REF!</definedName>
    <definedName name="_53________________GD_PER_TW" localSheetId="0">#REF!</definedName>
    <definedName name="_53________________GD_PER_TW">#REF!</definedName>
    <definedName name="_53GD_PER_TW" localSheetId="0">#REF!</definedName>
    <definedName name="_53GD_PER_TW">#REF!</definedName>
    <definedName name="_54________________GH_2_SPINDEL" localSheetId="0">#REF!</definedName>
    <definedName name="_54________________GH_2_SPINDEL">#REF!</definedName>
    <definedName name="_54GH_2_SPINDEL" localSheetId="0">#REF!</definedName>
    <definedName name="_54GH_2_SPINDEL">#REF!</definedName>
    <definedName name="_55________________INV_PERUSAHAA_2" localSheetId="0">#REF!</definedName>
    <definedName name="_55________________INV_PERUSAHAA_2">#REF!</definedName>
    <definedName name="_55__123Graph_ACHART_5" localSheetId="0" hidden="1">[14]WAN!#REF!</definedName>
    <definedName name="_55__123Graph_ACHART_5" hidden="1">[14]WAN!#REF!</definedName>
    <definedName name="_55INV_PERUSAHAA_2" localSheetId="0">#REF!</definedName>
    <definedName name="_55INV_PERUSAHAA_2">#REF!</definedName>
    <definedName name="_56________________INV_PERUSAHAAN" localSheetId="0">#REF!</definedName>
    <definedName name="_56________________INV_PERUSAHAAN">#REF!</definedName>
    <definedName name="_56INV_PERUSAHAAN" localSheetId="0">#REF!</definedName>
    <definedName name="_56INV_PERUSAHAAN">#REF!</definedName>
    <definedName name="_57________________JTM_PER_TW" localSheetId="0">#REF!</definedName>
    <definedName name="_57________________JTM_PER_TW">#REF!</definedName>
    <definedName name="_57JTM_PER_TW" localSheetId="0">#REF!</definedName>
    <definedName name="_57JTM_PER_TW">#REF!</definedName>
    <definedName name="_58________________REKAP_KEGIATAN" localSheetId="0">#REF!</definedName>
    <definedName name="_58________________REKAP_KEGIATAN">#REF!</definedName>
    <definedName name="_58REKAP_KEGIATAN" localSheetId="0">#REF!</definedName>
    <definedName name="_58REKAP_KEGIATAN">#REF!</definedName>
    <definedName name="_59________________REKAP_PAK_AEP" localSheetId="0">#REF!</definedName>
    <definedName name="_59________________REKAP_PAK_AEP">#REF!</definedName>
    <definedName name="_59REKAP_PAK_AEP" localSheetId="0">#REF!</definedName>
    <definedName name="_59REKAP_PAK_AEP">#REF!</definedName>
    <definedName name="_5BAHAS_DISTURB" localSheetId="0">#REF!</definedName>
    <definedName name="_5BAHAS_DISTURB">#REF!</definedName>
    <definedName name="_6" localSheetId="0">#REF!</definedName>
    <definedName name="_6">#REF!</definedName>
    <definedName name="_6___________________FORM_A" localSheetId="0">#REF!</definedName>
    <definedName name="_6___________________FORM_A">#REF!</definedName>
    <definedName name="_6____FORM_A" localSheetId="0">#REF!</definedName>
    <definedName name="_6____FORM_A">#REF!</definedName>
    <definedName name="_6___FORM_A" localSheetId="0">#REF!</definedName>
    <definedName name="_6___FORM_A">#REF!</definedName>
    <definedName name="_6__123Graph_BCHART_1" localSheetId="0" hidden="1">[14]WAN!#REF!</definedName>
    <definedName name="_6__123Graph_BCHART_1" hidden="1">[14]WAN!#REF!</definedName>
    <definedName name="_6_FORM_A" localSheetId="0">#REF!</definedName>
    <definedName name="_6_FORM_A">#REF!</definedName>
    <definedName name="_60________________SUM_MUTDAL" localSheetId="0">#REF!</definedName>
    <definedName name="_60________________SUM_MUTDAL">#REF!</definedName>
    <definedName name="_60SUM_MUTDAL" localSheetId="0">#REF!</definedName>
    <definedName name="_60SUM_MUTDAL">#REF!</definedName>
    <definedName name="_61_______________2002_VS_2001" localSheetId="0">#REF!</definedName>
    <definedName name="_61_______________2002_VS_2001">#REF!</definedName>
    <definedName name="_62_______________ANGG_PERUSAHA_2" localSheetId="0">#REF!</definedName>
    <definedName name="_62_______________ANGG_PERUSAHA_2">#REF!</definedName>
    <definedName name="_63_______________ANGG_PERUSAHAAN" localSheetId="0">#REF!</definedName>
    <definedName name="_63_______________ANGG_PERUSAHAAN">#REF!</definedName>
    <definedName name="_64_______________BAHAS_ANGG." localSheetId="0">#REF!</definedName>
    <definedName name="_64_______________BAHAS_ANGG.">#REF!</definedName>
    <definedName name="_65_______________BAHAS_DISTURB" localSheetId="0">#REF!</definedName>
    <definedName name="_65_______________BAHAS_DISTURB">#REF!</definedName>
    <definedName name="_66_______________FORM_A" localSheetId="0">#REF!</definedName>
    <definedName name="_66_______________FORM_A">#REF!</definedName>
    <definedName name="_66__123Graph_BCHART_1" localSheetId="0" hidden="1">[14]WAN!#REF!</definedName>
    <definedName name="_66__123Graph_BCHART_1" hidden="1">[14]WAN!#REF!</definedName>
    <definedName name="_67_______________FORM_B" localSheetId="0">#REF!</definedName>
    <definedName name="_67_______________FORM_B">#REF!</definedName>
    <definedName name="_68_______________GD_PER_TW" localSheetId="0">#REF!</definedName>
    <definedName name="_68_______________GD_PER_TW">#REF!</definedName>
    <definedName name="_69_______________GH_2_SPINDEL" localSheetId="0">#REF!</definedName>
    <definedName name="_69_______________GH_2_SPINDEL">#REF!</definedName>
    <definedName name="_6A" localSheetId="0">#REF!</definedName>
    <definedName name="_6A">#REF!</definedName>
    <definedName name="_6ANGG_PERUSAHA_2" localSheetId="0">#REF!</definedName>
    <definedName name="_6ANGG_PERUSAHA_2">#REF!</definedName>
    <definedName name="_6ANGG_PERUSAHAAN" localSheetId="0">#REF!</definedName>
    <definedName name="_6ANGG_PERUSAHAAN">#REF!</definedName>
    <definedName name="_6B" localSheetId="0">#REF!</definedName>
    <definedName name="_6B">#REF!</definedName>
    <definedName name="_6FORM_A" localSheetId="0">#REF!</definedName>
    <definedName name="_6FORM_A">#REF!</definedName>
    <definedName name="_7" localSheetId="0">#REF!</definedName>
    <definedName name="_7">#REF!</definedName>
    <definedName name="_7___________________FORM_B" localSheetId="0">#REF!</definedName>
    <definedName name="_7___________________FORM_B">#REF!</definedName>
    <definedName name="_7____FORM_B" localSheetId="0">#REF!</definedName>
    <definedName name="_7____FORM_B">#REF!</definedName>
    <definedName name="_7___FORM_B" localSheetId="0">#REF!</definedName>
    <definedName name="_7___FORM_B">#REF!</definedName>
    <definedName name="_7__123Graph_BCHART_2" localSheetId="0" hidden="1">[14]WAN!#REF!</definedName>
    <definedName name="_7__123Graph_BCHART_2" hidden="1">[14]WAN!#REF!</definedName>
    <definedName name="_7_FORM_B" localSheetId="0">#REF!</definedName>
    <definedName name="_7_FORM_B">#REF!</definedName>
    <definedName name="_70_______________INV_PERUSAHAA_2" localSheetId="0">#REF!</definedName>
    <definedName name="_70_______________INV_PERUSAHAA_2">#REF!</definedName>
    <definedName name="_71_______________INV_PERUSAHAAN" localSheetId="0">#REF!</definedName>
    <definedName name="_71_______________INV_PERUSAHAAN">#REF!</definedName>
    <definedName name="_72_______________JTM_PER_TW" localSheetId="0">#REF!</definedName>
    <definedName name="_72_______________JTM_PER_TW">#REF!</definedName>
    <definedName name="_73_______________REKAP_KEGIATAN" localSheetId="0">#REF!</definedName>
    <definedName name="_73_______________REKAP_KEGIATAN">#REF!</definedName>
    <definedName name="_74_______________REKAP_PAK_AEP" localSheetId="0">#REF!</definedName>
    <definedName name="_74_______________REKAP_PAK_AEP">#REF!</definedName>
    <definedName name="_75_______________SUM_MUTDAL" localSheetId="0">#REF!</definedName>
    <definedName name="_75_______________SUM_MUTDAL">#REF!</definedName>
    <definedName name="_76______________2002_VS_2001" localSheetId="0">#REF!</definedName>
    <definedName name="_76______________2002_VS_2001">#REF!</definedName>
    <definedName name="_77______________ANGG_PERUSAHA_2" localSheetId="0">#REF!</definedName>
    <definedName name="_77______________ANGG_PERUSAHA_2">#REF!</definedName>
    <definedName name="_77__123Graph_BCHART_2" localSheetId="0" hidden="1">[14]WAN!#REF!</definedName>
    <definedName name="_77__123Graph_BCHART_2" hidden="1">[14]WAN!#REF!</definedName>
    <definedName name="_78______________ANGG_PERUSAHAAN" localSheetId="0">#REF!</definedName>
    <definedName name="_78______________ANGG_PERUSAHAAN">#REF!</definedName>
    <definedName name="_78ANGG_PERUSAHAAN" localSheetId="0">#REF!</definedName>
    <definedName name="_78ANGG_PERUSAHAAN">#REF!</definedName>
    <definedName name="_79______________BAHAS_ANGG." localSheetId="0">#REF!</definedName>
    <definedName name="_79______________BAHAS_ANGG.">#REF!</definedName>
    <definedName name="_7FORM_B" localSheetId="0">#REF!</definedName>
    <definedName name="_7FORM_B">#REF!</definedName>
    <definedName name="_8" localSheetId="0">#REF!</definedName>
    <definedName name="_8">#REF!</definedName>
    <definedName name="_8___________________GD_PER_TW" localSheetId="0">#REF!</definedName>
    <definedName name="_8___________________GD_PER_TW">#REF!</definedName>
    <definedName name="_8____GD_PER_TW" localSheetId="0">#REF!</definedName>
    <definedName name="_8____GD_PER_TW">#REF!</definedName>
    <definedName name="_8___GD_PER_TW" localSheetId="0">#REF!</definedName>
    <definedName name="_8___GD_PER_TW">#REF!</definedName>
    <definedName name="_8__123Graph_BCHART_3" localSheetId="0" hidden="1">[14]WAN!#REF!</definedName>
    <definedName name="_8__123Graph_BCHART_3" hidden="1">[14]WAN!#REF!</definedName>
    <definedName name="_8_GD_PER_TW" localSheetId="0">#REF!</definedName>
    <definedName name="_8_GD_PER_TW">#REF!</definedName>
    <definedName name="_80______________BAHAS_DISTURB" localSheetId="0">#REF!</definedName>
    <definedName name="_80______________BAHAS_DISTURB">#REF!</definedName>
    <definedName name="_81______________FORM_A" localSheetId="0">#REF!</definedName>
    <definedName name="_81______________FORM_A">#REF!</definedName>
    <definedName name="_818FA" localSheetId="0">#REF!</definedName>
    <definedName name="_818FA">#REF!</definedName>
    <definedName name="_818PK" localSheetId="0">#REF!</definedName>
    <definedName name="_818PK">#REF!</definedName>
    <definedName name="_82______________FORM_B" localSheetId="0">#REF!</definedName>
    <definedName name="_82______________FORM_B">#REF!</definedName>
    <definedName name="_83______________GD_PER_TW" localSheetId="0">#REF!</definedName>
    <definedName name="_83______________GD_PER_TW">#REF!</definedName>
    <definedName name="_84______________GH_2_SPINDEL" localSheetId="0">#REF!</definedName>
    <definedName name="_84______________GH_2_SPINDEL">#REF!</definedName>
    <definedName name="_85______________INV_PERUSAHAA_2" localSheetId="0">#REF!</definedName>
    <definedName name="_85______________INV_PERUSAHAA_2">#REF!</definedName>
    <definedName name="_86______________INV_PERUSAHAAN" localSheetId="0">#REF!</definedName>
    <definedName name="_86______________INV_PERUSAHAAN">#REF!</definedName>
    <definedName name="_87______________JTM_PER_TW" localSheetId="0">#REF!</definedName>
    <definedName name="_87______________JTM_PER_TW">#REF!</definedName>
    <definedName name="_88______________REKAP_KEGIATAN" localSheetId="0">#REF!</definedName>
    <definedName name="_88______________REKAP_KEGIATAN">#REF!</definedName>
    <definedName name="_88__123Graph_BCHART_3" localSheetId="0" hidden="1">[14]WAN!#REF!</definedName>
    <definedName name="_88__123Graph_BCHART_3" hidden="1">[14]WAN!#REF!</definedName>
    <definedName name="_89______________REKAP_PAK_AEP" localSheetId="0">#REF!</definedName>
    <definedName name="_89______________REKAP_PAK_AEP">#REF!</definedName>
    <definedName name="_8BAHAS_ANGG." localSheetId="0">#REF!</definedName>
    <definedName name="_8BAHAS_ANGG.">#REF!</definedName>
    <definedName name="_8GD_PER_TW" localSheetId="0">#REF!</definedName>
    <definedName name="_8GD_PER_TW">#REF!</definedName>
    <definedName name="_9" localSheetId="0">#REF!</definedName>
    <definedName name="_9">#REF!</definedName>
    <definedName name="_9___________________GH_2_SPINDEL" localSheetId="0">#REF!</definedName>
    <definedName name="_9___________________GH_2_SPINDEL">#REF!</definedName>
    <definedName name="_9____GH_2_SPINDEL" localSheetId="0">#REF!</definedName>
    <definedName name="_9____GH_2_SPINDEL">#REF!</definedName>
    <definedName name="_9___GH_2_SPINDEL" localSheetId="0">#REF!</definedName>
    <definedName name="_9___GH_2_SPINDEL">#REF!</definedName>
    <definedName name="_9__123Graph_BCHART_4" localSheetId="0" hidden="1">[14]WAN!#REF!</definedName>
    <definedName name="_9__123Graph_BCHART_4" hidden="1">[14]WAN!#REF!</definedName>
    <definedName name="_9_GH_2_SPINDEL" localSheetId="0">#REF!</definedName>
    <definedName name="_9_GH_2_SPINDEL">#REF!</definedName>
    <definedName name="_90______________SUM_MUTDAL" localSheetId="0">#REF!</definedName>
    <definedName name="_90______________SUM_MUTDAL">#REF!</definedName>
    <definedName name="_91_____________2002_VS_2001" localSheetId="0">#REF!</definedName>
    <definedName name="_91_____________2002_VS_2001">#REF!</definedName>
    <definedName name="_92_____________ANGG_PERUSAHA_2" localSheetId="0">#REF!</definedName>
    <definedName name="_92_____________ANGG_PERUSAHA_2">#REF!</definedName>
    <definedName name="_93_____________ANGG_PERUSAHAAN" localSheetId="0">#REF!</definedName>
    <definedName name="_93_____________ANGG_PERUSAHAAN">#REF!</definedName>
    <definedName name="_94_____________BAHAS_ANGG." localSheetId="0">#REF!</definedName>
    <definedName name="_94_____________BAHAS_ANGG.">#REF!</definedName>
    <definedName name="_95_____________BAHAS_DISTURB" localSheetId="0">#REF!</definedName>
    <definedName name="_95_____________BAHAS_DISTURB">#REF!</definedName>
    <definedName name="_96_____________FORM_A" localSheetId="0">#REF!</definedName>
    <definedName name="_96_____________FORM_A">#REF!</definedName>
    <definedName name="_97_____________FORM_B" localSheetId="0">#REF!</definedName>
    <definedName name="_97_____________FORM_B">#REF!</definedName>
    <definedName name="_98_____________GD_PER_TW" localSheetId="0">#REF!</definedName>
    <definedName name="_98_____________GD_PER_TW">#REF!</definedName>
    <definedName name="_99_____________GH_2_SPINDEL" localSheetId="0">#REF!</definedName>
    <definedName name="_99_____________GH_2_SPINDEL">#REF!</definedName>
    <definedName name="_99__123Graph_BCHART_4" localSheetId="0" hidden="1">[14]WAN!#REF!</definedName>
    <definedName name="_99__123Graph_BCHART_4" hidden="1">[14]WAN!#REF!</definedName>
    <definedName name="_9ANGG_PERUSAHAAN" localSheetId="0">#REF!</definedName>
    <definedName name="_9ANGG_PERUSAHAAN">#REF!</definedName>
    <definedName name="_9GH_2_SPINDEL" localSheetId="0">#REF!</definedName>
    <definedName name="_9GH_2_SPINDEL">#REF!</definedName>
    <definedName name="_A" localSheetId="0">#REF!</definedName>
    <definedName name="_A">#REF!</definedName>
    <definedName name="_abb91" localSheetId="0">[4]chitimc!#REF!</definedName>
    <definedName name="_abb91">[4]chitimc!#REF!</definedName>
    <definedName name="_AGS02" localSheetId="0">#REF!</definedName>
    <definedName name="_AGS02">#REF!</definedName>
    <definedName name="_ags2003" localSheetId="0">#REF!</definedName>
    <definedName name="_ags2003">#REF!</definedName>
    <definedName name="_apr03" localSheetId="0">#REF!</definedName>
    <definedName name="_apr03">#REF!</definedName>
    <definedName name="_BAT48100">'[16]HARGA SATUAN'!$B$13</definedName>
    <definedName name="_BBM2" localSheetId="0" hidden="1">{#N/A,#N/A,FALSE,"M.32"}</definedName>
    <definedName name="_BBM2" hidden="1">{#N/A,#N/A,FALSE,"M.32"}</definedName>
    <definedName name="_BBM3" localSheetId="0" hidden="1">{#N/A,#N/A,FALSE,"M.32"}</definedName>
    <definedName name="_BBM3" hidden="1">{#N/A,#N/A,FALSE,"M.32"}</definedName>
    <definedName name="_BIM1" localSheetId="0">[21]prod03!#REF!</definedName>
    <definedName name="_BIM1">[21]prod03!#REF!</definedName>
    <definedName name="_BUS1" localSheetId="0">#REF!</definedName>
    <definedName name="_BUS1">#REF!</definedName>
    <definedName name="_caf51">[22]Kpg!$BD$48</definedName>
    <definedName name="_col1" localSheetId="0">#REF!</definedName>
    <definedName name="_col1">#REF!</definedName>
    <definedName name="_col2" localSheetId="0">#REF!</definedName>
    <definedName name="_col2">#REF!</definedName>
    <definedName name="_col3" localSheetId="0">#REF!</definedName>
    <definedName name="_col3">#REF!</definedName>
    <definedName name="_col4" localSheetId="0">#REF!</definedName>
    <definedName name="_col4">#REF!</definedName>
    <definedName name="_CT250" localSheetId="0">'[4]dongia (2)'!#REF!</definedName>
    <definedName name="_CT250">'[4]dongia (2)'!#REF!</definedName>
    <definedName name="_DAF1" localSheetId="0">#REF!</definedName>
    <definedName name="_DAF1">#REF!</definedName>
    <definedName name="_DAF11" localSheetId="0">#REF!</definedName>
    <definedName name="_DAF11">#REF!</definedName>
    <definedName name="_DAF12" localSheetId="0">#REF!</definedName>
    <definedName name="_DAF12">#REF!</definedName>
    <definedName name="_DAF13" localSheetId="0">#REF!</definedName>
    <definedName name="_DAF13">#REF!</definedName>
    <definedName name="_daf133" localSheetId="0">#REF!</definedName>
    <definedName name="_daf133">#REF!</definedName>
    <definedName name="_DAF14" localSheetId="0">#REF!</definedName>
    <definedName name="_DAF14">#REF!</definedName>
    <definedName name="_DAF15" localSheetId="0">#REF!</definedName>
    <definedName name="_DAF15">#REF!</definedName>
    <definedName name="_DAF16" localSheetId="0">#REF!</definedName>
    <definedName name="_DAF16">#REF!</definedName>
    <definedName name="_DAF17" localSheetId="0">#REF!</definedName>
    <definedName name="_DAF17">#REF!</definedName>
    <definedName name="_DAF2" localSheetId="0">#REF!</definedName>
    <definedName name="_DAF2">#REF!</definedName>
    <definedName name="_DAF3" localSheetId="0">#REF!</definedName>
    <definedName name="_DAF3">#REF!</definedName>
    <definedName name="_ddn400" localSheetId="0">#REF!</definedName>
    <definedName name="_ddn400">#REF!</definedName>
    <definedName name="_ddn600" localSheetId="0">#REF!</definedName>
    <definedName name="_ddn600">#REF!</definedName>
    <definedName name="_DEN1" localSheetId="0">[21]prod03!#REF!</definedName>
    <definedName name="_DEN1">[21]prod03!#REF!</definedName>
    <definedName name="_DES02" localSheetId="0">#REF!</definedName>
    <definedName name="_DES02">#REF!</definedName>
    <definedName name="_des2003" localSheetId="0">#REF!</definedName>
    <definedName name="_des2003">#REF!</definedName>
    <definedName name="_dgt100" localSheetId="0">'[4]dongia (2)'!#REF!</definedName>
    <definedName name="_dgt100">'[4]dongia (2)'!#REF!</definedName>
    <definedName name="_DIL1" localSheetId="0">[21]prod03!#REF!</definedName>
    <definedName name="_DIL1">[21]prod03!#REF!</definedName>
    <definedName name="_Dist_Bin" localSheetId="0" hidden="1">#REF!</definedName>
    <definedName name="_Dist_Bin" hidden="1">#REF!</definedName>
    <definedName name="_Dist_Values" localSheetId="0" hidden="1">#REF!</definedName>
    <definedName name="_Dist_Values" hidden="1">#REF!</definedName>
    <definedName name="_DMA7">[23]sept!$I$68</definedName>
    <definedName name="_END1" localSheetId="0">[21]prod03!#REF!</definedName>
    <definedName name="_END1">[21]prod03!#REF!</definedName>
    <definedName name="_ERR1" localSheetId="0" hidden="1">{#N/A,#N/A,FALSE,"M.42"}</definedName>
    <definedName name="_ERR1" hidden="1">{#N/A,#N/A,FALSE,"M.42"}</definedName>
    <definedName name="_Fill" localSheetId="0" hidden="1">#REF!</definedName>
    <definedName name="_Fill" hidden="1">#REF!</definedName>
    <definedName name="_Fill1" localSheetId="0" hidden="1">#REF!</definedName>
    <definedName name="_Fill1" hidden="1">#REF!</definedName>
    <definedName name="_xlnm._FilterDatabase" localSheetId="0" hidden="1">'MASTER GARDU '!$A$7:$BC$800</definedName>
    <definedName name="_GID1">'[4]LKVL-CK-HT-GD1'!$A$4</definedName>
    <definedName name="_hal1" localSheetId="0">#REF!</definedName>
    <definedName name="_hal1">#REF!</definedName>
    <definedName name="_hal2" localSheetId="0">#REF!</definedName>
    <definedName name="_hal2">#REF!</definedName>
    <definedName name="_hal3" localSheetId="0">#REF!</definedName>
    <definedName name="_hal3">#REF!</definedName>
    <definedName name="_hal4" localSheetId="0">#REF!</definedName>
    <definedName name="_hal4">#REF!</definedName>
    <definedName name="_hal5" localSheetId="0">#REF!</definedName>
    <definedName name="_hal5">#REF!</definedName>
    <definedName name="_hal6" localSheetId="0">#REF!</definedName>
    <definedName name="_hal6">#REF!</definedName>
    <definedName name="_HLM1" localSheetId="0">#REF!</definedName>
    <definedName name="_HLM1">#REF!</definedName>
    <definedName name="_HLM2" localSheetId="0">#REF!</definedName>
    <definedName name="_HLM2">#REF!</definedName>
    <definedName name="_HLM3" localSheetId="0">#REF!</definedName>
    <definedName name="_HLM3">#REF!</definedName>
    <definedName name="_JAN02" localSheetId="0">#REF!</definedName>
    <definedName name="_JAN02">#REF!</definedName>
    <definedName name="_JAN03" localSheetId="0">#REF!</definedName>
    <definedName name="_JAN03">#REF!</definedName>
    <definedName name="_JBN3" localSheetId="0" hidden="1">{#N/A,#N/A,FALSE,"M.32"}</definedName>
    <definedName name="_JBN3" hidden="1">{#N/A,#N/A,FALSE,"M.32"}</definedName>
    <definedName name="_JBN31" localSheetId="0" hidden="1">{#N/A,#N/A,FALSE,"M.32"}</definedName>
    <definedName name="_JBN31" hidden="1">{#N/A,#N/A,FALSE,"M.32"}</definedName>
    <definedName name="_Jh1" localSheetId="0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_Jh1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_jml1" localSheetId="0">#REF!</definedName>
    <definedName name="_jml1">#REF!</definedName>
    <definedName name="_jml10" localSheetId="0">#REF!</definedName>
    <definedName name="_jml10">#REF!</definedName>
    <definedName name="_jml11" localSheetId="0">#REF!</definedName>
    <definedName name="_jml11">#REF!</definedName>
    <definedName name="_jml12" localSheetId="0">#REF!</definedName>
    <definedName name="_jml12">#REF!</definedName>
    <definedName name="_jml13" localSheetId="0">#REF!</definedName>
    <definedName name="_jml13">#REF!</definedName>
    <definedName name="_jml14" localSheetId="0">#REF!</definedName>
    <definedName name="_jml14">#REF!</definedName>
    <definedName name="_jml15" localSheetId="0">#REF!</definedName>
    <definedName name="_jml15">#REF!</definedName>
    <definedName name="_jml2" localSheetId="0">#REF!</definedName>
    <definedName name="_jml2">#REF!</definedName>
    <definedName name="_jml3" localSheetId="0">#REF!</definedName>
    <definedName name="_jml3">#REF!</definedName>
    <definedName name="_jml4" localSheetId="0">#REF!</definedName>
    <definedName name="_jml4">#REF!</definedName>
    <definedName name="_jml5" localSheetId="0">#REF!</definedName>
    <definedName name="_jml5">#REF!</definedName>
    <definedName name="_jml6" localSheetId="0">#REF!</definedName>
    <definedName name="_jml6">#REF!</definedName>
    <definedName name="_jml7" localSheetId="0">#REF!</definedName>
    <definedName name="_jml7">#REF!</definedName>
    <definedName name="_jml8" localSheetId="0">#REF!</definedName>
    <definedName name="_jml8">#REF!</definedName>
    <definedName name="_jml9" localSheetId="0">#REF!</definedName>
    <definedName name="_jml9">#REF!</definedName>
    <definedName name="_JUD1" localSheetId="0">#REF!</definedName>
    <definedName name="_JUD1">#REF!</definedName>
    <definedName name="_JUD2" localSheetId="0">#REF!</definedName>
    <definedName name="_JUD2">#REF!</definedName>
    <definedName name="_JUD3" localSheetId="0">#REF!</definedName>
    <definedName name="_JUD3">#REF!</definedName>
    <definedName name="_JUD4" localSheetId="0">#REF!</definedName>
    <definedName name="_JUD4">#REF!</definedName>
    <definedName name="_JUD5" localSheetId="0">#REF!</definedName>
    <definedName name="_JUD5">#REF!</definedName>
    <definedName name="_JUD6" localSheetId="0">#REF!</definedName>
    <definedName name="_JUD6">#REF!</definedName>
    <definedName name="_JUD7" localSheetId="0">#REF!</definedName>
    <definedName name="_JUD7">#REF!</definedName>
    <definedName name="_JUL02" localSheetId="0">#REF!</definedName>
    <definedName name="_JUL02">#REF!</definedName>
    <definedName name="_JUL3" localSheetId="0">#REF!</definedName>
    <definedName name="_JUL3">#REF!</definedName>
    <definedName name="_JUN02" localSheetId="0">#REF!</definedName>
    <definedName name="_JUN02">#REF!</definedName>
    <definedName name="_JUN03" localSheetId="0">#REF!</definedName>
    <definedName name="_JUN03">#REF!</definedName>
    <definedName name="_kb1" localSheetId="0">[17]ca!#REF!</definedName>
    <definedName name="_kb1">[17]ca!#REF!</definedName>
    <definedName name="_kb2" localSheetId="0">[17]ca!#REF!</definedName>
    <definedName name="_kb2">[17]ca!#REF!</definedName>
    <definedName name="_Key1" localSheetId="0" hidden="1">[24]L_23!#REF!</definedName>
    <definedName name="_Key1" hidden="1">[24]L_23!#REF!</definedName>
    <definedName name="_Key2" localSheetId="0" hidden="1">#REF!</definedName>
    <definedName name="_Key2" hidden="1">#REF!</definedName>
    <definedName name="_kin3" localSheetId="0" hidden="1">{#N/A,#N/A,FALSE,"M.31"}</definedName>
    <definedName name="_kin3" hidden="1">{#N/A,#N/A,FALSE,"M.31"}</definedName>
    <definedName name="_kit2" localSheetId="0" hidden="1">{#N/A,#N/A,FALSE,"M.43"}</definedName>
    <definedName name="_kit2" hidden="1">{#N/A,#N/A,FALSE,"M.43"}</definedName>
    <definedName name="_kjdks_" localSheetId="0">#REF!</definedName>
    <definedName name="_kjdks_">#REF!</definedName>
    <definedName name="_kl09" localSheetId="0" hidden="1">{#N/A,#N/A,FALSE,"M.01"}</definedName>
    <definedName name="_kl09" hidden="1">{#N/A,#N/A,FALSE,"M.01"}</definedName>
    <definedName name="_kp1" localSheetId="0">[17]ca!#REF!</definedName>
    <definedName name="_kp1">[17]ca!#REF!</definedName>
    <definedName name="_KUP1" localSheetId="0">[21]prod03!#REF!</definedName>
    <definedName name="_KUP1">[21]prod03!#REF!</definedName>
    <definedName name="_KWH1">'[3]DATA-BASE SUTT'!$M$11:$M$383</definedName>
    <definedName name="_KWH2">'[3]DATA-BASE SUTT'!$P$11:$P$383</definedName>
    <definedName name="_KWH3">'[3]DATA-BASE SUTT'!$S$11:$S$383</definedName>
    <definedName name="_la150">'[16]HARGA SATUAN'!$B$25</definedName>
    <definedName name="_LinkPic_148B9ED1F0E34034A77CBB6312C3737E" localSheetId="0">#REF!</definedName>
    <definedName name="_LinkPic_148B9ED1F0E34034A77CBB6312C3737E">#REF!</definedName>
    <definedName name="_LinkPic_3BD6DC9EA1244135BB44D10D9B947A20" localSheetId="0">#REF!</definedName>
    <definedName name="_LinkPic_3BD6DC9EA1244135BB44D10D9B947A20">#REF!</definedName>
    <definedName name="_LinkPic_450384875BDD4637926F9BC2A5B87B18" localSheetId="0">#REF!</definedName>
    <definedName name="_LinkPic_450384875BDD4637926F9BC2A5B87B18">#REF!</definedName>
    <definedName name="_LinkPic_5D9A26180F9345689881A3AD580D3F7A">'[25]Assumptions (2)'!$B$3:$H$39</definedName>
    <definedName name="_LinkPic_DC9E3C4193F340C38D569535AFB3BB77">'[26]Assumptions (2)'!$B$41:$H$81</definedName>
    <definedName name="_LinkPic_E9349935B30E48F09406EDCF5D273022" localSheetId="0">#REF!</definedName>
    <definedName name="_LinkPic_E9349935B30E48F09406EDCF5D273022">#REF!</definedName>
    <definedName name="_LinkPic_F2A3E2A02A344C94935E694361951F2D" localSheetId="0">#REF!</definedName>
    <definedName name="_LinkPic_F2A3E2A02A344C94935E694361951F2D">#REF!</definedName>
    <definedName name="_LinkPic_F92207FEB2A6436FA348F7B54826350A" localSheetId="0">#REF!</definedName>
    <definedName name="_LinkPic_F92207FEB2A6436FA348F7B54826350A">#REF!</definedName>
    <definedName name="_LinkPic_FD057638FD704751A8053D1BA1E0275E" localSheetId="0">#REF!</definedName>
    <definedName name="_LinkPic_FD057638FD704751A8053D1BA1E0275E">#REF!</definedName>
    <definedName name="_LinkPic_FF645AB2FF2843DCB43AEDF9934790E6" localSheetId="0">#REF!</definedName>
    <definedName name="_LinkPic_FF645AB2FF2843DCB43AEDF9934790E6">#REF!</definedName>
    <definedName name="_LP2">#N/A</definedName>
    <definedName name="_M2" localSheetId="0" hidden="1">{#N/A,#N/A,FALSE,"M.42"}</definedName>
    <definedName name="_M2" hidden="1">{#N/A,#N/A,FALSE,"M.42"}</definedName>
    <definedName name="_MAC12" localSheetId="0">#REF!</definedName>
    <definedName name="_MAC12">#REF!</definedName>
    <definedName name="_MAC46" localSheetId="0">#REF!</definedName>
    <definedName name="_MAC46">#REF!</definedName>
    <definedName name="_MAN1" localSheetId="0">#REF!</definedName>
    <definedName name="_MAN1">#REF!</definedName>
    <definedName name="_MAN2" localSheetId="0">#REF!</definedName>
    <definedName name="_MAN2">#REF!</definedName>
    <definedName name="_MAN3" localSheetId="0">#REF!</definedName>
    <definedName name="_MAN3">#REF!</definedName>
    <definedName name="_mar03" localSheetId="0">#REF!</definedName>
    <definedName name="_mar03">#REF!</definedName>
    <definedName name="_MAT1" localSheetId="0">[21]prod03!#REF!</definedName>
    <definedName name="_MAT1">[21]prod03!#REF!</definedName>
    <definedName name="_MEI02" localSheetId="0">#REF!</definedName>
    <definedName name="_MEI02">#REF!</definedName>
    <definedName name="_MEI03" localSheetId="0">#REF!</definedName>
    <definedName name="_MEI03">#REF!</definedName>
    <definedName name="_MEI92" localSheetId="0">#REF!</definedName>
    <definedName name="_MEI92">#REF!</definedName>
    <definedName name="_MET01" localSheetId="0">#REF!</definedName>
    <definedName name="_MET01">#REF!</definedName>
    <definedName name="_MRT02" localSheetId="0">#REF!</definedName>
    <definedName name="_MRT02">#REF!</definedName>
    <definedName name="_NCL100" localSheetId="0">#REF!</definedName>
    <definedName name="_NCL100">#REF!</definedName>
    <definedName name="_NCL200" localSheetId="0">#REF!</definedName>
    <definedName name="_NCL200">#REF!</definedName>
    <definedName name="_NCL250" localSheetId="0">#REF!</definedName>
    <definedName name="_NCL250">#REF!</definedName>
    <definedName name="_nin190" localSheetId="0">#REF!</definedName>
    <definedName name="_nin190">#REF!</definedName>
    <definedName name="_nop02" localSheetId="0">#REF!</definedName>
    <definedName name="_nop02">#REF!</definedName>
    <definedName name="_NOP92">#N/A</definedName>
    <definedName name="_nov2003" localSheetId="0">#REF!</definedName>
    <definedName name="_nov2003">#REF!</definedName>
    <definedName name="_npv1" localSheetId="0">#REF!</definedName>
    <definedName name="_npv1">#REF!</definedName>
    <definedName name="_npv2" localSheetId="0">#REF!</definedName>
    <definedName name="_npv2">#REF!</definedName>
    <definedName name="_OAF1" localSheetId="0">#REF!</definedName>
    <definedName name="_OAF1">#REF!</definedName>
    <definedName name="_odihkjij" localSheetId="0">#REF!</definedName>
    <definedName name="_odihkjij">#REF!</definedName>
    <definedName name="_Oil1" localSheetId="0">#REF!</definedName>
    <definedName name="_Oil1">#REF!</definedName>
    <definedName name="_OJT02" localSheetId="0">#REF!</definedName>
    <definedName name="_OJT02">#REF!</definedName>
    <definedName name="_OKT02" localSheetId="0">#REF!</definedName>
    <definedName name="_OKT02">#REF!</definedName>
    <definedName name="_okt2003" localSheetId="0">#REF!</definedName>
    <definedName name="_okt2003">#REF!</definedName>
    <definedName name="_OKT92">#N/A</definedName>
    <definedName name="_Order1" hidden="1">0</definedName>
    <definedName name="_Order2" hidden="1">0</definedName>
    <definedName name="_PEB02" localSheetId="0">#REF!</definedName>
    <definedName name="_PEB02">#REF!</definedName>
    <definedName name="_peb03" localSheetId="0">#REF!</definedName>
    <definedName name="_peb03">#REF!</definedName>
    <definedName name="_peb2004" localSheetId="0">#REF!</definedName>
    <definedName name="_peb2004">#REF!</definedName>
    <definedName name="_pms2" localSheetId="0">#REF!</definedName>
    <definedName name="_pms2">#REF!</definedName>
    <definedName name="_pmt7040">'[7]HARGA SATUAN'!$B$8</definedName>
    <definedName name="_PRD1" localSheetId="0">#REF!</definedName>
    <definedName name="_PRD1">#REF!</definedName>
    <definedName name="_PRD2" localSheetId="0">#REF!</definedName>
    <definedName name="_PRD2">#REF!</definedName>
    <definedName name="_PRD3" localSheetId="0">#REF!</definedName>
    <definedName name="_PRD3">#REF!</definedName>
    <definedName name="_PRD4" localSheetId="0">#REF!</definedName>
    <definedName name="_PRD4">#REF!</definedName>
    <definedName name="_PRD5" localSheetId="0">#REF!</definedName>
    <definedName name="_PRD5">#REF!</definedName>
    <definedName name="_PRSB_A11..B_O1" localSheetId="0">#REF!</definedName>
    <definedName name="_PRSB_A11..B_O1">#REF!</definedName>
    <definedName name="_PRSS1..AD1683_" localSheetId="0">#REF!</definedName>
    <definedName name="_PRSS1..AD1683_">#REF!</definedName>
    <definedName name="_PTG02">[18]PTG!$C$5:$AB$58</definedName>
    <definedName name="_rab1" localSheetId="0">#REF!</definedName>
    <definedName name="_rab1">#REF!</definedName>
    <definedName name="_rab2" localSheetId="0">#REF!</definedName>
    <definedName name="_rab2">#REF!</definedName>
    <definedName name="_RAO207" localSheetId="0" hidden="1">{#N/A,#N/A,FALSE,"M.42"}</definedName>
    <definedName name="_RAO207" hidden="1">{#N/A,#N/A,FALSE,"M.42"}</definedName>
    <definedName name="_RE_" localSheetId="0">[27]DAFPEG!#REF!</definedName>
    <definedName name="_RE_">[27]DAFPEG!#REF!</definedName>
    <definedName name="_RE_D_2_" localSheetId="0">[27]DAFPEG!#REF!</definedName>
    <definedName name="_RE_D_2_">[27]DAFPEG!#REF!</definedName>
    <definedName name="_Regression_Int">1</definedName>
    <definedName name="_RIP2" localSheetId="0" hidden="1">{#N/A,#N/A,FALSE,"M.01"}</definedName>
    <definedName name="_RIP2" hidden="1">{#N/A,#N/A,FALSE,"M.01"}</definedName>
    <definedName name="_RIP3" localSheetId="0" hidden="1">{#N/A,#N/A,FALSE,"M.41"}</definedName>
    <definedName name="_RIP3" hidden="1">{#N/A,#N/A,FALSE,"M.41"}</definedName>
    <definedName name="_RMS1" localSheetId="0">#REF!</definedName>
    <definedName name="_RMS1">#REF!</definedName>
    <definedName name="_RMS2" localSheetId="0">#REF!</definedName>
    <definedName name="_RMS2">#REF!</definedName>
    <definedName name="_RMS3" localSheetId="0">#REF!</definedName>
    <definedName name="_RMS3">#REF!</definedName>
    <definedName name="_RMS4" localSheetId="0">#REF!</definedName>
    <definedName name="_RMS4">#REF!</definedName>
    <definedName name="_S" localSheetId="0">#REF!</definedName>
    <definedName name="_S">#REF!</definedName>
    <definedName name="_sc1" localSheetId="0">#REF!</definedName>
    <definedName name="_sc1">#REF!</definedName>
    <definedName name="_SC2" localSheetId="0">#REF!</definedName>
    <definedName name="_SC2">#REF!</definedName>
    <definedName name="_sc3" localSheetId="0">#REF!</definedName>
    <definedName name="_sc3">#REF!</definedName>
    <definedName name="_SEC1" localSheetId="0">#REF!</definedName>
    <definedName name="_SEC1">#REF!</definedName>
    <definedName name="_sec2" localSheetId="0">#REF!</definedName>
    <definedName name="_sec2">#REF!</definedName>
    <definedName name="_sem1" localSheetId="0">#REF!</definedName>
    <definedName name="_sem1">#REF!</definedName>
    <definedName name="_SEP02" localSheetId="0">#REF!</definedName>
    <definedName name="_SEP02">#REF!</definedName>
    <definedName name="_SEP03" localSheetId="0">#REF!</definedName>
    <definedName name="_SEP03">#REF!</definedName>
    <definedName name="_sep2003" localSheetId="0">#REF!</definedName>
    <definedName name="_sep2003">#REF!</definedName>
    <definedName name="_SEP92">#N/A</definedName>
    <definedName name="_SIN1" localSheetId="0">[21]prod03!#REF!</definedName>
    <definedName name="_SIN1">[21]prod03!#REF!</definedName>
    <definedName name="_SKW1">[28]NRCPTK01!$A$1:$AB$42</definedName>
    <definedName name="_SLA2009" localSheetId="0" hidden="1">{#N/A,#N/A,FALSE,"M.32"}</definedName>
    <definedName name="_SLA2009" hidden="1">{#N/A,#N/A,FALSE,"M.32"}</definedName>
    <definedName name="_sm1" localSheetId="0">#REF!</definedName>
    <definedName name="_sm1">#REF!</definedName>
    <definedName name="_SN3" localSheetId="0">#REF!</definedName>
    <definedName name="_SN3">#REF!</definedName>
    <definedName name="_Sort" localSheetId="0" hidden="1">#REF!</definedName>
    <definedName name="_Sort" hidden="1">#REF!</definedName>
    <definedName name="_Sort_2" localSheetId="0" hidden="1">[29]UshDeb00!#REF!</definedName>
    <definedName name="_Sort_2" hidden="1">[29]UshDeb00!#REF!</definedName>
    <definedName name="_SS" localSheetId="0">#REF!</definedName>
    <definedName name="_SS">#REF!</definedName>
    <definedName name="_SUM1" localSheetId="0">[21]prod03!#REF!</definedName>
    <definedName name="_SUM1">[21]prod03!#REF!</definedName>
    <definedName name="_Tab1" localSheetId="0">#REF!</definedName>
    <definedName name="_Tab1">#REF!</definedName>
    <definedName name="_Tab2" localSheetId="0">#REF!</definedName>
    <definedName name="_Tab2">#REF!</definedName>
    <definedName name="_Tab3" localSheetId="0">#REF!</definedName>
    <definedName name="_Tab3">#REF!</definedName>
    <definedName name="_TH1" localSheetId="0" hidden="1">{#N/A,#N/A,FALSE,"M.34"}</definedName>
    <definedName name="_TH1" hidden="1">{#N/A,#N/A,FALSE,"M.34"}</definedName>
    <definedName name="_th100" localSheetId="0">'[4]dongia (2)'!#REF!</definedName>
    <definedName name="_th100">'[4]dongia (2)'!#REF!</definedName>
    <definedName name="_TH160" localSheetId="0">'[4]dongia (2)'!#REF!</definedName>
    <definedName name="_TH160">'[4]dongia (2)'!#REF!</definedName>
    <definedName name="_TH1A" localSheetId="0" hidden="1">{#N/A,#N/A,FALSE,"M.34"}</definedName>
    <definedName name="_TH1A" hidden="1">{#N/A,#N/A,FALSE,"M.34"}</definedName>
    <definedName name="_th2" localSheetId="0" hidden="1">{#N/A,#N/A,FALSE,"M.42"}</definedName>
    <definedName name="_th2" hidden="1">{#N/A,#N/A,FALSE,"M.42"}</definedName>
    <definedName name="_TL1" localSheetId="0">#REF!</definedName>
    <definedName name="_TL1">#REF!</definedName>
    <definedName name="_TL2" localSheetId="0">#REF!</definedName>
    <definedName name="_TL2">#REF!</definedName>
    <definedName name="_TL3" localSheetId="0">#REF!</definedName>
    <definedName name="_TL3">#REF!</definedName>
    <definedName name="_TLA120" localSheetId="0">#REF!</definedName>
    <definedName name="_TLA120">#REF!</definedName>
    <definedName name="_TLA35" localSheetId="0">#REF!</definedName>
    <definedName name="_TLA35">#REF!</definedName>
    <definedName name="_TLA50" localSheetId="0">#REF!</definedName>
    <definedName name="_TLA50">#REF!</definedName>
    <definedName name="_TLA70" localSheetId="0">#REF!</definedName>
    <definedName name="_TLA70">#REF!</definedName>
    <definedName name="_TLA95" localSheetId="0">#REF!</definedName>
    <definedName name="_TLA95">#REF!</definedName>
    <definedName name="_TR250" localSheetId="0">'[4]dongia (2)'!#REF!</definedName>
    <definedName name="_TR250">'[4]dongia (2)'!#REF!</definedName>
    <definedName name="_tr375" localSheetId="0">[4]giathanh1!#REF!</definedName>
    <definedName name="_tr375">[4]giathanh1!#REF!</definedName>
    <definedName name="_TRP1" localSheetId="0">#REF!</definedName>
    <definedName name="_TRP1">#REF!</definedName>
    <definedName name="_trw1" localSheetId="0">#REF!</definedName>
    <definedName name="_trw1">#REF!</definedName>
    <definedName name="_trw2" localSheetId="0">#REF!</definedName>
    <definedName name="_trw2">#REF!</definedName>
    <definedName name="_trw3" localSheetId="0">#REF!</definedName>
    <definedName name="_trw3">#REF!</definedName>
    <definedName name="_TVA1" localSheetId="0">#REF!</definedName>
    <definedName name="_TVA1">#REF!</definedName>
    <definedName name="_TW1" localSheetId="0">#REF!</definedName>
    <definedName name="_TW1">#REF!</definedName>
    <definedName name="_TW2" localSheetId="0">#REF!</definedName>
    <definedName name="_TW2">#REF!</definedName>
    <definedName name="_UPI2">[30]Kamus!$B$2:$B$44</definedName>
    <definedName name="_VL100" localSheetId="0">#REF!</definedName>
    <definedName name="_VL100">#REF!</definedName>
    <definedName name="_VL200" localSheetId="0">#REF!</definedName>
    <definedName name="_VL200">#REF!</definedName>
    <definedName name="_VL250" localSheetId="0">#REF!</definedName>
    <definedName name="_VL250">#REF!</definedName>
    <definedName name="_WAI1" localSheetId="0">[21]prod03!#REF!</definedName>
    <definedName name="_WAI1">[21]prod03!#REF!</definedName>
    <definedName name="_wil1" localSheetId="0" hidden="1">{#N/A,#N/A,FALSE,"M.01"}</definedName>
    <definedName name="_wil1" hidden="1">{#N/A,#N/A,FALSE,"M.01"}</definedName>
    <definedName name="A" localSheetId="0">'[31]W-NAD'!#REF!</definedName>
    <definedName name="A">'[31]W-NAD'!#REF!</definedName>
    <definedName name="A_kerja" localSheetId="0">'[32]scada 2001'!#REF!</definedName>
    <definedName name="A_kerja">'[32]scada 2001'!#REF!</definedName>
    <definedName name="a\" localSheetId="0">#REF!</definedName>
    <definedName name="a\">#REF!</definedName>
    <definedName name="A120_" localSheetId="0">#REF!</definedName>
    <definedName name="A120_">#REF!</definedName>
    <definedName name="A35_" localSheetId="0">#REF!</definedName>
    <definedName name="A35_">#REF!</definedName>
    <definedName name="A50_" localSheetId="0">#REF!</definedName>
    <definedName name="A50_">#REF!</definedName>
    <definedName name="A70_" localSheetId="0">#REF!</definedName>
    <definedName name="A70_">#REF!</definedName>
    <definedName name="A95_" localSheetId="0">#REF!</definedName>
    <definedName name="A95_">#REF!</definedName>
    <definedName name="A9999921530" localSheetId="0">#REF!</definedName>
    <definedName name="A9999921530">#REF!</definedName>
    <definedName name="a9999999999" localSheetId="0">#REF!</definedName>
    <definedName name="a9999999999">#REF!</definedName>
    <definedName name="aa" localSheetId="0" hidden="1">{#N/A,#N/A,FALSE,"M.33"}</definedName>
    <definedName name="aa" hidden="1">{#N/A,#N/A,FALSE,"M.33"}</definedName>
    <definedName name="AAA" localSheetId="0" hidden="1">{#N/A,#N/A,FALSE,"M.42"}</definedName>
    <definedName name="AAA" hidden="1">{#N/A,#N/A,FALSE,"M.42"}</definedName>
    <definedName name="aaaa" localSheetId="0">#REF!</definedName>
    <definedName name="aaaa">#REF!</definedName>
    <definedName name="AAAAA">[33]CashFlow!$A$8:$J$37</definedName>
    <definedName name="AAAAAAA" localSheetId="0" hidden="1">{#N/A,#N/A,FALSE,"M.02"}</definedName>
    <definedName name="AAAAAAA" hidden="1">{#N/A,#N/A,FALSE,"M.02"}</definedName>
    <definedName name="aaaaaaaa" localSheetId="0" hidden="1">{#N/A,#N/A,FALSE,"M.01"}</definedName>
    <definedName name="aaaaaaaa" hidden="1">{#N/A,#N/A,FALSE,"M.01"}</definedName>
    <definedName name="AAAADD" localSheetId="0" hidden="1">{#N/A,#N/A,FALSE,"M.01"}</definedName>
    <definedName name="AAAADD" hidden="1">{#N/A,#N/A,FALSE,"M.01"}</definedName>
    <definedName name="aab" localSheetId="0" hidden="1">{#N/A,#N/A,FALSE,"M.43"}</definedName>
    <definedName name="aab" hidden="1">{#N/A,#N/A,FALSE,"M.43"}</definedName>
    <definedName name="AAS" localSheetId="0" hidden="1">{#N/A,#N/A,FALSE,"M.32"}</definedName>
    <definedName name="AAS" hidden="1">{#N/A,#N/A,FALSE,"M.32"}</definedName>
    <definedName name="AB" localSheetId="0" hidden="1">{#N/A,#N/A,FALSE,"M.32"}</definedName>
    <definedName name="AB" hidden="1">{#N/A,#N/A,FALSE,"M.32"}</definedName>
    <definedName name="ababa" localSheetId="0" hidden="1">{#N/A,#N/A,FALSE,"M.43"}</definedName>
    <definedName name="ababa" hidden="1">{#N/A,#N/A,FALSE,"M.43"}</definedName>
    <definedName name="ABC" localSheetId="0" hidden="1">{#N/A,#N/A,FALSE,"M.01";#N/A,#N/A,FALSE,"M.01"}</definedName>
    <definedName name="ABC" hidden="1">{#N/A,#N/A,FALSE,"M.01";#N/A,#N/A,FALSE,"M.01"}</definedName>
    <definedName name="ABULAN" localSheetId="0">#REF!</definedName>
    <definedName name="ABULAN">#REF!</definedName>
    <definedName name="ac" localSheetId="0">[34]TRANS!#REF!</definedName>
    <definedName name="ac">[34]TRANS!#REF!</definedName>
    <definedName name="AC120_" localSheetId="0">#REF!</definedName>
    <definedName name="AC120_">#REF!</definedName>
    <definedName name="AC35_" localSheetId="0">#REF!</definedName>
    <definedName name="AC35_">#REF!</definedName>
    <definedName name="AC50_" localSheetId="0">#REF!</definedName>
    <definedName name="AC50_">#REF!</definedName>
    <definedName name="AC70_" localSheetId="0">#REF!</definedName>
    <definedName name="AC70_">#REF!</definedName>
    <definedName name="AC95_" localSheetId="0">#REF!</definedName>
    <definedName name="AC95_">#REF!</definedName>
    <definedName name="acd" localSheetId="0">#REF!</definedName>
    <definedName name="acd">#REF!</definedName>
    <definedName name="ACUAN1" localSheetId="0">#REF!</definedName>
    <definedName name="ACUAN1">#REF!</definedName>
    <definedName name="ACUAN2" localSheetId="0">#REF!</definedName>
    <definedName name="ACUAN2">#REF!</definedName>
    <definedName name="AD" localSheetId="0" hidden="1">{#N/A,#N/A,FALSE,"M.32"}</definedName>
    <definedName name="AD" hidden="1">{#N/A,#N/A,FALSE,"M.32"}</definedName>
    <definedName name="ADAD" localSheetId="0" hidden="1">{#N/A,#N/A,FALSE,"M.01";#N/A,#N/A,FALSE,"M.01"}</definedName>
    <definedName name="ADAD" hidden="1">{#N/A,#N/A,FALSE,"M.01";#N/A,#N/A,FALSE,"M.01"}</definedName>
    <definedName name="ADADA" localSheetId="0" hidden="1">{#N/A,#N/A,FALSE,"M.02"}</definedName>
    <definedName name="ADADA" hidden="1">{#N/A,#N/A,FALSE,"M.02"}</definedName>
    <definedName name="ADADADA" localSheetId="0" hidden="1">{#N/A,#N/A,FALSE,"M.02"}</definedName>
    <definedName name="ADADADA" hidden="1">{#N/A,#N/A,FALSE,"M.02"}</definedName>
    <definedName name="ADB" localSheetId="0" hidden="1">{#N/A,#N/A,FALSE,"M.01";#N/A,#N/A,FALSE,"M.01"}</definedName>
    <definedName name="ADB" hidden="1">{#N/A,#N/A,FALSE,"M.01";#N/A,#N/A,FALSE,"M.01"}</definedName>
    <definedName name="ADDDAD" localSheetId="0" hidden="1">{#N/A,#N/A,FALSE,"M.31"}</definedName>
    <definedName name="ADDDAD" hidden="1">{#N/A,#N/A,FALSE,"M.31"}</definedName>
    <definedName name="Address" localSheetId="0">#REF!</definedName>
    <definedName name="Address">#REF!</definedName>
    <definedName name="ADEX" localSheetId="0">#REF!</definedName>
    <definedName name="ADEX">#REF!</definedName>
    <definedName name="ADJ_FACTR" localSheetId="0">#REF!</definedName>
    <definedName name="ADJ_FACTR">#REF!</definedName>
    <definedName name="AdmProBln">'[35]AHS - Personel'!$F$9</definedName>
    <definedName name="ADSAAFAFAFDF" localSheetId="0">#REF!</definedName>
    <definedName name="ADSAAFAFAFDF">#REF!</definedName>
    <definedName name="ADSAD" localSheetId="0" hidden="1">[36]CiMaPlbStd!#REF!</definedName>
    <definedName name="ADSAD" hidden="1">[36]CiMaPlbStd!#REF!</definedName>
    <definedName name="AEERETE" localSheetId="0" hidden="1">{#N/A,#N/A,FALSE,"M.31"}</definedName>
    <definedName name="AEERETE" hidden="1">{#N/A,#N/A,FALSE,"M.31"}</definedName>
    <definedName name="aep" localSheetId="0" hidden="1">{#N/A,#N/A,FALSE,"M.41"}</definedName>
    <definedName name="aep" hidden="1">{#N/A,#N/A,FALSE,"M.41"}</definedName>
    <definedName name="ag142X42" localSheetId="0">[4]chitimc!#REF!</definedName>
    <definedName name="ag142X42">[4]chitimc!#REF!</definedName>
    <definedName name="ag267N59" localSheetId="0">[4]chitimc!#REF!</definedName>
    <definedName name="ag267N59">[4]chitimc!#REF!</definedName>
    <definedName name="agama" localSheetId="0">#REF!</definedName>
    <definedName name="agama">#REF!</definedName>
    <definedName name="AGDSA" localSheetId="0" hidden="1">{#N/A,#N/A,FALSE,"M.43"}</definedName>
    <definedName name="AGDSA" hidden="1">{#N/A,#N/A,FALSE,"M.43"}</definedName>
    <definedName name="ags" localSheetId="0">#REF!</definedName>
    <definedName name="ags">#REF!</definedName>
    <definedName name="agst" localSheetId="0" hidden="1">#REF!</definedName>
    <definedName name="agst" hidden="1">#REF!</definedName>
    <definedName name="AGUNG" localSheetId="0">#REF!</definedName>
    <definedName name="AGUNG">#REF!</definedName>
    <definedName name="AGUNG1" localSheetId="0">#REF!</definedName>
    <definedName name="AGUNG1">#REF!</definedName>
    <definedName name="AGUS92">#N/A</definedName>
    <definedName name="AGUST" localSheetId="0">[37]JTM!#REF!</definedName>
    <definedName name="AGUST">[37]JTM!#REF!</definedName>
    <definedName name="Ahir" localSheetId="0">[38]Download_Data!#REF!</definedName>
    <definedName name="Ahir">[38]Download_Data!#REF!</definedName>
    <definedName name="Ahirl" localSheetId="0">#REF!</definedName>
    <definedName name="Ahirl">#REF!</definedName>
    <definedName name="akhir" localSheetId="0">#REF!</definedName>
    <definedName name="akhir">#REF!</definedName>
    <definedName name="AktivaTetap1A1" localSheetId="0">#REF!</definedName>
    <definedName name="AktivaTetap1A1">#REF!</definedName>
    <definedName name="AktivaTetap1A1a" localSheetId="0">#REF!</definedName>
    <definedName name="AktivaTetap1A1a">#REF!</definedName>
    <definedName name="aku" localSheetId="0" hidden="1">{#N/A,#N/A,FALSE,"M.43"}</definedName>
    <definedName name="aku" hidden="1">{#N/A,#N/A,FALSE,"M.43"}</definedName>
    <definedName name="AkumATFungsi" localSheetId="0">#REF!</definedName>
    <definedName name="AkumATFungsi">#REF!</definedName>
    <definedName name="AkumATJenis" localSheetId="0">#REF!</definedName>
    <definedName name="AkumATJenis">#REF!</definedName>
    <definedName name="AkumATTB4B1TRWI" localSheetId="0">#REF!</definedName>
    <definedName name="AkumATTB4B1TRWI">#REF!</definedName>
    <definedName name="AkumATTB4B1TRWII" localSheetId="0">#REF!</definedName>
    <definedName name="AkumATTB4B1TRWII">#REF!</definedName>
    <definedName name="AkumATTB4B1TRWIII" localSheetId="0">#REF!</definedName>
    <definedName name="AkumATTB4B1TRWIII">#REF!</definedName>
    <definedName name="AkumATTB4B1TRWIV" localSheetId="0">#REF!</definedName>
    <definedName name="AkumATTB4B1TRWIV">#REF!</definedName>
    <definedName name="AkumATTB4B2TRWI" localSheetId="0">#REF!</definedName>
    <definedName name="AkumATTB4B2TRWI">#REF!</definedName>
    <definedName name="AkumATTB4B2TRWII" localSheetId="0">#REF!</definedName>
    <definedName name="AkumATTB4B2TRWII">#REF!</definedName>
    <definedName name="AkumATTB4B2TRWIII" localSheetId="0">#REF!</definedName>
    <definedName name="AkumATTB4B2TRWIII">#REF!</definedName>
    <definedName name="AkumATTB4B2TRWIV" localSheetId="0">#REF!</definedName>
    <definedName name="AkumATTB4B2TRWIV">#REF!</definedName>
    <definedName name="AkunPenu7ATRWI" localSheetId="0">#REF!</definedName>
    <definedName name="AkunPenu7ATRWI">#REF!</definedName>
    <definedName name="AkunPenu7ATRWII" localSheetId="0">#REF!</definedName>
    <definedName name="AkunPenu7ATRWII">#REF!</definedName>
    <definedName name="AkunPenu7ATRWIII" localSheetId="0">#REF!</definedName>
    <definedName name="AkunPenu7ATRWIII">#REF!</definedName>
    <definedName name="AkunPenu7ATRWIV" localSheetId="0">#REF!</definedName>
    <definedName name="AkunPenu7ATRWIV">#REF!</definedName>
    <definedName name="AMJA" localSheetId="0">#REF!</definedName>
    <definedName name="AMJA">#REF!</definedName>
    <definedName name="amplas" localSheetId="0">#REF!</definedName>
    <definedName name="amplas">#REF!</definedName>
    <definedName name="anal" localSheetId="0" hidden="1">{#N/A,#N/A,FALSE,"M.31"}</definedName>
    <definedName name="anal" hidden="1">{#N/A,#N/A,FALSE,"M.31"}</definedName>
    <definedName name="analisa" localSheetId="0">#REF!</definedName>
    <definedName name="analisa">#REF!</definedName>
    <definedName name="AnalisaPenjualan" localSheetId="0">#REF!</definedName>
    <definedName name="AnalisaPenjualan">#REF!</definedName>
    <definedName name="AnalisHari">'[35]AHS - Personel'!$G$10</definedName>
    <definedName name="ANU" localSheetId="0">#REF!</definedName>
    <definedName name="ANU">#REF!</definedName>
    <definedName name="ao" localSheetId="0">#REF!</definedName>
    <definedName name="ao">#REF!</definedName>
    <definedName name="apar" localSheetId="0">[34]FAS!#REF!</definedName>
    <definedName name="apar">[34]FAS!#REF!</definedName>
    <definedName name="apdes" localSheetId="0">#REF!</definedName>
    <definedName name="apdes">#REF!</definedName>
    <definedName name="apr" localSheetId="0">#REF!</definedName>
    <definedName name="apr">#REF!</definedName>
    <definedName name="APRIL">#N/A</definedName>
    <definedName name="APRIL92" localSheetId="0">#REF!</definedName>
    <definedName name="APRIL92">#REF!</definedName>
    <definedName name="ART" localSheetId="0">#REF!</definedName>
    <definedName name="ART">#REF!</definedName>
    <definedName name="Arus" localSheetId="0" hidden="1">{#N/A,#N/A,FALSE,"M.42"}</definedName>
    <definedName name="Arus" hidden="1">{#N/A,#N/A,FALSE,"M.42"}</definedName>
    <definedName name="ArusKas" localSheetId="0">#REF!</definedName>
    <definedName name="ArusKas">#REF!</definedName>
    <definedName name="AS" localSheetId="0" hidden="1">{#N/A,#N/A,FALSE,"M.32"}</definedName>
    <definedName name="AS" hidden="1">{#N/A,#N/A,FALSE,"M.32"}</definedName>
    <definedName name="AS2DocOpenMode" hidden="1">"AS2DocumentBrowse"</definedName>
    <definedName name="asa" localSheetId="0" hidden="1">{#N/A,#N/A,FALSE,"M.01";#N/A,#N/A,FALSE,"M.01"}</definedName>
    <definedName name="asa" hidden="1">{#N/A,#N/A,FALSE,"M.01";#N/A,#N/A,FALSE,"M.01"}</definedName>
    <definedName name="asal" localSheetId="0" hidden="1">{#N/A,#N/A,FALSE,"M.31"}</definedName>
    <definedName name="asal" hidden="1">{#N/A,#N/A,FALSE,"M.31"}</definedName>
    <definedName name="ASASA" localSheetId="0" hidden="1">{#N/A,#N/A,FALSE,"M.42"}</definedName>
    <definedName name="ASASA" hidden="1">{#N/A,#N/A,FALSE,"M.42"}</definedName>
    <definedName name="ASASASA" localSheetId="0" hidden="1">{#N/A,#N/A,FALSE,"M.01";#N/A,#N/A,FALSE,"M.01"}</definedName>
    <definedName name="ASASASA" hidden="1">{#N/A,#N/A,FALSE,"M.01";#N/A,#N/A,FALSE,"M.01"}</definedName>
    <definedName name="ASASASAS" localSheetId="0" hidden="1">{#N/A,#N/A,FALSE,"M.02"}</definedName>
    <definedName name="ASASASAS" hidden="1">{#N/A,#N/A,FALSE,"M.02"}</definedName>
    <definedName name="ASASEERSF" localSheetId="0" hidden="1">{#N/A,#N/A,FALSE,"M.31"}</definedName>
    <definedName name="ASASEERSF" hidden="1">{#N/A,#N/A,FALSE,"M.31"}</definedName>
    <definedName name="asd" localSheetId="0" hidden="1">{#N/A,#N/A,FALSE,"M.43"}</definedName>
    <definedName name="asd" hidden="1">{#N/A,#N/A,FALSE,"M.43"}</definedName>
    <definedName name="asdas" localSheetId="0" hidden="1">[39]UshDeb00!#REF!</definedName>
    <definedName name="asdas" hidden="1">[39]UshDeb00!#REF!</definedName>
    <definedName name="asdasd" localSheetId="0" hidden="1">[39]UshDeb00!#REF!</definedName>
    <definedName name="asdasd" hidden="1">[39]UshDeb00!#REF!</definedName>
    <definedName name="asdasdasd" localSheetId="0" hidden="1">[39]UshDeb00!#REF!</definedName>
    <definedName name="asdasdasd" hidden="1">[39]UshDeb00!#REF!</definedName>
    <definedName name="asdasdasdasda" localSheetId="0">#REF!</definedName>
    <definedName name="asdasdasdasda">#REF!</definedName>
    <definedName name="asdasdasdasdasdasd" localSheetId="0">[40]PRK!#REF!</definedName>
    <definedName name="asdasdasdasdasdasd">[40]PRK!#REF!</definedName>
    <definedName name="asddfgh" localSheetId="0" hidden="1">{#N/A,#N/A,FALSE,"M.31"}</definedName>
    <definedName name="asddfgh" hidden="1">{#N/A,#N/A,FALSE,"M.31"}</definedName>
    <definedName name="asdfsaf" localSheetId="0" hidden="1">{#N/A,#N/A,FALSE,"M.01"}</definedName>
    <definedName name="asdfsaf" hidden="1">{#N/A,#N/A,FALSE,"M.01"}</definedName>
    <definedName name="asdhfla" localSheetId="0" hidden="1">{#N/A,#N/A,FALSE,"M.02"}</definedName>
    <definedName name="asdhfla" hidden="1">{#N/A,#N/A,FALSE,"M.02"}</definedName>
    <definedName name="ASGSD" localSheetId="0" hidden="1">{#N/A,#N/A,FALSE,"M.42"}</definedName>
    <definedName name="ASGSD" hidden="1">{#N/A,#N/A,FALSE,"M.42"}</definedName>
    <definedName name="ass" localSheetId="0" hidden="1">{#N/A,#N/A,FALSE,"M.43"}</definedName>
    <definedName name="ass" hidden="1">{#N/A,#N/A,FALSE,"M.43"}</definedName>
    <definedName name="assumptions" localSheetId="0">#REF!</definedName>
    <definedName name="assumptions">#REF!</definedName>
    <definedName name="Asumsi" localSheetId="0">#REF!</definedName>
    <definedName name="Asumsi">#REF!</definedName>
    <definedName name="ATBM4D1TRWI" localSheetId="0">#REF!</definedName>
    <definedName name="ATBM4D1TRWI">#REF!</definedName>
    <definedName name="ATBM4D1TRWII" localSheetId="0">#REF!</definedName>
    <definedName name="ATBM4D1TRWII">#REF!</definedName>
    <definedName name="ATBM4D1TRWIII" localSheetId="0">#REF!</definedName>
    <definedName name="ATBM4D1TRWIII">#REF!</definedName>
    <definedName name="ATBM4D1TRWIV" localSheetId="0">#REF!</definedName>
    <definedName name="ATBM4D1TRWIV">#REF!</definedName>
    <definedName name="ATBM4D2TRWI" localSheetId="0">#REF!</definedName>
    <definedName name="ATBM4D2TRWI">#REF!</definedName>
    <definedName name="ATBM4D2TRWII" localSheetId="0">#REF!</definedName>
    <definedName name="ATBM4D2TRWII">#REF!</definedName>
    <definedName name="ATBM4D2TRWIII" localSheetId="0">#REF!</definedName>
    <definedName name="ATBM4D2TRWIII">#REF!</definedName>
    <definedName name="ATBM4D2TRWIV" localSheetId="0">#REF!</definedName>
    <definedName name="ATBM4D2TRWIV">#REF!</definedName>
    <definedName name="ATFungsi" localSheetId="0">#REF!</definedName>
    <definedName name="ATFungsi">#REF!</definedName>
    <definedName name="ATJenis" localSheetId="0">#REF!</definedName>
    <definedName name="ATJenis">#REF!</definedName>
    <definedName name="AUD">[41]L20Keu!$O$6</definedName>
    <definedName name="aw" localSheetId="0">#REF!</definedName>
    <definedName name="aw">#REF!</definedName>
    <definedName name="awal" localSheetId="0">#REF!</definedName>
    <definedName name="awal">#REF!</definedName>
    <definedName name="awsl" localSheetId="0" hidden="1">{#N/A,#N/A,FALSE,"M.42"}</definedName>
    <definedName name="awsl" hidden="1">{#N/A,#N/A,FALSE,"M.42"}</definedName>
    <definedName name="awstab" localSheetId="0">#REF!</definedName>
    <definedName name="awstab">#REF!</definedName>
    <definedName name="aXFA" localSheetId="0" hidden="1">{#N/A,#N/A,FALSE,"M.42"}</definedName>
    <definedName name="aXFA" hidden="1">{#N/A,#N/A,FALSE,"M.42"}</definedName>
    <definedName name="B" localSheetId="0" hidden="1">{#N/A,#N/A,FALSE,"M.31"}</definedName>
    <definedName name="B" hidden="1">{#N/A,#N/A,FALSE,"M.31"}</definedName>
    <definedName name="b_240" localSheetId="0">'[4]THPDMoi  (2)'!#REF!</definedName>
    <definedName name="b_240">'[4]THPDMoi  (2)'!#REF!</definedName>
    <definedName name="b_280" localSheetId="0">'[4]THPDMoi  (2)'!#REF!</definedName>
    <definedName name="b_280">'[4]THPDMoi  (2)'!#REF!</definedName>
    <definedName name="b_320" localSheetId="0">'[4]THPDMoi  (2)'!#REF!</definedName>
    <definedName name="b_320">'[4]THPDMoi  (2)'!#REF!</definedName>
    <definedName name="B.146" localSheetId="0" hidden="1">{#N/A,#N/A,FALSE,"M.43"}</definedName>
    <definedName name="B.146" hidden="1">{#N/A,#N/A,FALSE,"M.43"}</definedName>
    <definedName name="ba" localSheetId="0">#REF!</definedName>
    <definedName name="ba">#REF!</definedName>
    <definedName name="BACA">[42]DATA!$A$5:$Y$145</definedName>
    <definedName name="BANDUNG" localSheetId="0">#REF!</definedName>
    <definedName name="BANDUNG">#REF!</definedName>
    <definedName name="bangciti" localSheetId="0">'[4]dongia (2)'!#REF!</definedName>
    <definedName name="bangciti">'[4]dongia (2)'!#REF!</definedName>
    <definedName name="banyu" localSheetId="0" hidden="1">{#N/A,#N/A,FALSE,"M.01"}</definedName>
    <definedName name="banyu" hidden="1">{#N/A,#N/A,FALSE,"M.01"}</definedName>
    <definedName name="BAPP" localSheetId="0">#REF!</definedName>
    <definedName name="BAPP">#REF!</definedName>
    <definedName name="BAR" localSheetId="0">'[43]FORM-B'!#REF!</definedName>
    <definedName name="BAR">'[43]FORM-B'!#REF!</definedName>
    <definedName name="BARU" localSheetId="0" hidden="1">{#N/A,#N/A,FALSE,"M.01"}</definedName>
    <definedName name="BARU" hidden="1">{#N/A,#N/A,FALSE,"M.01"}</definedName>
    <definedName name="Basket" localSheetId="0">#REF!</definedName>
    <definedName name="Basket">#REF!</definedName>
    <definedName name="Basket1Binjai">'[44]FORM A12BJI'!$D$13:$M$56</definedName>
    <definedName name="Basket1Medan">'[44]FORM A12MED'!$D$12:$M$55</definedName>
    <definedName name="Basket1Nias">'[44]FORM A12NIA'!$C$14:$M$52</definedName>
    <definedName name="Basket1Pakam">'[44]FORM A12PKM'!$E$14:$N$23</definedName>
    <definedName name="Basket1Rantau">'[44]FORM A12RAP'!$C$12:$M$74</definedName>
    <definedName name="Basket1Siantar">'[44]FORM A12PMS'!$D$16:$M$158</definedName>
    <definedName name="Basket1Sibolga">'[44]FORM A12SBG'!$D$13:$M$75</definedName>
    <definedName name="Basket2Binjai">'[44]FORM A12BJI'!$D$63</definedName>
    <definedName name="Basket2Medan">'[44]FORM A12MED'!$D$63:$M$204</definedName>
    <definedName name="Basket2Nias">'[44]FORM A12NIA'!$C$60:$M$77</definedName>
    <definedName name="Basket2Pakam">'[44]FORM A12PKM'!$D$32:$N$38</definedName>
    <definedName name="Basket2Rantau">'[44]FORM A12RAP'!$D$83:$M$164</definedName>
    <definedName name="Basket2Siantar">'[44]FORM A12PMS'!$D$167:$M$339</definedName>
    <definedName name="Basket2Sibolga">'[44]FORM A12SBG'!$D$85:$M$216</definedName>
    <definedName name="Basket3Binjai">'[44]FORM A12BJI'!$D$65:$M$195</definedName>
    <definedName name="Basket3Medan">'[44]FORM A12MED'!$D$212:$M$295</definedName>
    <definedName name="Basket3Nias">'[44]FORM A12NIA'!$C$85:$M$136</definedName>
    <definedName name="Basket3Pakam">'[44]FORM A12PKM'!$D$46:$N$279</definedName>
    <definedName name="Basket3Rantau">'[44]FORM A12RAP'!$D$173:$M$302</definedName>
    <definedName name="Basket3Siantar">'[44]FORM A12PMS'!$D$348:$M$511</definedName>
    <definedName name="Basket3Sibolga">'[44]FORM A12SBG'!$D$226:$M$355</definedName>
    <definedName name="Basket4Binjai">'[44]FORM A12BJI'!$D$226:$M$281</definedName>
    <definedName name="Basket4Medan">'[44]FORM A12MED'!$D$303:$M$339</definedName>
    <definedName name="Basket4Nias">'[44]FORM A12NIA'!$C$145:$M$185</definedName>
    <definedName name="Basket4Pakam">'[44]FORM A12PKM'!$D$288:$N$467</definedName>
    <definedName name="Basket4Rantau">'[44]FORM A12RAP'!$D$310:$M$343</definedName>
    <definedName name="Basket4Siantar">'[44]FORM A12PMS'!$D$538:$M$660</definedName>
    <definedName name="Basket4Sibolga">'[44]FORM A12SBG'!$D$364:$M$453</definedName>
    <definedName name="Basket5Binjai">'[44]FORM A12BJI'!$D$289:$M$337</definedName>
    <definedName name="Basket5Medan">'[44]FORM A12MED'!$D$347:$M$457</definedName>
    <definedName name="Basket5Nias">'[44]FORM A12NIA'!$D$194:$M$277</definedName>
    <definedName name="Basket5Pakam">'[44]FORM A12PKM'!$E$487:$N$631</definedName>
    <definedName name="Basket5Rantau">'[44]FORM A12RAP'!$D$352:$N$368</definedName>
    <definedName name="Basket5Siantar">'[44]FORM A12PMS'!$D$669:$M$719</definedName>
    <definedName name="Basket5Sibolga">'[44]FORM A12SBG'!$D$464:$M$519</definedName>
    <definedName name="bata" localSheetId="0">#REF!</definedName>
    <definedName name="bata">#REF!</definedName>
    <definedName name="BATAL" localSheetId="0" hidden="1">{#N/A,#N/A,FALSE,"M.41"}</definedName>
    <definedName name="BATAL" hidden="1">{#N/A,#N/A,FALSE,"M.41"}</definedName>
    <definedName name="Batt.110V300ah">'[7]HARGA SATUAN'!$B$9</definedName>
    <definedName name="Battere48V300">'[7]HARGA SATUAN'!$B$13</definedName>
    <definedName name="batu" localSheetId="0" hidden="1">{#N/A,#N/A,FALSE,"M.01";#N/A,#N/A,FALSE,"M.01"}</definedName>
    <definedName name="batu" hidden="1">{#N/A,#N/A,FALSE,"M.01";#N/A,#N/A,FALSE,"M.01"}</definedName>
    <definedName name="BB" localSheetId="0" hidden="1">{#N/A,#N/A,FALSE,"M.01";#N/A,#N/A,FALSE,"M.01"}</definedName>
    <definedName name="BB" hidden="1">{#N/A,#N/A,FALSE,"M.01";#N/A,#N/A,FALSE,"M.01"}</definedName>
    <definedName name="BBakuTRWI" localSheetId="0">#REF!</definedName>
    <definedName name="BBakuTRWI">#REF!</definedName>
    <definedName name="BBakuTRWII" localSheetId="0">#REF!</definedName>
    <definedName name="BBakuTRWII">#REF!</definedName>
    <definedName name="BBakuTRWIII" localSheetId="0">#REF!</definedName>
    <definedName name="BBakuTRWIII">#REF!</definedName>
    <definedName name="BBakuTRWIV" localSheetId="0">#REF!</definedName>
    <definedName name="BBakuTRWIV">#REF!</definedName>
    <definedName name="BBB" localSheetId="0" hidden="1">{#N/A,#N/A,FALSE,"M.32"}</definedName>
    <definedName name="BBB" hidden="1">{#N/A,#N/A,FALSE,"M.32"}</definedName>
    <definedName name="BBBB" localSheetId="0" hidden="1">{#N/A,#N/A,FALSE,"M.31"}</definedName>
    <definedName name="BBBB" hidden="1">{#N/A,#N/A,FALSE,"M.31"}</definedName>
    <definedName name="BBBBB" localSheetId="0" hidden="1">{#N/A,#N/A,FALSE,"M.33"}</definedName>
    <definedName name="BBBBB" hidden="1">{#N/A,#N/A,FALSE,"M.33"}</definedName>
    <definedName name="BBBBBBBBB" localSheetId="0" hidden="1">{#N/A,#N/A,FALSE,"M.41"}</definedName>
    <definedName name="BBBBBBBBB" hidden="1">{#N/A,#N/A,FALSE,"M.41"}</definedName>
    <definedName name="BBBBBBBBBBBBB" localSheetId="0" hidden="1">{#N/A,#N/A,FALSE,"M.34"}</definedName>
    <definedName name="BBBBBBBBBBBBB" hidden="1">{#N/A,#N/A,FALSE,"M.34"}</definedName>
    <definedName name="BBBBBBBBBBBBBB" localSheetId="0" hidden="1">{#N/A,#N/A,FALSE,"M.42"}</definedName>
    <definedName name="BBBBBBBBBBBBBB" hidden="1">{#N/A,#N/A,FALSE,"M.42"}</definedName>
    <definedName name="bbbbbbbbbbbbbbbbbbbbb" localSheetId="0" hidden="1">{#N/A,#N/A,FALSE,"M.42"}</definedName>
    <definedName name="bbbbbbbbbbbbbbbbbbbbb" hidden="1">{#N/A,#N/A,FALSE,"M.42"}</definedName>
    <definedName name="BBM" localSheetId="0">#REF!</definedName>
    <definedName name="BBM">#REF!</definedName>
    <definedName name="BBMJenisTRWI" localSheetId="0">#REF!</definedName>
    <definedName name="BBMJenisTRWI">#REF!</definedName>
    <definedName name="BBMJenisTRWII" localSheetId="0">#REF!</definedName>
    <definedName name="BBMJenisTRWII">#REF!</definedName>
    <definedName name="BBMJenisTRWIII" localSheetId="0">#REF!</definedName>
    <definedName name="BBMJenisTRWIII">#REF!</definedName>
    <definedName name="BBMJenisTRWIV" localSheetId="0">#REF!</definedName>
    <definedName name="BBMJenisTRWIV">#REF!</definedName>
    <definedName name="BCC" localSheetId="0">[45]DATA!#REF!</definedName>
    <definedName name="BCC">[45]DATA!#REF!</definedName>
    <definedName name="BDDUM4G" localSheetId="0">#REF!</definedName>
    <definedName name="BDDUM4G">#REF!</definedName>
    <definedName name="BDDUMLain4G1" localSheetId="0">#REF!</definedName>
    <definedName name="BDDUMLain4G1">#REF!</definedName>
    <definedName name="bdht15nc" localSheetId="0">[4]gtrinh!#REF!</definedName>
    <definedName name="bdht15nc">[4]gtrinh!#REF!</definedName>
    <definedName name="bdht15vl" localSheetId="0">[4]gtrinh!#REF!</definedName>
    <definedName name="bdht15vl">[4]gtrinh!#REF!</definedName>
    <definedName name="bdht25nc" localSheetId="0">[4]gtrinh!#REF!</definedName>
    <definedName name="bdht25nc">[4]gtrinh!#REF!</definedName>
    <definedName name="bdht25vl" localSheetId="0">[4]gtrinh!#REF!</definedName>
    <definedName name="bdht25vl">[4]gtrinh!#REF!</definedName>
    <definedName name="bdht325nc" localSheetId="0">[4]gtrinh!#REF!</definedName>
    <definedName name="bdht325nc">[4]gtrinh!#REF!</definedName>
    <definedName name="bdht325vl" localSheetId="0">[4]gtrinh!#REF!</definedName>
    <definedName name="bdht325vl">[4]gtrinh!#REF!</definedName>
    <definedName name="BDR" localSheetId="0" hidden="1">{#N/A,#N/A,FALSE,"M.01";#N/A,#N/A,FALSE,"M.01"}</definedName>
    <definedName name="BDR" hidden="1">{#N/A,#N/A,FALSE,"M.01";#N/A,#N/A,FALSE,"M.01"}</definedName>
    <definedName name="BDR_PLB" localSheetId="0" hidden="1">{#N/A,#N/A,FALSE,"M.32"}</definedName>
    <definedName name="BDR_PLB" hidden="1">{#N/A,#N/A,FALSE,"M.32"}</definedName>
    <definedName name="beban" localSheetId="0">#REF!</definedName>
    <definedName name="beban">#REF!</definedName>
    <definedName name="Beban_Puncak" localSheetId="0">#REF!</definedName>
    <definedName name="Beban_Puncak">#REF!</definedName>
    <definedName name="bebanttl" localSheetId="0">#REF!</definedName>
    <definedName name="bebanttl">#REF!</definedName>
    <definedName name="begisting" localSheetId="0">#REF!</definedName>
    <definedName name="begisting">#REF!</definedName>
    <definedName name="beli" localSheetId="0">#REF!</definedName>
    <definedName name="beli">#REF!</definedName>
    <definedName name="BENGKAYANG">#N/A</definedName>
    <definedName name="bentala" localSheetId="0">#REF!</definedName>
    <definedName name="bentala">#REF!</definedName>
    <definedName name="besi.pek" localSheetId="0">#REF!</definedName>
    <definedName name="besi.pek">#REF!</definedName>
    <definedName name="beton123" localSheetId="0">#REF!</definedName>
    <definedName name="beton123">#REF!</definedName>
    <definedName name="beton123.100" localSheetId="0">#REF!</definedName>
    <definedName name="beton123.100">#REF!</definedName>
    <definedName name="beton123.80" localSheetId="0">#REF!</definedName>
    <definedName name="beton123.80">#REF!</definedName>
    <definedName name="beton135" localSheetId="0">#REF!</definedName>
    <definedName name="beton135">#REF!</definedName>
    <definedName name="bf" localSheetId="0" hidden="1">{#N/A,#N/A,FALSE,"M.01";#N/A,#N/A,FALSE,"M.01"}</definedName>
    <definedName name="bf" hidden="1">{#N/A,#N/A,FALSE,"M.01";#N/A,#N/A,FALSE,"M.01"}</definedName>
    <definedName name="bg" localSheetId="0" hidden="1">{#N/A,#N/A,FALSE,"M.01";#N/A,#N/A,FALSE,"M.01"}</definedName>
    <definedName name="bg" hidden="1">{#N/A,#N/A,FALSE,"M.01";#N/A,#N/A,FALSE,"M.01"}</definedName>
    <definedName name="BGK" localSheetId="0">#REF!</definedName>
    <definedName name="BGK">#REF!</definedName>
    <definedName name="bh" localSheetId="0">[9]ca!#REF!</definedName>
    <definedName name="bh">[9]ca!#REF!</definedName>
    <definedName name="Biak" localSheetId="0" hidden="1">{#N/A,#N/A,FALSE,"M.31"}</definedName>
    <definedName name="Biak" hidden="1">{#N/A,#N/A,FALSE,"M.31"}</definedName>
    <definedName name="Biaya" localSheetId="0">#REF!</definedName>
    <definedName name="Biaya">#REF!</definedName>
    <definedName name="biaya1" localSheetId="0">#REF!</definedName>
    <definedName name="biaya1">#REF!</definedName>
    <definedName name="biaya2" localSheetId="0">#REF!</definedName>
    <definedName name="biaya2">#REF!</definedName>
    <definedName name="biayaDPElektrikal1428">'[46]spp mesin sn 1428 (Electric)'!$K$415</definedName>
    <definedName name="biayaJB1428">'[46]biaya jasa borongan 1428'!$G$33</definedName>
    <definedName name="BiDitghkan4F" localSheetId="0">#REF!</definedName>
    <definedName name="BiDitghkan4F">#REF!</definedName>
    <definedName name="BiInvest" localSheetId="0">#REF!</definedName>
    <definedName name="BiInvest">#REF!</definedName>
    <definedName name="BiLuOp" localSheetId="0">#REF!</definedName>
    <definedName name="BiLuOp">#REF!</definedName>
    <definedName name="BIM" localSheetId="0">[21]prod03!#REF!</definedName>
    <definedName name="BIM">[21]prod03!#REF!</definedName>
    <definedName name="bima3" localSheetId="0" hidden="1">{#N/A,#N/A,FALSE,"M.02"}</definedName>
    <definedName name="bima3" hidden="1">{#N/A,#N/A,FALSE,"M.02"}</definedName>
    <definedName name="BINJAI" localSheetId="0">#REF!</definedName>
    <definedName name="BINJAI">#REF!</definedName>
    <definedName name="BIODATA">[47]BIODATA!$A$5:$L$74</definedName>
    <definedName name="BiPegUTRWI" localSheetId="0">#REF!</definedName>
    <definedName name="BiPegUTRWI">#REF!</definedName>
    <definedName name="BiPegUTRWII" localSheetId="0">'[48]Bipeg-U(12D2)'!#REF!</definedName>
    <definedName name="BiPegUTRWII">'[48]Bipeg-U(12D2)'!#REF!</definedName>
    <definedName name="BiPegUTRWIII" localSheetId="0">'[48]Bipeg-U(12D2)'!#REF!</definedName>
    <definedName name="BiPegUTRWIII">'[48]Bipeg-U(12D2)'!#REF!</definedName>
    <definedName name="BiPegUTRWIV" localSheetId="0">'[48]Bipeg-U(12D2)'!#REF!</definedName>
    <definedName name="BiPegUTRWIV">'[48]Bipeg-U(12D2)'!#REF!</definedName>
    <definedName name="BiPinjamin" localSheetId="0">#REF!</definedName>
    <definedName name="BiPinjamin">#REF!</definedName>
    <definedName name="BJI" localSheetId="0">#REF!</definedName>
    <definedName name="BJI">#REF!</definedName>
    <definedName name="bji_5" localSheetId="0">#REF!</definedName>
    <definedName name="bji_5">#REF!</definedName>
    <definedName name="BJIP" localSheetId="0">#REF!</definedName>
    <definedName name="BJIP">#REF!</definedName>
    <definedName name="bjip_5" localSheetId="0">#REF!</definedName>
    <definedName name="bjip_5">#REF!</definedName>
    <definedName name="bjm" localSheetId="0" hidden="1">{#N/A,#N/A,FALSE,"M.02"}</definedName>
    <definedName name="bjm" hidden="1">{#N/A,#N/A,FALSE,"M.02"}</definedName>
    <definedName name="bk" localSheetId="0" hidden="1">{#N/A,#N/A,FALSE,"M.32"}</definedName>
    <definedName name="bk" hidden="1">{#N/A,#N/A,FALSE,"M.32"}</definedName>
    <definedName name="bkimia4tb">[1]Uraian!$AB$121</definedName>
    <definedName name="bkimia4v" localSheetId="0">[49]Uraian!#REF!</definedName>
    <definedName name="bkimia4v">[49]Uraian!#REF!</definedName>
    <definedName name="bkimia6tb">[1]Uraian!$AB$289</definedName>
    <definedName name="bkimia7tb">[1]Uraian!$AB$380</definedName>
    <definedName name="bkimiapjb1tb">[1]Uraian!$AB$625</definedName>
    <definedName name="bkimiapjb2tb">[1]Uraian!$AB$684</definedName>
    <definedName name="BKL" localSheetId="0">#REF!</definedName>
    <definedName name="BKL">#REF!</definedName>
    <definedName name="BKS" localSheetId="0">#REF!</definedName>
    <definedName name="BKS">#REF!</definedName>
    <definedName name="BLNINI" localSheetId="0">#REF!</definedName>
    <definedName name="BLNINI">#REF!</definedName>
    <definedName name="BLNINI1" localSheetId="0">#REF!</definedName>
    <definedName name="BLNINI1">#REF!</definedName>
    <definedName name="BLNLALU" localSheetId="0">#REF!</definedName>
    <definedName name="BLNLALU">#REF!</definedName>
    <definedName name="BLNLALU1" localSheetId="0">#REF!</definedName>
    <definedName name="BLNLALU1">#REF!</definedName>
    <definedName name="bnn" localSheetId="0">[17]ca!#REF!</definedName>
    <definedName name="bnn">[17]ca!#REF!</definedName>
    <definedName name="bo" localSheetId="0" hidden="1">{#N/A,#N/A,FALSE,"M.02"}</definedName>
    <definedName name="bo" hidden="1">{#N/A,#N/A,FALSE,"M.02"}</definedName>
    <definedName name="bobo" localSheetId="0" hidden="1">{#N/A,#N/A,FALSE,"M.31"}</definedName>
    <definedName name="bobo" hidden="1">{#N/A,#N/A,FALSE,"M.31"}</definedName>
    <definedName name="BOLain" localSheetId="0">#REF!</definedName>
    <definedName name="BOLain">#REF!</definedName>
    <definedName name="BoLainTRWI" localSheetId="0">#REF!</definedName>
    <definedName name="BoLainTRWI">#REF!</definedName>
    <definedName name="BoLainTRWII" localSheetId="0">#REF!</definedName>
    <definedName name="BoLainTRWII">#REF!</definedName>
    <definedName name="BoLainTRWIII" localSheetId="0">#REF!</definedName>
    <definedName name="BoLainTRWIII">#REF!</definedName>
    <definedName name="BoLainTRWIV" localSheetId="0">#REF!</definedName>
    <definedName name="BoLainTRWIV">#REF!</definedName>
    <definedName name="boplank" localSheetId="0">#REF!</definedName>
    <definedName name="boplank">#REF!</definedName>
    <definedName name="BORONGAN" localSheetId="0">#REF!</definedName>
    <definedName name="BORONGAN">#REF!</definedName>
    <definedName name="BOSS" localSheetId="0">#REF!</definedName>
    <definedName name="BOSS">#REF!</definedName>
    <definedName name="bp" localSheetId="0">#REF!</definedName>
    <definedName name="bp">#REF!</definedName>
    <definedName name="BPegFTRWI" localSheetId="0">#REF!</definedName>
    <definedName name="BPegFTRWI">#REF!</definedName>
    <definedName name="BPegFTRWII" localSheetId="0">#REF!</definedName>
    <definedName name="BPegFTRWII">#REF!</definedName>
    <definedName name="BPegFTRWIII" localSheetId="0">#REF!</definedName>
    <definedName name="BPegFTRWIII">#REF!</definedName>
    <definedName name="BPegFTRWIV" localSheetId="0">#REF!</definedName>
    <definedName name="BPegFTRWIV">#REF!</definedName>
    <definedName name="BPP" localSheetId="0">'[50]W-NAD'!#REF!</definedName>
    <definedName name="BPP">'[50]W-NAD'!#REF!</definedName>
    <definedName name="BPPWS2JB" localSheetId="0">#REF!</definedName>
    <definedName name="BPPWS2JB">#REF!</definedName>
    <definedName name="bs.btn" localSheetId="0">#REF!</definedName>
    <definedName name="bs.btn">#REF!</definedName>
    <definedName name="bt" localSheetId="0">#REF!</definedName>
    <definedName name="bt">#REF!</definedName>
    <definedName name="btg" localSheetId="0">#REF!</definedName>
    <definedName name="btg">#REF!</definedName>
    <definedName name="BTJHV" localSheetId="0" hidden="1">{#N/A,#N/A,FALSE,"M.43"}</definedName>
    <definedName name="BTJHV" hidden="1">{#N/A,#N/A,FALSE,"M.43"}</definedName>
    <definedName name="BUANG" localSheetId="0" hidden="1">{#N/A,#N/A,FALSE,"M.01";#N/A,#N/A,FALSE,"M.01"}</definedName>
    <definedName name="BUANG" hidden="1">{#N/A,#N/A,FALSE,"M.01";#N/A,#N/A,FALSE,"M.01"}</definedName>
    <definedName name="BUANG1" localSheetId="0" hidden="1">{#N/A,#N/A,FALSE,"M.01";#N/A,#N/A,FALSE,"M.01"}</definedName>
    <definedName name="BUANG1" hidden="1">{#N/A,#N/A,FALSE,"M.01";#N/A,#N/A,FALSE,"M.01"}</definedName>
    <definedName name="bubu" localSheetId="0">#REF!</definedName>
    <definedName name="bubu">#REF!</definedName>
    <definedName name="BUDI" localSheetId="0">#REF!</definedName>
    <definedName name="BUDI">#REF!</definedName>
    <definedName name="BukuBesar" localSheetId="0">#REF!</definedName>
    <definedName name="BukuBesar">#REF!</definedName>
    <definedName name="BukuBesarJawa" localSheetId="0">[51]LK2004!#REF!</definedName>
    <definedName name="BukuBesarJawa">[51]LK2004!#REF!</definedName>
    <definedName name="BUL" localSheetId="0">#REF!</definedName>
    <definedName name="BUL">#REF!</definedName>
    <definedName name="bulan" localSheetId="0">#REF!</definedName>
    <definedName name="bulan">#REF!</definedName>
    <definedName name="Bulan_Ke" localSheetId="0">#REF!</definedName>
    <definedName name="Bulan_Ke">#REF!</definedName>
    <definedName name="bulanpensiun" localSheetId="0">#REF!</definedName>
    <definedName name="bulanpensiun">#REF!</definedName>
    <definedName name="BULL">'[52]KMS-DIS5'!$A$4:$AI$179</definedName>
    <definedName name="BUNGO" localSheetId="0">#REF!</definedName>
    <definedName name="BUNGO">#REF!</definedName>
    <definedName name="C_" localSheetId="0">#REF!</definedName>
    <definedName name="C_">#REF!</definedName>
    <definedName name="cab" localSheetId="0" hidden="1">{#N/A,#N/A,FALSE,"M.32"}</definedName>
    <definedName name="cab" hidden="1">{#N/A,#N/A,FALSE,"M.32"}</definedName>
    <definedName name="Cab_APJ_3" localSheetId="0" hidden="1">{#N/A,#N/A,FALSE,"M.41"}</definedName>
    <definedName name="Cab_APJ_3" hidden="1">{#N/A,#N/A,FALSE,"M.41"}</definedName>
    <definedName name="Cab_APJ4" localSheetId="0" hidden="1">{#N/A,#N/A,FALSE,"M.41"}</definedName>
    <definedName name="Cab_APJ4" hidden="1">{#N/A,#N/A,FALSE,"M.41"}</definedName>
    <definedName name="CAB_BRB1" localSheetId="0" hidden="1">{#N/A,#N/A,FALSE,"M.41"}</definedName>
    <definedName name="CAB_BRB1" hidden="1">{#N/A,#N/A,FALSE,"M.41"}</definedName>
    <definedName name="CABANG" localSheetId="0">#REF!</definedName>
    <definedName name="CABANG">#REF!</definedName>
    <definedName name="Cabang_Cirebon">[53]Data!$A$1:$M$5</definedName>
    <definedName name="Cabang_Garut">[53]Data!$A$13:$M$17</definedName>
    <definedName name="Cabang_Tasikmalaya">[53]Data!$A$7:$M$11</definedName>
    <definedName name="cabanggr">[54]Gab.Cab!$BE$4:$CF$141</definedName>
    <definedName name="cabbjainew" localSheetId="0" hidden="1">{#N/A,#N/A,FALSE,"M.42"}</definedName>
    <definedName name="cabbjainew" hidden="1">{#N/A,#N/A,FALSE,"M.42"}</definedName>
    <definedName name="cancel" localSheetId="0" hidden="1">{#N/A,#N/A,FALSE,"M.01"}</definedName>
    <definedName name="cancel" hidden="1">{#N/A,#N/A,FALSE,"M.01"}</definedName>
    <definedName name="CAPASITOR">'[16]HARGA SATUAN'!$B$39</definedName>
    <definedName name="CAPDAT" localSheetId="0">[4]phuluc1!#REF!</definedName>
    <definedName name="CAPDAT">[4]phuluc1!#REF!</definedName>
    <definedName name="capi" localSheetId="0" hidden="1">{#N/A,#N/A,FALSE,"M.41"}</definedName>
    <definedName name="capi" hidden="1">{#N/A,#N/A,FALSE,"M.41"}</definedName>
    <definedName name="cash" localSheetId="0" hidden="1">{#N/A,#N/A,FALSE,"M.43"}</definedName>
    <definedName name="cash" hidden="1">{#N/A,#N/A,FALSE,"M.43"}</definedName>
    <definedName name="cashflowoperasi" localSheetId="0">#REF!</definedName>
    <definedName name="cashflowoperasi">#REF!</definedName>
    <definedName name="cat.d" localSheetId="0">#REF!</definedName>
    <definedName name="cat.d">#REF!</definedName>
    <definedName name="cat.ky" localSheetId="0">#REF!</definedName>
    <definedName name="cat.ky">#REF!</definedName>
    <definedName name="cat.m" localSheetId="0">#REF!</definedName>
    <definedName name="cat.m">#REF!</definedName>
    <definedName name="cat.tb" localSheetId="0">#REF!</definedName>
    <definedName name="cat.tb">#REF!</definedName>
    <definedName name="CBJM" localSheetId="0" hidden="1">{#N/A,#N/A,FALSE,"M.01";#N/A,#N/A,FALSE,"M.01"}</definedName>
    <definedName name="CBJM" hidden="1">{#N/A,#N/A,FALSE,"M.01";#N/A,#N/A,FALSE,"M.01"}</definedName>
    <definedName name="CBRB" localSheetId="0" hidden="1">{#N/A,#N/A,FALSE,"M.02"}</definedName>
    <definedName name="CBRB" hidden="1">{#N/A,#N/A,FALSE,"M.02"}</definedName>
    <definedName name="CC3a1" localSheetId="0">'[55]F-1'!#REF!</definedName>
    <definedName name="CC3a1">'[55]F-1'!#REF!</definedName>
    <definedName name="CCCC" localSheetId="0">#REF!</definedName>
    <definedName name="CCCC">#REF!</definedName>
    <definedName name="CCS" localSheetId="0">#REF!</definedName>
    <definedName name="CCS">#REF!</definedName>
    <definedName name="cd" localSheetId="0" hidden="1">{#N/A,#N/A,FALSE,"M.34"}</definedName>
    <definedName name="cd" hidden="1">{#N/A,#N/A,FALSE,"M.34"}</definedName>
    <definedName name="CDD" localSheetId="0">#REF!</definedName>
    <definedName name="CDD">#REF!</definedName>
    <definedName name="CDDD" localSheetId="0">'[4]THPDMoi  (2)'!#REF!</definedName>
    <definedName name="CDDD">'[4]THPDMoi  (2)'!#REF!</definedName>
    <definedName name="cddd1p">'[4]TONG HOP VL-NC'!$C$3</definedName>
    <definedName name="cddd3p">'[4]TONG HOP VL-NC'!$C$2</definedName>
    <definedName name="CETAK" localSheetId="0">#REF!</definedName>
    <definedName name="CETAK">#REF!</definedName>
    <definedName name="cf" localSheetId="0">#REF!</definedName>
    <definedName name="cf">#REF!</definedName>
    <definedName name="cgionc" localSheetId="0">'[4]lam-moi'!#REF!</definedName>
    <definedName name="cgionc">'[4]lam-moi'!#REF!</definedName>
    <definedName name="cgiovl" localSheetId="0">'[4]lam-moi'!#REF!</definedName>
    <definedName name="cgiovl">'[4]lam-moi'!#REF!</definedName>
    <definedName name="CH" localSheetId="0">#REF!</definedName>
    <definedName name="CH">#REF!</definedName>
    <definedName name="Charger75">'[16]HARGA SATUAN'!$B$16</definedName>
    <definedName name="chhtnc" localSheetId="0">'[4]lam-moi'!#REF!</definedName>
    <definedName name="chhtnc">'[4]lam-moi'!#REF!</definedName>
    <definedName name="chhtvl" localSheetId="0">'[4]lam-moi'!#REF!</definedName>
    <definedName name="chhtvl">'[4]lam-moi'!#REF!</definedName>
    <definedName name="chnc" localSheetId="0">'[4]lam-moi'!#REF!</definedName>
    <definedName name="chnc">'[4]lam-moi'!#REF!</definedName>
    <definedName name="chvl" localSheetId="0">'[4]lam-moi'!#REF!</definedName>
    <definedName name="chvl">'[4]lam-moi'!#REF!</definedName>
    <definedName name="citidd" localSheetId="0">'[4]dongia (2)'!#REF!</definedName>
    <definedName name="citidd">'[4]dongia (2)'!#REF!</definedName>
    <definedName name="City" localSheetId="0">#REF!</definedName>
    <definedName name="City">#REF!</definedName>
    <definedName name="CK" localSheetId="0">#REF!</definedName>
    <definedName name="CK">#REF!</definedName>
    <definedName name="ckhj" localSheetId="0" hidden="1">{#N/A,#N/A,FALSE,"M.42"}</definedName>
    <definedName name="ckhj" hidden="1">{#N/A,#N/A,FALSE,"M.42"}</definedName>
    <definedName name="ckhkk" localSheetId="0" hidden="1">{#N/A,#N/A,FALSE,"M.43"}</definedName>
    <definedName name="ckhkk" hidden="1">{#N/A,#N/A,FALSE,"M.43"}</definedName>
    <definedName name="cknc" localSheetId="0">'[4]lam-moi'!#REF!</definedName>
    <definedName name="cknc">'[4]lam-moi'!#REF!</definedName>
    <definedName name="CKP" localSheetId="0">#REF!</definedName>
    <definedName name="CKP">#REF!</definedName>
    <definedName name="CKTB" localSheetId="0" hidden="1">{#N/A,#N/A,FALSE,"M.31"}</definedName>
    <definedName name="CKTB" hidden="1">{#N/A,#N/A,FALSE,"M.31"}</definedName>
    <definedName name="ckvl" localSheetId="0">'[4]lam-moi'!#REF!</definedName>
    <definedName name="ckvl">'[4]lam-moi'!#REF!</definedName>
    <definedName name="clvc1">[4]chitiet!$D$3</definedName>
    <definedName name="CLVC3">0.1</definedName>
    <definedName name="CLVCTB" localSheetId="0">#REF!</definedName>
    <definedName name="CLVCTB">#REF!</definedName>
    <definedName name="CMI" localSheetId="0">#REF!</definedName>
    <definedName name="CMI">#REF!</definedName>
    <definedName name="CN3p">'[4]TONGKE3p '!$X$295</definedName>
    <definedName name="coba" localSheetId="0" hidden="1">{#N/A,#N/A,FALSE,"M.01"}</definedName>
    <definedName name="coba" hidden="1">{#N/A,#N/A,FALSE,"M.01"}</definedName>
    <definedName name="Code" localSheetId="0" hidden="1">#REF!</definedName>
    <definedName name="Code" hidden="1">#REF!</definedName>
    <definedName name="CÖÏ_LY_VAÄN_CHUYEÅN" localSheetId="0">#REF!</definedName>
    <definedName name="CÖÏ_LY_VAÄN_CHUYEÅN">#REF!</definedName>
    <definedName name="Cöï_ly_vaän_chuyeãn" localSheetId="0">#REF!</definedName>
    <definedName name="Cöï_ly_vaän_chuyeãn">#REF!</definedName>
    <definedName name="COMMISSIONING" localSheetId="0">#REF!</definedName>
    <definedName name="COMMISSIONING">#REF!</definedName>
    <definedName name="Company" localSheetId="0">#REF!</definedName>
    <definedName name="Company">#REF!</definedName>
    <definedName name="cong1x15" localSheetId="0">[4]giathanh1!#REF!</definedName>
    <definedName name="cong1x15">[4]giathanh1!#REF!</definedName>
    <definedName name="ConstDisbW10" localSheetId="0">#REF!</definedName>
    <definedName name="ConstDisbW10">#REF!</definedName>
    <definedName name="ConstDisbWX" localSheetId="0">#REF!</definedName>
    <definedName name="ConstDisbWX">#REF!</definedName>
    <definedName name="ConstFixWX" localSheetId="0">#REF!</definedName>
    <definedName name="ConstFixWX">#REF!</definedName>
    <definedName name="COP_UNIT" localSheetId="0" hidden="1">{#N/A,#N/A,FALSE,"M.42"}</definedName>
    <definedName name="COP_UNIT" hidden="1">{#N/A,#N/A,FALSE,"M.42"}</definedName>
    <definedName name="copy" localSheetId="0">#REF!</definedName>
    <definedName name="copy">#REF!</definedName>
    <definedName name="Cot_thep">[56]Du_lieu!$C$19</definedName>
    <definedName name="COUNTER" localSheetId="0">#REF!</definedName>
    <definedName name="COUNTER">#REF!</definedName>
    <definedName name="COUNTER_CHECK" localSheetId="0">#REF!</definedName>
    <definedName name="COUNTER_CHECK">#REF!</definedName>
    <definedName name="Country" localSheetId="0">#REF!</definedName>
    <definedName name="Country">#REF!</definedName>
    <definedName name="Cover" localSheetId="0">#REF!</definedName>
    <definedName name="Cover">#REF!</definedName>
    <definedName name="cover1" localSheetId="0">#REF!</definedName>
    <definedName name="cover1">#REF!</definedName>
    <definedName name="CPVC100" localSheetId="0">#REF!</definedName>
    <definedName name="CPVC100">#REF!</definedName>
    <definedName name="CPVC1KM">'[4]TH VL, NC, DDHT Thanhphuoc'!$J$19</definedName>
    <definedName name="CPVCDN">'[4]#REF'!$K$33</definedName>
    <definedName name="CRD" localSheetId="0">#REF!</definedName>
    <definedName name="CRD">#REF!</definedName>
    <definedName name="Crit" localSheetId="0">#REF!</definedName>
    <definedName name="Crit">#REF!</definedName>
    <definedName name="_xlnm.Criteria" localSheetId="0">#REF!</definedName>
    <definedName name="_xlnm.Criteria">#REF!</definedName>
    <definedName name="crp" localSheetId="0" hidden="1">{#N/A,#N/A,FALSE,"M.32"}</definedName>
    <definedName name="crp" hidden="1">{#N/A,#N/A,FALSE,"M.32"}</definedName>
    <definedName name="CRS" localSheetId="0">#REF!</definedName>
    <definedName name="CRS">#REF!</definedName>
    <definedName name="CS" localSheetId="0">#REF!</definedName>
    <definedName name="CS">#REF!</definedName>
    <definedName name="csd3p" localSheetId="0">#REF!</definedName>
    <definedName name="csd3p">#REF!</definedName>
    <definedName name="csddg1p" localSheetId="0">#REF!</definedName>
    <definedName name="csddg1p">#REF!</definedName>
    <definedName name="csddt1p" localSheetId="0">#REF!</definedName>
    <definedName name="csddt1p">#REF!</definedName>
    <definedName name="csDesignMode">1</definedName>
    <definedName name="CSDTFVHV" localSheetId="0" hidden="1">{#N/A,#N/A,FALSE,"M.42"}</definedName>
    <definedName name="CSDTFVHV" hidden="1">{#N/A,#N/A,FALSE,"M.42"}</definedName>
    <definedName name="csht3p" localSheetId="0">#REF!</definedName>
    <definedName name="csht3p">#REF!</definedName>
    <definedName name="ct150kv">'[7]HARGA SATUAN'!$B$27</definedName>
    <definedName name="cti3x15" localSheetId="0">[4]giathanh1!#REF!</definedName>
    <definedName name="cti3x15">[4]giathanh1!#REF!</definedName>
    <definedName name="culy1" localSheetId="0">[4]DONGIA!#REF!</definedName>
    <definedName name="culy1">[4]DONGIA!#REF!</definedName>
    <definedName name="culy2" localSheetId="0">[4]DONGIA!#REF!</definedName>
    <definedName name="culy2">[4]DONGIA!#REF!</definedName>
    <definedName name="culy3" localSheetId="0">[4]DONGIA!#REF!</definedName>
    <definedName name="culy3">[4]DONGIA!#REF!</definedName>
    <definedName name="culy4" localSheetId="0">[4]DONGIA!#REF!</definedName>
    <definedName name="culy4">[4]DONGIA!#REF!</definedName>
    <definedName name="culy5" localSheetId="0">[4]DONGIA!#REF!</definedName>
    <definedName name="culy5">[4]DONGIA!#REF!</definedName>
    <definedName name="cuoc" localSheetId="0">[4]DONGIA!#REF!</definedName>
    <definedName name="cuoc">[4]DONGIA!#REF!</definedName>
    <definedName name="CurrDisbIndonesia" localSheetId="0">[57]Inv_MALUKU!#REF!</definedName>
    <definedName name="CurrDisbIndonesia">[57]Inv_MALUKU!#REF!</definedName>
    <definedName name="CurrDisbW1" localSheetId="0">[57]Inv_NAD!#REF!</definedName>
    <definedName name="CurrDisbW1">[57]Inv_NAD!#REF!</definedName>
    <definedName name="CurrDisbW2" localSheetId="0">[57]Inv_SUMUT!#REF!</definedName>
    <definedName name="CurrDisbW2">[57]Inv_SUMUT!#REF!</definedName>
    <definedName name="CurrDisbW3" localSheetId="0">[57]Inv_RIAU!#REF!</definedName>
    <definedName name="CurrDisbW3">[57]Inv_RIAU!#REF!</definedName>
    <definedName name="CurrDisbW4" localSheetId="0">[57]Inv_SUMBAR!#REF!</definedName>
    <definedName name="CurrDisbW4">[57]Inv_SUMBAR!#REF!</definedName>
    <definedName name="CurrDisbW5" localSheetId="0">[57]Inv_S2JB!#REF!</definedName>
    <definedName name="CurrDisbW5">[57]Inv_S2JB!#REF!</definedName>
    <definedName name="CurrDisbW6" localSheetId="0">[57]Inv_LAMPUNG!#REF!</definedName>
    <definedName name="CurrDisbW6">[57]Inv_LAMPUNG!#REF!</definedName>
    <definedName name="CurrDisbW7" localSheetId="0">'[57]Inv_KITLUR SUMBAGUT'!#REF!</definedName>
    <definedName name="CurrDisbW7">'[57]Inv_KITLUR SUMBAGUT'!#REF!</definedName>
    <definedName name="CurrDisbW8" localSheetId="0">'[57]Inv_KITLUR SUMBAGSEL'!#REF!</definedName>
    <definedName name="CurrDisbW8">'[57]Inv_KITLUR SUMBAGSEL'!#REF!</definedName>
    <definedName name="CurrDisbW9" localSheetId="0">[57]Inv_KALBAR!#REF!</definedName>
    <definedName name="CurrDisbW9">[57]Inv_KALBAR!#REF!</definedName>
    <definedName name="CurrDisbWBatam" localSheetId="0">[57]Inv_SULUTENGGO!#REF!</definedName>
    <definedName name="CurrDisbWBatam">[57]Inv_SULUTENGGO!#REF!</definedName>
    <definedName name="CurrDisbWJawa" localSheetId="0">[57]Inv_SULSELRA!#REF!</definedName>
    <definedName name="CurrDisbWJawa">[57]Inv_SULSELRA!#REF!</definedName>
    <definedName name="CurrDisbWLJawa" localSheetId="0">[57]Inv_NTB!#REF!</definedName>
    <definedName name="CurrDisbWLJawa">[57]Inv_NTB!#REF!</definedName>
    <definedName name="CurrDisbWX" localSheetId="0">[57]Inv_KALTIM!#REF!</definedName>
    <definedName name="CurrDisbWX">[57]Inv_KALTIM!#REF!</definedName>
    <definedName name="CurrDisbWXI" localSheetId="0">[57]Inv_KALSELTENG!#REF!</definedName>
    <definedName name="CurrDisbWXI">[57]Inv_KALSELTENG!#REF!</definedName>
    <definedName name="Currency">'[58]Calc Inst'!$J$1</definedName>
    <definedName name="CurrFixIndonesia" localSheetId="0">[57]Inv_MALUKU!#REF!</definedName>
    <definedName name="CurrFixIndonesia">[57]Inv_MALUKU!#REF!</definedName>
    <definedName name="CurrFixW1" localSheetId="0">[57]Inv_NAD!#REF!</definedName>
    <definedName name="CurrFixW1">[57]Inv_NAD!#REF!</definedName>
    <definedName name="CurrFixW2" localSheetId="0">[57]Inv_SUMUT!#REF!</definedName>
    <definedName name="CurrFixW2">[57]Inv_SUMUT!#REF!</definedName>
    <definedName name="CurrFixW3" localSheetId="0">[57]Inv_RIAU!#REF!</definedName>
    <definedName name="CurrFixW3">[57]Inv_RIAU!#REF!</definedName>
    <definedName name="CurrFixW4" localSheetId="0">[57]Inv_SUMBAR!#REF!</definedName>
    <definedName name="CurrFixW4">[57]Inv_SUMBAR!#REF!</definedName>
    <definedName name="CurrFixW5" localSheetId="0">[57]Inv_S2JB!#REF!</definedName>
    <definedName name="CurrFixW5">[57]Inv_S2JB!#REF!</definedName>
    <definedName name="CurrFixW6" localSheetId="0">[57]Inv_LAMPUNG!#REF!</definedName>
    <definedName name="CurrFixW6">[57]Inv_LAMPUNG!#REF!</definedName>
    <definedName name="CurrFixW7" localSheetId="0">'[57]Inv_KITLUR SUMBAGUT'!#REF!</definedName>
    <definedName name="CurrFixW7">'[57]Inv_KITLUR SUMBAGUT'!#REF!</definedName>
    <definedName name="CurrFixW8" localSheetId="0">'[57]Inv_KITLUR SUMBAGSEL'!#REF!</definedName>
    <definedName name="CurrFixW8">'[57]Inv_KITLUR SUMBAGSEL'!#REF!</definedName>
    <definedName name="CurrFixW9" localSheetId="0">[57]Inv_KALBAR!#REF!</definedName>
    <definedName name="CurrFixW9">[57]Inv_KALBAR!#REF!</definedName>
    <definedName name="CurrFixWBatam" localSheetId="0">[57]Inv_SULUTENGGO!#REF!</definedName>
    <definedName name="CurrFixWBatam">[57]Inv_SULUTENGGO!#REF!</definedName>
    <definedName name="CurrFixWJawa" localSheetId="0">[57]Inv_SULSELRA!#REF!</definedName>
    <definedName name="CurrFixWJawa">[57]Inv_SULSELRA!#REF!</definedName>
    <definedName name="CurrFixWLJawa" localSheetId="0">[57]Inv_NTB!#REF!</definedName>
    <definedName name="CurrFixWLJawa">[57]Inv_NTB!#REF!</definedName>
    <definedName name="CurrFixWX" localSheetId="0">[57]Inv_KALTIM!#REF!</definedName>
    <definedName name="CurrFixWX">[57]Inv_KALTIM!#REF!</definedName>
    <definedName name="CurrFixWXI" localSheetId="0">[57]Inv_KALSELTENG!#REF!</definedName>
    <definedName name="CurrFixWXI">[57]Inv_KALSELTENG!#REF!</definedName>
    <definedName name="cus">[59]Resume!$E$54</definedName>
    <definedName name="cuti">[60]ACUAN!$I$3</definedName>
    <definedName name="cuti_besar">[60]ACUAN!$J$3</definedName>
    <definedName name="cv">[61]gvl!$N$17</definedName>
    <definedName name="CX" localSheetId="0">#REF!</definedName>
    <definedName name="CX">#REF!</definedName>
    <definedName name="cxhtnc" localSheetId="0">'[4]lam-moi'!#REF!</definedName>
    <definedName name="cxhtnc">'[4]lam-moi'!#REF!</definedName>
    <definedName name="cxhtvl" localSheetId="0">'[4]lam-moi'!#REF!</definedName>
    <definedName name="cxhtvl">'[4]lam-moi'!#REF!</definedName>
    <definedName name="cxnc" localSheetId="0">'[4]lam-moi'!#REF!</definedName>
    <definedName name="cxnc">'[4]lam-moi'!#REF!</definedName>
    <definedName name="cxvl" localSheetId="0">'[4]lam-moi'!#REF!</definedName>
    <definedName name="cxvl">'[4]lam-moi'!#REF!</definedName>
    <definedName name="cxxnc" localSheetId="0">'[4]lam-moi'!#REF!</definedName>
    <definedName name="cxxnc">'[4]lam-moi'!#REF!</definedName>
    <definedName name="cxxvl" localSheetId="0">'[4]lam-moi'!#REF!</definedName>
    <definedName name="cxxvl">'[4]lam-moi'!#REF!</definedName>
    <definedName name="D" localSheetId="0" hidden="1">{#N/A,#N/A,FALSE,"M.33"}</definedName>
    <definedName name="D" hidden="1">{#N/A,#N/A,FALSE,"M.33"}</definedName>
    <definedName name="D11_Prodjual" localSheetId="0">'[62]LK-1'!#REF!</definedName>
    <definedName name="D11_Prodjual">'[62]LK-1'!#REF!</definedName>
    <definedName name="D12_DptjualGab" localSheetId="0">#REF!</definedName>
    <definedName name="D12_DptjualGab">#REF!</definedName>
    <definedName name="D12A_DptjualKota" localSheetId="0">#REF!</definedName>
    <definedName name="D12A_DptjualKota">#REF!</definedName>
    <definedName name="D12B_DptjualLuar" localSheetId="0">#REF!</definedName>
    <definedName name="D12B_DptjualLuar">#REF!</definedName>
    <definedName name="D13A_Beli" localSheetId="0">#REF!</definedName>
    <definedName name="D13A_Beli">#REF!</definedName>
    <definedName name="D13B_Sewa" localSheetId="0">#REF!</definedName>
    <definedName name="D13B_Sewa">#REF!</definedName>
    <definedName name="D15_BPegawai" localSheetId="0">'[62]LK-1'!#REF!</definedName>
    <definedName name="D15_BPegawai">'[62]LK-1'!#REF!</definedName>
    <definedName name="D16_BOprLainAdmin" localSheetId="0">'[62]LK-1'!#REF!</definedName>
    <definedName name="D16_BOprLainAdmin">'[62]LK-1'!#REF!</definedName>
    <definedName name="D17_DptBiaLuarOpr" localSheetId="0">'[62]LK-1'!#REF!</definedName>
    <definedName name="D17_DptBiaLuarOpr">'[62]LK-1'!#REF!</definedName>
    <definedName name="D1x49" localSheetId="0">[4]chitimc!#REF!</definedName>
    <definedName name="D1x49">[4]chitimc!#REF!</definedName>
    <definedName name="D1x49x49" localSheetId="0">[4]chitimc!#REF!</definedName>
    <definedName name="D1x49x49">[4]chitimc!#REF!</definedName>
    <definedName name="d24nc" localSheetId="0">'[4]lam-moi'!#REF!</definedName>
    <definedName name="d24nc">'[4]lam-moi'!#REF!</definedName>
    <definedName name="d24vl" localSheetId="0">'[4]lam-moi'!#REF!</definedName>
    <definedName name="d24vl">'[4]lam-moi'!#REF!</definedName>
    <definedName name="da" localSheetId="0">#REF!</definedName>
    <definedName name="da">#REF!</definedName>
    <definedName name="DADAD" localSheetId="0" hidden="1">{#N/A,#N/A,FALSE,"M.42"}</definedName>
    <definedName name="DADAD" hidden="1">{#N/A,#N/A,FALSE,"M.42"}</definedName>
    <definedName name="DADSAF" localSheetId="0" hidden="1">[15]PkRp!#REF!</definedName>
    <definedName name="DADSAF" hidden="1">[15]PkRp!#REF!</definedName>
    <definedName name="Daf">'[63]DAF- PEG'!$B$2:$H$379</definedName>
    <definedName name="DAF13A" localSheetId="0">#REF!</definedName>
    <definedName name="DAF13A">#REF!</definedName>
    <definedName name="DAF13B" localSheetId="0">#REF!</definedName>
    <definedName name="DAF13B">#REF!</definedName>
    <definedName name="DAF14A" localSheetId="0">#REF!</definedName>
    <definedName name="DAF14A">#REF!</definedName>
    <definedName name="DAF14B" localSheetId="0">#REF!</definedName>
    <definedName name="DAF14B">#REF!</definedName>
    <definedName name="DAF14C" localSheetId="0">#REF!</definedName>
    <definedName name="DAF14C">#REF!</definedName>
    <definedName name="DAF14D" localSheetId="0">#REF!</definedName>
    <definedName name="DAF14D">#REF!</definedName>
    <definedName name="DAF14E" localSheetId="0">#REF!</definedName>
    <definedName name="DAF14E">#REF!</definedName>
    <definedName name="Daftar" localSheetId="0">#REF!</definedName>
    <definedName name="Daftar">#REF!</definedName>
    <definedName name="DaftarBP" localSheetId="0" hidden="1">{#N/A,#N/A,FALSE,"M.42"}</definedName>
    <definedName name="DaftarBP" hidden="1">{#N/A,#N/A,FALSE,"M.42"}</definedName>
    <definedName name="dana" localSheetId="0">#REF!</definedName>
    <definedName name="dana">#REF!</definedName>
    <definedName name="dasdas" localSheetId="0">#REF!</definedName>
    <definedName name="dasdas">#REF!</definedName>
    <definedName name="DASFSDF" localSheetId="0" hidden="1">[64]L_23!#REF!</definedName>
    <definedName name="DASFSDF" hidden="1">[64]L_23!#REF!</definedName>
    <definedName name="dat" localSheetId="0" hidden="1">{#N/A,#N/A,FALSE,"M.31"}</definedName>
    <definedName name="dat" hidden="1">{#N/A,#N/A,FALSE,"M.31"}</definedName>
    <definedName name="DATA">[65]Sheet1!$C$6:$J$78</definedName>
    <definedName name="DATA_00" localSheetId="0">#REF!</definedName>
    <definedName name="DATA_00">#REF!</definedName>
    <definedName name="DATA_10" localSheetId="0">#REF!</definedName>
    <definedName name="DATA_10">#REF!</definedName>
    <definedName name="DATA_20" localSheetId="0">#REF!</definedName>
    <definedName name="DATA_20">#REF!</definedName>
    <definedName name="DATA_30" localSheetId="0">#REF!</definedName>
    <definedName name="DATA_30">#REF!</definedName>
    <definedName name="DATA_40" localSheetId="0">#REF!</definedName>
    <definedName name="DATA_40">#REF!</definedName>
    <definedName name="DATA_50" localSheetId="0">#REF!</definedName>
    <definedName name="DATA_50">#REF!</definedName>
    <definedName name="DATA_60" localSheetId="0">#REF!</definedName>
    <definedName name="DATA_60">#REF!</definedName>
    <definedName name="DATA_70" localSheetId="0">#REF!</definedName>
    <definedName name="DATA_70">#REF!</definedName>
    <definedName name="DATA_80" localSheetId="0">#REF!</definedName>
    <definedName name="DATA_80">#REF!</definedName>
    <definedName name="DATA_90" localSheetId="0">#REF!</definedName>
    <definedName name="DATA_90">#REF!</definedName>
    <definedName name="data1" localSheetId="0" hidden="1">#REF!</definedName>
    <definedName name="data1" hidden="1">#REF!</definedName>
    <definedName name="data2" localSheetId="0" hidden="1">#REF!</definedName>
    <definedName name="data2" hidden="1">#REF!</definedName>
    <definedName name="data3" localSheetId="0" hidden="1">#REF!</definedName>
    <definedName name="data3" hidden="1">#REF!</definedName>
    <definedName name="_xlnm.Database" localSheetId="0">#REF!</definedName>
    <definedName name="_xlnm.Database">#REF!</definedName>
    <definedName name="Database_MI" localSheetId="0">#REF!</definedName>
    <definedName name="Database_MI">#REF!</definedName>
    <definedName name="datasg8" localSheetId="0">#REF!</definedName>
    <definedName name="datasg8">#REF!</definedName>
    <definedName name="DATES">'[66]Harga BBM Indonesia'!$A$8:$A$60</definedName>
    <definedName name="dave" localSheetId="0" hidden="1">{#N/A,#N/A,FALSE,"M.41"}</definedName>
    <definedName name="dave" hidden="1">{#N/A,#N/A,FALSE,"M.41"}</definedName>
    <definedName name="daya" localSheetId="0">#REF!</definedName>
    <definedName name="daya">#REF!</definedName>
    <definedName name="DBSend">[67]Asumsi!$S$10</definedName>
    <definedName name="dc" localSheetId="0" hidden="1">{#N/A,#N/A,FALSE,"M.01"}</definedName>
    <definedName name="dc" hidden="1">{#N/A,#N/A,FALSE,"M.01"}</definedName>
    <definedName name="DD" localSheetId="0" hidden="1">{#N/A,#N/A,FALSE,"M.34"}</definedName>
    <definedName name="DD" hidden="1">{#N/A,#N/A,FALSE,"M.34"}</definedName>
    <definedName name="dd1pnc">[4]chitiet!$G$404</definedName>
    <definedName name="dd1pvl">[4]chitiet!$G$383</definedName>
    <definedName name="dd1x2">[61]gvl!$N$9</definedName>
    <definedName name="dd3pctnc" localSheetId="0">'[4]lam-moi'!#REF!</definedName>
    <definedName name="dd3pctnc">'[4]lam-moi'!#REF!</definedName>
    <definedName name="dd3pctvl" localSheetId="0">'[4]lam-moi'!#REF!</definedName>
    <definedName name="dd3pctvl">'[4]lam-moi'!#REF!</definedName>
    <definedName name="dd3plmvl" localSheetId="0">'[4]lam-moi'!#REF!</definedName>
    <definedName name="dd3plmvl">'[4]lam-moi'!#REF!</definedName>
    <definedName name="dd3pnc" localSheetId="0">'[4]lam-moi'!#REF!</definedName>
    <definedName name="dd3pnc">'[4]lam-moi'!#REF!</definedName>
    <definedName name="dd3pvl" localSheetId="0">'[4]lam-moi'!#REF!</definedName>
    <definedName name="dd3pvl">'[4]lam-moi'!#REF!</definedName>
    <definedName name="ddd" localSheetId="0">#REF!</definedName>
    <definedName name="ddd">#REF!</definedName>
    <definedName name="DDDD" localSheetId="0" hidden="1">{#N/A,#N/A,FALSE,"M.41"}</definedName>
    <definedName name="DDDD" hidden="1">{#N/A,#N/A,FALSE,"M.41"}</definedName>
    <definedName name="DDDDD" localSheetId="0" hidden="1">{#N/A,#N/A,FALSE,"M.42"}</definedName>
    <definedName name="DDDDD" hidden="1">{#N/A,#N/A,FALSE,"M.42"}</definedName>
    <definedName name="DDDDDD" localSheetId="0" hidden="1">{#N/A,#N/A,FALSE,"M.02"}</definedName>
    <definedName name="DDDDDD" hidden="1">{#N/A,#N/A,FALSE,"M.02"}</definedName>
    <definedName name="ddddddddddd" localSheetId="0">#REF!</definedName>
    <definedName name="ddddddddddd">#REF!</definedName>
    <definedName name="ddesfhdghgf" localSheetId="0">#REF!</definedName>
    <definedName name="ddesfhdghgf">#REF!</definedName>
    <definedName name="DDF" localSheetId="0" hidden="1">{#N/A,#N/A,FALSE,"M.02"}</definedName>
    <definedName name="DDF" hidden="1">{#N/A,#N/A,FALSE,"M.02"}</definedName>
    <definedName name="ddhtnc" localSheetId="0">'[4]lam-moi'!#REF!</definedName>
    <definedName name="ddhtnc">'[4]lam-moi'!#REF!</definedName>
    <definedName name="ddhtvl" localSheetId="0">'[4]lam-moi'!#REF!</definedName>
    <definedName name="ddhtvl">'[4]lam-moi'!#REF!</definedName>
    <definedName name="ddt2nc" localSheetId="0">[4]gtrinh!#REF!</definedName>
    <definedName name="ddt2nc">[4]gtrinh!#REF!</definedName>
    <definedName name="ddt2vl" localSheetId="0">[4]gtrinh!#REF!</definedName>
    <definedName name="ddt2vl">[4]gtrinh!#REF!</definedName>
    <definedName name="ddtd3pnc" localSheetId="0">'[4]thao-go'!#REF!</definedName>
    <definedName name="ddtd3pnc">'[4]thao-go'!#REF!</definedName>
    <definedName name="ddtt1pnc" localSheetId="0">[4]gtrinh!#REF!</definedName>
    <definedName name="ddtt1pnc">[4]gtrinh!#REF!</definedName>
    <definedName name="ddtt1pvl" localSheetId="0">[4]gtrinh!#REF!</definedName>
    <definedName name="ddtt1pvl">[4]gtrinh!#REF!</definedName>
    <definedName name="ddtt3pnc" localSheetId="0">[4]gtrinh!#REF!</definedName>
    <definedName name="ddtt3pnc">[4]gtrinh!#REF!</definedName>
    <definedName name="ddtt3pvl" localSheetId="0">[4]gtrinh!#REF!</definedName>
    <definedName name="ddtt3pvl">[4]gtrinh!#REF!</definedName>
    <definedName name="de" localSheetId="0" hidden="1">{#N/A,#N/A,FALSE,"M.34"}</definedName>
    <definedName name="de" hidden="1">{#N/A,#N/A,FALSE,"M.34"}</definedName>
    <definedName name="DEB" localSheetId="0">#REF!</definedName>
    <definedName name="DEB">#REF!</definedName>
    <definedName name="dede" localSheetId="0" hidden="1">#REF!</definedName>
    <definedName name="dede" hidden="1">#REF!</definedName>
    <definedName name="dempul" localSheetId="0">#REF!</definedName>
    <definedName name="dempul">#REF!</definedName>
    <definedName name="DEN" localSheetId="0">[21]prod03!#REF!</definedName>
    <definedName name="DEN">[21]prod03!#REF!</definedName>
    <definedName name="DENPASAR">[68]DENPASAR!$A$5:$AG$436</definedName>
    <definedName name="deposito" localSheetId="0">#REF!</definedName>
    <definedName name="deposito">#REF!</definedName>
    <definedName name="des" localSheetId="0">#REF!</definedName>
    <definedName name="des">#REF!</definedName>
    <definedName name="DESA" localSheetId="0">#REF!</definedName>
    <definedName name="DESA">#REF!</definedName>
    <definedName name="desce" localSheetId="0">#REF!</definedName>
    <definedName name="desce">#REF!</definedName>
    <definedName name="DETDGTYT" localSheetId="0" hidden="1">{#N/A,#N/A,FALSE,"M.33"}</definedName>
    <definedName name="DETDGTYT" hidden="1">{#N/A,#N/A,FALSE,"M.33"}</definedName>
    <definedName name="DF" localSheetId="0" hidden="1">{#N/A,#N/A,FALSE,"M.42"}</definedName>
    <definedName name="DF" hidden="1">{#N/A,#N/A,FALSE,"M.42"}</definedName>
    <definedName name="dfd" localSheetId="0">#REF!</definedName>
    <definedName name="dfd">#REF!</definedName>
    <definedName name="DFG" localSheetId="0">#REF!</definedName>
    <definedName name="DFG">#REF!</definedName>
    <definedName name="DFGHJ" localSheetId="0" hidden="1">{#N/A,#N/A,FALSE,"M.01";#N/A,#N/A,FALSE,"M.01"}</definedName>
    <definedName name="DFGHJ" hidden="1">{#N/A,#N/A,FALSE,"M.01";#N/A,#N/A,FALSE,"M.01"}</definedName>
    <definedName name="dfjdkgf" localSheetId="0">#REF!</definedName>
    <definedName name="dfjdkgf">#REF!</definedName>
    <definedName name="DFR">'[16]HARGA SATUAN'!$B$17</definedName>
    <definedName name="dfssfdhn" localSheetId="0" hidden="1">{#N/A,#N/A,FALSE,"M.42"}</definedName>
    <definedName name="dfssfdhn" hidden="1">{#N/A,#N/A,FALSE,"M.42"}</definedName>
    <definedName name="DG">'[69]A1 pri123'!$G$703</definedName>
    <definedName name="dgfvgffv" localSheetId="0" hidden="1">{#N/A,#N/A,FALSE,"M.01";#N/A,#N/A,FALSE,"M.01"}</definedName>
    <definedName name="dgfvgffv" hidden="1">{#N/A,#N/A,FALSE,"M.01";#N/A,#N/A,FALSE,"M.01"}</definedName>
    <definedName name="DGM">[4]DONGIA!$A$453:$F$459</definedName>
    <definedName name="dgnc" localSheetId="0">#REF!</definedName>
    <definedName name="dgnc">#REF!</definedName>
    <definedName name="DGRYTHGHH" localSheetId="0" hidden="1">{#N/A,#N/A,FALSE,"M.34"}</definedName>
    <definedName name="DGRYTHGHH" hidden="1">{#N/A,#N/A,FALSE,"M.34"}</definedName>
    <definedName name="DGTH" localSheetId="0">[4]DONGIA!#REF!</definedName>
    <definedName name="DGTH">[4]DONGIA!#REF!</definedName>
    <definedName name="DGTH1">[4]DONGIA!$A$414:$G$452</definedName>
    <definedName name="dgth2">[4]DONGIA!$A$414:$G$439</definedName>
    <definedName name="DGTR">[4]DONGIA!$A$472:$I$521</definedName>
    <definedName name="DGTYTJYJ" localSheetId="0" hidden="1">{#N/A,#N/A,FALSE,"M.41"}</definedName>
    <definedName name="DGTYTJYJ" hidden="1">{#N/A,#N/A,FALSE,"M.41"}</definedName>
    <definedName name="dgvl" localSheetId="0">#REF!</definedName>
    <definedName name="dgvl">#REF!</definedName>
    <definedName name="DGVL1">[4]DONGIA!$A$5:$F$235</definedName>
    <definedName name="DGVT">'[4]DON GIA'!$C$5:$G$137</definedName>
    <definedName name="dgx" localSheetId="0" hidden="1">{#N/A,#N/A,FALSE,"M.41"}</definedName>
    <definedName name="dgx" hidden="1">{#N/A,#N/A,FALSE,"M.41"}</definedName>
    <definedName name="dhfgb">[70]Kamus!$A$2:$A$29</definedName>
    <definedName name="DIL" localSheetId="0">[21]prod03!#REF!</definedName>
    <definedName name="DIL">[21]prod03!#REF!</definedName>
    <definedName name="DIS" localSheetId="0">#REF!</definedName>
    <definedName name="DIS">#REF!</definedName>
    <definedName name="DISA" localSheetId="0">#REF!</definedName>
    <definedName name="DISA">#REF!</definedName>
    <definedName name="discount" localSheetId="0">#REF!</definedName>
    <definedName name="discount">#REF!</definedName>
    <definedName name="discount1" localSheetId="0">#REF!</definedName>
    <definedName name="discount1">#REF!</definedName>
    <definedName name="discount2" localSheetId="0">#REF!</definedName>
    <definedName name="discount2">#REF!</definedName>
    <definedName name="display_area_2" localSheetId="0" hidden="1">#REF!</definedName>
    <definedName name="display_area_2" hidden="1">#REF!</definedName>
    <definedName name="Dist.rele">'[16]HARGA SATUAN'!$B$15</definedName>
    <definedName name="DISTRIBUSI_JAWA_BARAT" localSheetId="0">#REF!</definedName>
    <definedName name="DISTRIBUSI_JAWA_BARAT">#REF!</definedName>
    <definedName name="DKWH" localSheetId="0">#REF!</definedName>
    <definedName name="DKWH">#REF!</definedName>
    <definedName name="DL15HT" localSheetId="0">'[4]TONGKE-HT'!#REF!</definedName>
    <definedName name="DL15HT">'[4]TONGKE-HT'!#REF!</definedName>
    <definedName name="DL16HT" localSheetId="0">'[4]TONGKE-HT'!#REF!</definedName>
    <definedName name="DL16HT">'[4]TONGKE-HT'!#REF!</definedName>
    <definedName name="DL19HT" localSheetId="0">'[4]TONGKE-HT'!#REF!</definedName>
    <definedName name="DL19HT">'[4]TONGKE-HT'!#REF!</definedName>
    <definedName name="DL20HT" localSheetId="0">'[4]TONGKE-HT'!#REF!</definedName>
    <definedName name="DL20HT">'[4]TONGKE-HT'!#REF!</definedName>
    <definedName name="dongia">[4]DG!$A$4:$I$567</definedName>
    <definedName name="dongia1">[4]DG!$A$4:$H$606</definedName>
    <definedName name="DPLG" localSheetId="0">#REF!</definedName>
    <definedName name="DPLG">#REF!</definedName>
    <definedName name="DpsK3bln5A1Est04" localSheetId="0">#REF!</definedName>
    <definedName name="DpsK3bln5A1Est04">#REF!</definedName>
    <definedName name="DpsK3bln5A1TRWI" localSheetId="0">#REF!</definedName>
    <definedName name="DpsK3bln5A1TRWI">#REF!</definedName>
    <definedName name="DpsK3bln5A1TRWII" localSheetId="0">#REF!</definedName>
    <definedName name="DpsK3bln5A1TRWII">#REF!</definedName>
    <definedName name="DpsK3bln5A1TRWIII" localSheetId="0">#REF!</definedName>
    <definedName name="DpsK3bln5A1TRWIII">#REF!</definedName>
    <definedName name="DpsK3bln5A1TRWIV" localSheetId="0">#REF!</definedName>
    <definedName name="DpsK3bln5A1TRWIV">#REF!</definedName>
    <definedName name="dpt" localSheetId="0" hidden="1">{#N/A,#N/A,FALSE,"M.42"}</definedName>
    <definedName name="dpt" hidden="1">{#N/A,#N/A,FALSE,"M.42"}</definedName>
    <definedName name="DR" localSheetId="0">#REF!</definedName>
    <definedName name="DR">#REF!</definedName>
    <definedName name="DrafterHari">'[35]AHS - Personel'!$G$17</definedName>
    <definedName name="DRAKD" localSheetId="0">#REF!</definedName>
    <definedName name="DRAKD">#REF!</definedName>
    <definedName name="DRP" localSheetId="0">#REF!</definedName>
    <definedName name="DRP">#REF!</definedName>
    <definedName name="DRPKWH" localSheetId="0">#REF!</definedName>
    <definedName name="DRPKWH">#REF!</definedName>
    <definedName name="ds1pnc" localSheetId="0">#REF!</definedName>
    <definedName name="ds1pnc">#REF!</definedName>
    <definedName name="ds1pvl" localSheetId="0">#REF!</definedName>
    <definedName name="ds1pvl">#REF!</definedName>
    <definedName name="ds3pnc" localSheetId="0">#REF!</definedName>
    <definedName name="ds3pnc">#REF!</definedName>
    <definedName name="ds3pvl" localSheetId="0">#REF!</definedName>
    <definedName name="ds3pvl">#REF!</definedName>
    <definedName name="dsa" localSheetId="0">#REF!</definedName>
    <definedName name="dsa">#REF!</definedName>
    <definedName name="dsad" localSheetId="0">#REF!</definedName>
    <definedName name="dsad">#REF!</definedName>
    <definedName name="dsct3pnc" localSheetId="0">'[4]#REF'!#REF!</definedName>
    <definedName name="dsct3pnc">'[4]#REF'!#REF!</definedName>
    <definedName name="dsct3pvl" localSheetId="0">'[4]#REF'!#REF!</definedName>
    <definedName name="dsct3pvl">'[4]#REF'!#REF!</definedName>
    <definedName name="dssas" localSheetId="0" hidden="1">[39]UshDeb00!#REF!</definedName>
    <definedName name="dssas" hidden="1">[39]UshDeb00!#REF!</definedName>
    <definedName name="DTPELG">[71]DATA!$A$8:$IV$113</definedName>
    <definedName name="dtrf" localSheetId="0">#REF!</definedName>
    <definedName name="dtrf">#REF!</definedName>
    <definedName name="DUIT" localSheetId="0" hidden="1">{#N/A,#N/A,FALSE,"M.34"}</definedName>
    <definedName name="DUIT" hidden="1">{#N/A,#N/A,FALSE,"M.34"}</definedName>
    <definedName name="duong1" localSheetId="0">[4]DONGIA!#REF!</definedName>
    <definedName name="duong1">[4]DONGIA!#REF!</definedName>
    <definedName name="duong2" localSheetId="0">[4]DONGIA!#REF!</definedName>
    <definedName name="duong2">[4]DONGIA!#REF!</definedName>
    <definedName name="duong3" localSheetId="0">[4]DONGIA!#REF!</definedName>
    <definedName name="duong3">[4]DONGIA!#REF!</definedName>
    <definedName name="duong4" localSheetId="0">[4]DONGIA!#REF!</definedName>
    <definedName name="duong4">[4]DONGIA!#REF!</definedName>
    <definedName name="duong5" localSheetId="0">[4]DONGIA!#REF!</definedName>
    <definedName name="duong5">[4]DONGIA!#REF!</definedName>
    <definedName name="DVA" localSheetId="0">#REF!</definedName>
    <definedName name="DVA">#REF!</definedName>
    <definedName name="dxwasf" localSheetId="0" hidden="1">{#N/A,#N/A,FALSE,"M.31"}</definedName>
    <definedName name="dxwasf" hidden="1">{#N/A,#N/A,FALSE,"M.31"}</definedName>
    <definedName name="dyah" localSheetId="0" hidden="1">{#N/A,#N/A,FALSE,"M.31"}</definedName>
    <definedName name="dyah" hidden="1">{#N/A,#N/A,FALSE,"M.31"}</definedName>
    <definedName name="E" localSheetId="0" hidden="1">{#N/A,#N/A,FALSE,"M.34"}</definedName>
    <definedName name="E" hidden="1">{#N/A,#N/A,FALSE,"M.34"}</definedName>
    <definedName name="ED" localSheetId="0" hidden="1">{#N/A,#N/A,FALSE,"M.33"}</definedName>
    <definedName name="ED" hidden="1">{#N/A,#N/A,FALSE,"M.33"}</definedName>
    <definedName name="edfe2wfe2" localSheetId="0">#REF!</definedName>
    <definedName name="edfe2wfe2">#REF!</definedName>
    <definedName name="EDP" localSheetId="0" hidden="1">{#N/A,#N/A,FALSE,"M.33"}</definedName>
    <definedName name="EDP" hidden="1">{#N/A,#N/A,FALSE,"M.33"}</definedName>
    <definedName name="ee" localSheetId="0" hidden="1">{#N/A,#N/A,FALSE,"M.42"}</definedName>
    <definedName name="ee" hidden="1">{#N/A,#N/A,FALSE,"M.42"}</definedName>
    <definedName name="eee" localSheetId="0" hidden="1">{#N/A,#N/A,FALSE,"M.31"}</definedName>
    <definedName name="eee" hidden="1">{#N/A,#N/A,FALSE,"M.31"}</definedName>
    <definedName name="eeee" localSheetId="0" hidden="1">{#N/A,#N/A,FALSE,"M.01"}</definedName>
    <definedName name="eeee" hidden="1">{#N/A,#N/A,FALSE,"M.01"}</definedName>
    <definedName name="egfegrg" localSheetId="0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egfegrg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Egiapbn1" localSheetId="0">#REF!</definedName>
    <definedName name="Egiapbn1">#REF!</definedName>
    <definedName name="Egiapbn2" localSheetId="0">#REF!</definedName>
    <definedName name="Egiapbn2">#REF!</definedName>
    <definedName name="Egiapbn4" localSheetId="0">#REF!</definedName>
    <definedName name="Egiapbn4">#REF!</definedName>
    <definedName name="Egiapln1" localSheetId="0">#REF!</definedName>
    <definedName name="Egiapln1">#REF!</definedName>
    <definedName name="Egiapln2" localSheetId="0">#REF!</definedName>
    <definedName name="Egiapln2">#REF!</definedName>
    <definedName name="Egiapln3" localSheetId="0">#REF!</definedName>
    <definedName name="Egiapln3">#REF!</definedName>
    <definedName name="Egiapln4" localSheetId="0">#REF!</definedName>
    <definedName name="Egiapln4">#REF!</definedName>
    <definedName name="Egisla2" localSheetId="0">#REF!</definedName>
    <definedName name="Egisla2">#REF!</definedName>
    <definedName name="Egisla4" localSheetId="0">#REF!</definedName>
    <definedName name="Egisla4">#REF!</definedName>
    <definedName name="ehs" localSheetId="0" hidden="1">{#N/A,#N/A,FALSE,"M.41"}</definedName>
    <definedName name="ehs" hidden="1">{#N/A,#N/A,FALSE,"M.41"}</definedName>
    <definedName name="ek" localSheetId="0">#REF!</definedName>
    <definedName name="ek">#REF!</definedName>
    <definedName name="Ekuitas6A" localSheetId="0">#REF!</definedName>
    <definedName name="Ekuitas6A">#REF!</definedName>
    <definedName name="em" localSheetId="0">#REF!</definedName>
    <definedName name="em">#REF!</definedName>
    <definedName name="Email" localSheetId="0">#REF!</definedName>
    <definedName name="Email">#REF!</definedName>
    <definedName name="END" localSheetId="0">[21]prod03!#REF!</definedName>
    <definedName name="END">[21]prod03!#REF!</definedName>
    <definedName name="engsel" localSheetId="0">#REF!</definedName>
    <definedName name="engsel">#REF!</definedName>
    <definedName name="Epltaapln4" localSheetId="0">#REF!</definedName>
    <definedName name="Epltaapln4">#REF!</definedName>
    <definedName name="Epltdapln1" localSheetId="0">#REF!</definedName>
    <definedName name="Epltdapln1">#REF!</definedName>
    <definedName name="Epltdapln4" localSheetId="0">#REF!</definedName>
    <definedName name="Epltdapln4">#REF!</definedName>
    <definedName name="Epltdsla1" localSheetId="0">#REF!</definedName>
    <definedName name="Epltdsla1">#REF!</definedName>
    <definedName name="Epltdsla4" localSheetId="0">#REF!</definedName>
    <definedName name="Epltdsla4">#REF!</definedName>
    <definedName name="Epltmapln1" localSheetId="0">#REF!</definedName>
    <definedName name="Epltmapln1">#REF!</definedName>
    <definedName name="Epltmsla1" localSheetId="0">#REF!</definedName>
    <definedName name="Epltmsla1">#REF!</definedName>
    <definedName name="Epltuapln1" localSheetId="0">#REF!</definedName>
    <definedName name="Epltuapln1">#REF!</definedName>
    <definedName name="Epltuapln2" localSheetId="0">#REF!</definedName>
    <definedName name="Epltuapln2">#REF!</definedName>
    <definedName name="Epltuapln3" localSheetId="0">#REF!</definedName>
    <definedName name="Epltuapln3">#REF!</definedName>
    <definedName name="epltuapln4" localSheetId="0">#REF!</definedName>
    <definedName name="epltuapln4">#REF!</definedName>
    <definedName name="Epltuapln5" localSheetId="0">#REF!</definedName>
    <definedName name="Epltuapln5">#REF!</definedName>
    <definedName name="Epltusla5" localSheetId="0">#REF!</definedName>
    <definedName name="Epltusla5">#REF!</definedName>
    <definedName name="eppjb2tb">[1]Uraian!$U$689</definedName>
    <definedName name="ER">[41]ASUMSI!$C$8</definedName>
    <definedName name="ERA">#N/A</definedName>
    <definedName name="ERE">[72]ASUMSI!$C$8</definedName>
    <definedName name="erfrf" localSheetId="0">#REF!</definedName>
    <definedName name="erfrf">#REF!</definedName>
    <definedName name="ert" localSheetId="0" hidden="1">{#N/A,#N/A,FALSE,"M.01"}</definedName>
    <definedName name="ert" hidden="1">{#N/A,#N/A,FALSE,"M.01"}</definedName>
    <definedName name="ERWER" localSheetId="0" hidden="1">{#N/A,#N/A,FALSE,"M.42"}</definedName>
    <definedName name="ERWER" hidden="1">{#N/A,#N/A,FALSE,"M.42"}</definedName>
    <definedName name="es" localSheetId="0">#REF!</definedName>
    <definedName name="es">#REF!</definedName>
    <definedName name="ESC_Period">'[73]Input GENERATION-DATA'!$B$8:$B$469</definedName>
    <definedName name="ESTIMASIKINERJA2004" localSheetId="0" hidden="1">{#N/A,#N/A,FALSE,"M.31"}</definedName>
    <definedName name="ESTIMASIKINERJA2004" hidden="1">{#N/A,#N/A,FALSE,"M.31"}</definedName>
    <definedName name="Esuttapbn1" localSheetId="0">#REF!</definedName>
    <definedName name="Esuttapbn1">#REF!</definedName>
    <definedName name="Esuttapbn2" localSheetId="0">#REF!</definedName>
    <definedName name="Esuttapbn2">#REF!</definedName>
    <definedName name="Esuttapbn4" localSheetId="0">#REF!</definedName>
    <definedName name="Esuttapbn4">#REF!</definedName>
    <definedName name="Esuttapln1" localSheetId="0">#REF!</definedName>
    <definedName name="Esuttapln1">#REF!</definedName>
    <definedName name="Esuttapln2" localSheetId="0">#REF!</definedName>
    <definedName name="Esuttapln2">#REF!</definedName>
    <definedName name="Esuttapln3" localSheetId="0">#REF!</definedName>
    <definedName name="Esuttapln3">#REF!</definedName>
    <definedName name="Esuttapln4" localSheetId="0">#REF!</definedName>
    <definedName name="Esuttapln4">#REF!</definedName>
    <definedName name="Esuttsla2" localSheetId="0">#REF!</definedName>
    <definedName name="Esuttsla2">#REF!</definedName>
    <definedName name="Esuttsla4" localSheetId="0">#REF!</definedName>
    <definedName name="Esuttsla4">#REF!</definedName>
    <definedName name="eternit" localSheetId="0">#REF!</definedName>
    <definedName name="eternit">#REF!</definedName>
    <definedName name="EUR">[41]L20Keu!$O$7</definedName>
    <definedName name="EW" localSheetId="0">'[74]LABA RUGI'!#REF!</definedName>
    <definedName name="EW">'[74]LABA RUGI'!#REF!</definedName>
    <definedName name="EWE" localSheetId="0" hidden="1">[36]CiMaPlbStd!#REF!</definedName>
    <definedName name="EWE" hidden="1">[36]CiMaPlbStd!#REF!</definedName>
    <definedName name="ewrt" localSheetId="0" hidden="1">{#N/A,#N/A,FALSE,"M.33"}</definedName>
    <definedName name="ewrt" hidden="1">{#N/A,#N/A,FALSE,"M.33"}</definedName>
    <definedName name="ewrwef" localSheetId="0" hidden="1">{#N/A,#N/A,FALSE,"M.43"}</definedName>
    <definedName name="ewrwef" hidden="1">{#N/A,#N/A,FALSE,"M.43"}</definedName>
    <definedName name="EXCEL" localSheetId="0" hidden="1">{#N/A,#N/A,FALSE,"M.42"}</definedName>
    <definedName name="EXCEL" hidden="1">{#N/A,#N/A,FALSE,"M.42"}</definedName>
    <definedName name="Excel_BuiltIn__FilterDatabase_7">'[75]PESUT TW2'!$C$74:$D$111</definedName>
    <definedName name="Excel_BuiltIn_Print_Area_1_1" localSheetId="0">#REF!</definedName>
    <definedName name="Excel_BuiltIn_Print_Area_1_1">#REF!</definedName>
    <definedName name="Excel_BuiltIn_Print_Titles_2" localSheetId="0">#REF!</definedName>
    <definedName name="Excel_BuiltIn_Print_Titles_2">#REF!</definedName>
    <definedName name="EXPEC_" localSheetId="0">[76]D!#REF!</definedName>
    <definedName name="EXPEC_">[76]D!#REF!</definedName>
    <definedName name="EXPECTED" localSheetId="0">[76]C!#REF!</definedName>
    <definedName name="EXPECTED">[76]C!#REF!</definedName>
    <definedName name="expend_balanced_fund" localSheetId="0">#REF!</definedName>
    <definedName name="expend_balanced_fund">#REF!</definedName>
    <definedName name="expend_central_govt" localSheetId="0">#REF!</definedName>
    <definedName name="expend_central_govt">#REF!</definedName>
    <definedName name="expend_current" localSheetId="0">#REF!</definedName>
    <definedName name="expend_current">#REF!</definedName>
    <definedName name="expend_devt" localSheetId="0">#REF!</definedName>
    <definedName name="expend_devt">#REF!</definedName>
    <definedName name="expenditures" localSheetId="0">#REF!</definedName>
    <definedName name="expenditures">#REF!</definedName>
    <definedName name="EXRTG" localSheetId="0" hidden="1">{#N/A,#N/A,FALSE,"M.01"}</definedName>
    <definedName name="EXRTG" hidden="1">{#N/A,#N/A,FALSE,"M.01"}</definedName>
    <definedName name="_xlnm.Extract" localSheetId="0">#REF!</definedName>
    <definedName name="_xlnm.Extract">#REF!</definedName>
    <definedName name="Extract1" localSheetId="0">#REF!</definedName>
    <definedName name="Extract1">#REF!</definedName>
    <definedName name="F" localSheetId="0" hidden="1">{#N/A,#N/A,FALSE,"M.41"}</definedName>
    <definedName name="F" hidden="1">{#N/A,#N/A,FALSE,"M.41"}</definedName>
    <definedName name="f92F56" localSheetId="0">[4]dtxl!#REF!</definedName>
    <definedName name="f92F56">[4]dtxl!#REF!</definedName>
    <definedName name="FAD" localSheetId="0">#REF!</definedName>
    <definedName name="FAD">#REF!</definedName>
    <definedName name="FADF" localSheetId="0">#REF!</definedName>
    <definedName name="FADF">#REF!</definedName>
    <definedName name="FADS" localSheetId="0">#REF!</definedName>
    <definedName name="FADS">#REF!</definedName>
    <definedName name="faktor">[77]Sheet1!$C$2:$C$1441</definedName>
    <definedName name="Faktor_Beban" localSheetId="0">#REF!</definedName>
    <definedName name="Faktor_Beban">#REF!</definedName>
    <definedName name="FASDF" localSheetId="0">#REF!</definedName>
    <definedName name="FASDF">#REF!</definedName>
    <definedName name="Fax" localSheetId="0">#REF!</definedName>
    <definedName name="Fax">#REF!</definedName>
    <definedName name="FCode" localSheetId="0" hidden="1">#REF!</definedName>
    <definedName name="FCode" hidden="1">#REF!</definedName>
    <definedName name="fd" localSheetId="0">#REF!</definedName>
    <definedName name="fd">#REF!</definedName>
    <definedName name="fddfs" localSheetId="0">#REF!</definedName>
    <definedName name="fddfs">#REF!</definedName>
    <definedName name="fdf" localSheetId="0" hidden="1">{#N/A,#N/A,FALSE,"M.42"}</definedName>
    <definedName name="fdf" hidden="1">{#N/A,#N/A,FALSE,"M.42"}</definedName>
    <definedName name="fdgfgfnfgfgn" localSheetId="0">#REF!</definedName>
    <definedName name="fdgfgfnfgfgn">#REF!</definedName>
    <definedName name="FDH" localSheetId="0" hidden="1">{#N/A,#N/A,FALSE,"M.02"}</definedName>
    <definedName name="FDH" hidden="1">{#N/A,#N/A,FALSE,"M.02"}</definedName>
    <definedName name="FF" localSheetId="0" hidden="1">{#N/A,#N/A,FALSE,"M.42"}</definedName>
    <definedName name="FF" hidden="1">{#N/A,#N/A,FALSE,"M.42"}</definedName>
    <definedName name="ffffff" localSheetId="0" hidden="1">{#N/A,#N/A,FALSE,"M.31"}</definedName>
    <definedName name="ffffff" hidden="1">{#N/A,#N/A,FALSE,"M.31"}</definedName>
    <definedName name="fgbgf" localSheetId="0">#REF!</definedName>
    <definedName name="fgbgf">#REF!</definedName>
    <definedName name="fgfvxghvdvh" localSheetId="0" hidden="1">{#N/A,#N/A,FALSE,"M.01"}</definedName>
    <definedName name="fgfvxghvdvh" hidden="1">{#N/A,#N/A,FALSE,"M.01"}</definedName>
    <definedName name="fghd" localSheetId="0" hidden="1">{#N/A,#N/A,FALSE,"M.43"}</definedName>
    <definedName name="fghd" hidden="1">{#N/A,#N/A,FALSE,"M.43"}</definedName>
    <definedName name="FIL.MSK" localSheetId="0">#REF!</definedName>
    <definedName name="FIL.MSK">#REF!</definedName>
    <definedName name="FILKJH" localSheetId="0" hidden="1">{#N/A,#N/A,FALSE,"M.41"}</definedName>
    <definedName name="FILKJH" hidden="1">{#N/A,#N/A,FALSE,"M.41"}</definedName>
    <definedName name="FILL" localSheetId="0" hidden="1">[78]UshDeb00!#REF!</definedName>
    <definedName name="FILL" hidden="1">[78]UshDeb00!#REF!</definedName>
    <definedName name="financing" localSheetId="0">#REF!</definedName>
    <definedName name="financing">#REF!</definedName>
    <definedName name="FIREALARM">'[16]HARGA SATUAN'!$B$33</definedName>
    <definedName name="FIS_B" localSheetId="0">#REF!</definedName>
    <definedName name="FIS_B">#REF!</definedName>
    <definedName name="flor.d" localSheetId="0">#REF!</definedName>
    <definedName name="flor.d">#REF!</definedName>
    <definedName name="FOF" localSheetId="0" hidden="1">{#N/A,#N/A,FALSE,"M.42"}</definedName>
    <definedName name="FOF" hidden="1">{#N/A,#N/A,FALSE,"M.42"}</definedName>
    <definedName name="FOREX">'[79]Resource Plan (2)'!$H$120</definedName>
    <definedName name="FORM" localSheetId="0" hidden="1">#REF!</definedName>
    <definedName name="FORM" hidden="1">#REF!</definedName>
    <definedName name="FormA12r" localSheetId="0">#REF!</definedName>
    <definedName name="FormA12r">#REF!</definedName>
    <definedName name="fr" localSheetId="0" hidden="1">{#N/A,#N/A,FALSE,"M.31"}</definedName>
    <definedName name="fr" hidden="1">{#N/A,#N/A,FALSE,"M.31"}</definedName>
    <definedName name="FRHTUYTYJYJJY" localSheetId="0" hidden="1">{#N/A,#N/A,FALSE,"M.43"}</definedName>
    <definedName name="FRHTUYTYJYJJY" hidden="1">{#N/A,#N/A,FALSE,"M.43"}</definedName>
    <definedName name="frk" localSheetId="0" hidden="1">{#N/A,#N/A,FALSE,"M.43"}</definedName>
    <definedName name="frk" hidden="1">{#N/A,#N/A,FALSE,"M.43"}</definedName>
    <definedName name="FSDF" localSheetId="0">#REF!</definedName>
    <definedName name="FSDF">#REF!</definedName>
    <definedName name="Fxz" localSheetId="0" hidden="1">{#N/A,#N/A,FALSE,"M.43"}</definedName>
    <definedName name="Fxz" hidden="1">{#N/A,#N/A,FALSE,"M.43"}</definedName>
    <definedName name="fytytye" localSheetId="0" hidden="1">{#N/A,#N/A,FALSE,"M.34"}</definedName>
    <definedName name="fytytye" hidden="1">{#N/A,#N/A,FALSE,"M.34"}</definedName>
    <definedName name="g" localSheetId="0" hidden="1">{#N/A,#N/A,FALSE,"M.42"}</definedName>
    <definedName name="g" hidden="1">{#N/A,#N/A,FALSE,"M.42"}</definedName>
    <definedName name="G.73" localSheetId="0">#REF!</definedName>
    <definedName name="G.73">#REF!</definedName>
    <definedName name="GABUNG" localSheetId="0">#REF!</definedName>
    <definedName name="GABUNG">#REF!</definedName>
    <definedName name="gadas" localSheetId="0">#REF!</definedName>
    <definedName name="gadas">#REF!</definedName>
    <definedName name="gadasasli" localSheetId="0">[80]Data!#REF!</definedName>
    <definedName name="gadasasli">[80]Data!#REF!</definedName>
    <definedName name="gaji" localSheetId="0">#REF!</definedName>
    <definedName name="gaji">#REF!</definedName>
    <definedName name="GAJI_DAN_TUNJANGAN_TUNJANGAN" localSheetId="0">#REF!</definedName>
    <definedName name="GAJI_DAN_TUNJANGAN_TUNJANGAN">#REF!</definedName>
    <definedName name="gal.tnah.biasa">[81]analis!$K$24</definedName>
    <definedName name="GARDU1">[82]MENU!$A$11:$A$110</definedName>
    <definedName name="GBP">[41]L20Keu!$O$8</definedName>
    <definedName name="gdfg" localSheetId="0">#REF!</definedName>
    <definedName name="gdfg">#REF!</definedName>
    <definedName name="gedung" localSheetId="0">#REF!</definedName>
    <definedName name="gedung">#REF!</definedName>
    <definedName name="gegwg" localSheetId="0">#REF!</definedName>
    <definedName name="gegwg">#REF!</definedName>
    <definedName name="Genset" localSheetId="0">#REF!</definedName>
    <definedName name="Genset">#REF!</definedName>
    <definedName name="genteng" localSheetId="0">#REF!</definedName>
    <definedName name="genteng">#REF!</definedName>
    <definedName name="GER" localSheetId="0">#REF!</definedName>
    <definedName name="GER">#REF!</definedName>
    <definedName name="gfdfg" localSheetId="0">#REF!</definedName>
    <definedName name="gfdfg">#REF!</definedName>
    <definedName name="gfgvzhvsdhfh" localSheetId="0" hidden="1">{#N/A,#N/A,FALSE,"M.34"}</definedName>
    <definedName name="gfgvzhvsdhfh" hidden="1">{#N/A,#N/A,FALSE,"M.34"}</definedName>
    <definedName name="GFHHG" localSheetId="0">#REF!</definedName>
    <definedName name="GFHHG">#REF!</definedName>
    <definedName name="GGG" localSheetId="0" hidden="1">{#N/A,#N/A,FALSE,"M.41"}</definedName>
    <definedName name="GGG" hidden="1">{#N/A,#N/A,FALSE,"M.41"}</definedName>
    <definedName name="GGGG" localSheetId="0" hidden="1">{#N/A,#N/A,FALSE,"M.41"}</definedName>
    <definedName name="GGGG" hidden="1">{#N/A,#N/A,FALSE,"M.41"}</definedName>
    <definedName name="GGGGG" localSheetId="0">#REF!</definedName>
    <definedName name="GGGGG">#REF!</definedName>
    <definedName name="ggkadhlDBJSBJKLASHC" localSheetId="0">#REF!</definedName>
    <definedName name="ggkadhlDBJSBJKLASHC">#REF!</definedName>
    <definedName name="ghfdgksadlghks" localSheetId="0">#REF!</definedName>
    <definedName name="ghfdgksadlghks">#REF!</definedName>
    <definedName name="ghgf" localSheetId="0" hidden="1">{#N/A,#N/A,FALSE,"M.32"}</definedName>
    <definedName name="ghgf" hidden="1">{#N/A,#N/A,FALSE,"M.32"}</definedName>
    <definedName name="GHJK" localSheetId="0" hidden="1">{#N/A,#N/A,FALSE,"M.01"}</definedName>
    <definedName name="GHJK" hidden="1">{#N/A,#N/A,FALSE,"M.01"}</definedName>
    <definedName name="gi1bc" localSheetId="0">[65]Sheet1!#REF!</definedName>
    <definedName name="gi1bc">[65]Sheet1!#REF!</definedName>
    <definedName name="gi1tb" localSheetId="0">[65]Sheet1!#REF!</definedName>
    <definedName name="gi1tb">[65]Sheet1!#REF!</definedName>
    <definedName name="gi1tb60" localSheetId="0">[65]Sheet1!#REF!</definedName>
    <definedName name="gi1tb60">[65]Sheet1!#REF!</definedName>
    <definedName name="gi2lb" localSheetId="0">[65]Sheet1!#REF!</definedName>
    <definedName name="gi2lb">[65]Sheet1!#REF!</definedName>
    <definedName name="giapbn1" localSheetId="0">#REF!</definedName>
    <definedName name="giapbn1">#REF!</definedName>
    <definedName name="giapbn2" localSheetId="0">#REF!</definedName>
    <definedName name="giapbn2">#REF!</definedName>
    <definedName name="giapbn4" localSheetId="0">#REF!</definedName>
    <definedName name="giapbn4">#REF!</definedName>
    <definedName name="giapln1" localSheetId="0">#REF!</definedName>
    <definedName name="giapln1">#REF!</definedName>
    <definedName name="giapln2" localSheetId="0">#REF!</definedName>
    <definedName name="giapln2">#REF!</definedName>
    <definedName name="giapln3" localSheetId="0">#REF!</definedName>
    <definedName name="giapln3">#REF!</definedName>
    <definedName name="giapln4" localSheetId="0">#REF!</definedName>
    <definedName name="giapln4">#REF!</definedName>
    <definedName name="gisla2" localSheetId="0">#REF!</definedName>
    <definedName name="gisla2">#REF!</definedName>
    <definedName name="gisla4" localSheetId="0">#REF!</definedName>
    <definedName name="gisla4">#REF!</definedName>
    <definedName name="gkcghn" localSheetId="0" hidden="1">{#N/A,#N/A,FALSE,"M.31"}</definedName>
    <definedName name="gkcghn" hidden="1">{#N/A,#N/A,FALSE,"M.31"}</definedName>
    <definedName name="gl3p" localSheetId="0">#REF!</definedName>
    <definedName name="gl3p">#REF!</definedName>
    <definedName name="GNKSS.">"Chart 1"</definedName>
    <definedName name="GPD" localSheetId="0">#REF!</definedName>
    <definedName name="GPD">#REF!</definedName>
    <definedName name="GPRP" localSheetId="0">#REF!</definedName>
    <definedName name="GPRP">#REF!</definedName>
    <definedName name="gps">'[16]HARGA SATUAN'!$B$18</definedName>
    <definedName name="grafikblk">[22]blk!$BE$4:$CF$122</definedName>
    <definedName name="grafikkrn">[22]Krn!$BE$4:$CE$122</definedName>
    <definedName name="grafikksg">[22]Ksg!$BE$4:$CE$125</definedName>
    <definedName name="grafikskm">[22]skm!$BE$5:$CF$122</definedName>
    <definedName name="grafikuppry">[54]UPpry!$BE$4:$CF$123</definedName>
    <definedName name="grend" localSheetId="0">#REF!</definedName>
    <definedName name="grend">#REF!</definedName>
    <definedName name="GRS" localSheetId="0">#REF!</definedName>
    <definedName name="GRS">#REF!</definedName>
    <definedName name="h" localSheetId="0">#REF!</definedName>
    <definedName name="h">#REF!</definedName>
    <definedName name="HAL" localSheetId="0">#REF!</definedName>
    <definedName name="HAL">#REF!</definedName>
    <definedName name="hal1_1" localSheetId="0">#REF!</definedName>
    <definedName name="hal1_1">#REF!</definedName>
    <definedName name="hal1_2" localSheetId="0">#REF!</definedName>
    <definedName name="hal1_2">#REF!</definedName>
    <definedName name="hal2_1" localSheetId="0">#REF!</definedName>
    <definedName name="hal2_1">#REF!</definedName>
    <definedName name="hal2_2" localSheetId="0">#REF!</definedName>
    <definedName name="hal2_2">#REF!</definedName>
    <definedName name="hal2kehal3" localSheetId="0">#REF!</definedName>
    <definedName name="hal2kehal3">#REF!</definedName>
    <definedName name="HANDAPNA" localSheetId="0">#REF!</definedName>
    <definedName name="HANDAPNA">#REF!</definedName>
    <definedName name="Har">[83]Cover!$D$29</definedName>
    <definedName name="harahap" localSheetId="0">[84]RAB!#REF!</definedName>
    <definedName name="harahap">[84]RAB!#REF!</definedName>
    <definedName name="hardist" localSheetId="0">[84]RAB!#REF!</definedName>
    <definedName name="hardist">[84]RAB!#REF!</definedName>
    <definedName name="harga" localSheetId="0">#REF!</definedName>
    <definedName name="harga">#REF!</definedName>
    <definedName name="hari" localSheetId="0">#REF!</definedName>
    <definedName name="hari">#REF!</definedName>
    <definedName name="harimau" localSheetId="0">#REF!</definedName>
    <definedName name="harimau">#REF!</definedName>
    <definedName name="HarJaborTRWI" localSheetId="0">#REF!</definedName>
    <definedName name="HarJaborTRWI">#REF!</definedName>
    <definedName name="HarJaborTRWII" localSheetId="0">#REF!</definedName>
    <definedName name="HarJaborTRWII">#REF!</definedName>
    <definedName name="HarJaborTRWIII" localSheetId="0">#REF!</definedName>
    <definedName name="HarJaborTRWIII">#REF!</definedName>
    <definedName name="HarJaborTRWIV" localSheetId="0">#REF!</definedName>
    <definedName name="HarJaborTRWIV">#REF!</definedName>
    <definedName name="HarMatTRWI" localSheetId="0">#REF!</definedName>
    <definedName name="HarMatTRWI">#REF!</definedName>
    <definedName name="HarMatTRWII" localSheetId="0">#REF!</definedName>
    <definedName name="HarMatTRWII">#REF!</definedName>
    <definedName name="HarMatTRWIII" localSheetId="0">#REF!</definedName>
    <definedName name="HarMatTRWIII">#REF!</definedName>
    <definedName name="HarMatTRWIV" localSheetId="0">#REF!</definedName>
    <definedName name="HarMatTRWIV">#REF!</definedName>
    <definedName name="HASIL" localSheetId="0">#REF!</definedName>
    <definedName name="HASIL">#REF!</definedName>
    <definedName name="HB_LVTC_2X25_1X25" localSheetId="0">'[85]AHS-JTR'!#REF!</definedName>
    <definedName name="HB_LVTC_2X25_1X25">'[85]AHS-JTR'!#REF!</definedName>
    <definedName name="HB_SPARE_GREASE" localSheetId="0">'[85]AHS-JTR'!#REF!</definedName>
    <definedName name="HB_SPARE_GREASE">'[85]AHS-JTR'!#REF!</definedName>
    <definedName name="HB_TR_E_DALAM_TIANG" localSheetId="0">'[85]AHS-JTR'!#REF!</definedName>
    <definedName name="HB_TR_E_DALAM_TIANG">'[85]AHS-JTR'!#REF!</definedName>
    <definedName name="hdhsbrgfjsdbfladnvgf" localSheetId="0">#REF!</definedName>
    <definedName name="hdhsbrgfjsdbfladnvgf">#REF!</definedName>
    <definedName name="Heä_soá_laép_xaø_H">1.7</definedName>
    <definedName name="heä_soá_sình_laày" localSheetId="0">#REF!</definedName>
    <definedName name="heä_soá_sình_laày">#REF!</definedName>
    <definedName name="HERI" localSheetId="0" hidden="1">{#N/A,#N/A,FALSE,"M.42"}</definedName>
    <definedName name="HERI" hidden="1">{#N/A,#N/A,FALSE,"M.42"}</definedName>
    <definedName name="HFGKG" localSheetId="0" hidden="1">{#N/A,#N/A,FALSE,"M.31"}</definedName>
    <definedName name="HFGKG" hidden="1">{#N/A,#N/A,FALSE,"M.31"}</definedName>
    <definedName name="hg" localSheetId="0" hidden="1">{#N/A,#N/A,FALSE,"M.42"}</definedName>
    <definedName name="hg" hidden="1">{#N/A,#N/A,FALSE,"M.42"}</definedName>
    <definedName name="hgjgjgl.m.fgg" localSheetId="0" hidden="1">{#N/A,#N/A,FALSE,"M.41"}</definedName>
    <definedName name="hgjgjgl.m.fgg" hidden="1">{#N/A,#N/A,FALSE,"M.41"}</definedName>
    <definedName name="hgsvvbb" localSheetId="0" hidden="1">{#N/A,#N/A,FALSE,"M.02"}</definedName>
    <definedName name="hgsvvbb" hidden="1">{#N/A,#N/A,FALSE,"M.02"}</definedName>
    <definedName name="hh" localSheetId="0">#REF!</definedName>
    <definedName name="hh">#REF!</definedName>
    <definedName name="HH15HT" localSheetId="0">'[4]TONGKE-HT'!#REF!</definedName>
    <definedName name="HH15HT">'[4]TONGKE-HT'!#REF!</definedName>
    <definedName name="HH16HT" localSheetId="0">'[4]TONGKE-HT'!#REF!</definedName>
    <definedName name="HH16HT">'[4]TONGKE-HT'!#REF!</definedName>
    <definedName name="HH19HT" localSheetId="0">'[4]TONGKE-HT'!#REF!</definedName>
    <definedName name="HH19HT">'[4]TONGKE-HT'!#REF!</definedName>
    <definedName name="HH20HT" localSheetId="0">'[4]TONGKE-HT'!#REF!</definedName>
    <definedName name="HH20HT">'[4]TONGKE-HT'!#REF!</definedName>
    <definedName name="hhh" localSheetId="0" hidden="1">{#N/A,#N/A,FALSE,"M.31"}</definedName>
    <definedName name="hhh" hidden="1">{#N/A,#N/A,FALSE,"M.31"}</definedName>
    <definedName name="HHHH" localSheetId="0" hidden="1">{#N/A,#N/A,FALSE,"M.43"}</definedName>
    <definedName name="HHHH" hidden="1">{#N/A,#N/A,FALSE,"M.43"}</definedName>
    <definedName name="HHHHHH" localSheetId="0">#REF!</definedName>
    <definedName name="HHHHHH">#REF!</definedName>
    <definedName name="hhhhhhh" localSheetId="0" hidden="1">{#N/A,#N/A,FALSE,"M.43"}</definedName>
    <definedName name="hhhhhhh" hidden="1">{#N/A,#N/A,FALSE,"M.43"}</definedName>
    <definedName name="HHJJ" localSheetId="0" hidden="1">{#N/A,#N/A,FALSE,"M.01"}</definedName>
    <definedName name="HHJJ" hidden="1">{#N/A,#N/A,FALSE,"M.01"}</definedName>
    <definedName name="HiddenRows" localSheetId="0" hidden="1">#REF!</definedName>
    <definedName name="HiddenRows" hidden="1">#REF!</definedName>
    <definedName name="hist" localSheetId="0" hidden="1">{#N/A,#N/A,FALSE,"M.42"}</definedName>
    <definedName name="hist" hidden="1">{#N/A,#N/A,FALSE,"M.42"}</definedName>
    <definedName name="Hitung">'[3]DATA-BASE SUTT'!$Y$11:$Y$383</definedName>
    <definedName name="hjkkj" localSheetId="0">#REF!</definedName>
    <definedName name="hjkkj">#REF!</definedName>
    <definedName name="hjlllgh" localSheetId="0">#REF!</definedName>
    <definedName name="hjlllgh">#REF!</definedName>
    <definedName name="hjmnbfgvcf" localSheetId="0" hidden="1">{#N/A,#N/A,FALSE,"M.34"}</definedName>
    <definedName name="hjmnbfgvcf" hidden="1">{#N/A,#N/A,FALSE,"M.34"}</definedName>
    <definedName name="hlhlh" localSheetId="0">#REF!</definedName>
    <definedName name="hlhlh">#REF!</definedName>
    <definedName name="hn" localSheetId="0" hidden="1">{#N/A,#N/A,FALSE,"M.41"}</definedName>
    <definedName name="hn" hidden="1">{#N/A,#N/A,FALSE,"M.41"}</definedName>
    <definedName name="HPS">[86]HPS!$A$6:$IV$120</definedName>
    <definedName name="HPS_BARU_09__WIL_SU__dan_ROK.xls_Material___C_486" localSheetId="0">#REF!</definedName>
    <definedName name="HPS_BARU_09__WIL_SU__dan_ROK.xls_Material___C_486">#REF!</definedName>
    <definedName name="HRGLAMP1" localSheetId="0">#REF!</definedName>
    <definedName name="HRGLAMP1">#REF!</definedName>
    <definedName name="HRGLAMP2" localSheetId="0">#REF!</definedName>
    <definedName name="HRGLAMP2">#REF!</definedName>
    <definedName name="HRGLAMP3" localSheetId="0">#REF!</definedName>
    <definedName name="HRGLAMP3">#REF!</definedName>
    <definedName name="HS">[87]HS!$B$6:$H$1016</definedName>
    <definedName name="HSCT3">0.1</definedName>
    <definedName name="hsdbaru">[1]Catatan!$C$142</definedName>
    <definedName name="hsdc1" localSheetId="0">#REF!</definedName>
    <definedName name="hsdc1">#REF!</definedName>
    <definedName name="HSDD" localSheetId="0">[4]phuluc1!#REF!</definedName>
    <definedName name="HSDD">[4]phuluc1!#REF!</definedName>
    <definedName name="HSDN">2.5</definedName>
    <definedName name="HSHH" localSheetId="0">#REF!</definedName>
    <definedName name="HSHH">#REF!</definedName>
    <definedName name="HSHHUT" localSheetId="0">#REF!</definedName>
    <definedName name="HSHHUT">#REF!</definedName>
    <definedName name="HSHSHS" localSheetId="0" hidden="1">{#N/A,#N/A,FALSE,"M.02"}</definedName>
    <definedName name="HSHSHS" hidden="1">{#N/A,#N/A,FALSE,"M.02"}</definedName>
    <definedName name="hskk1">[4]chitiet!$D$4</definedName>
    <definedName name="HSNC">[56]Du_lieu!$C$6</definedName>
    <definedName name="HSSL" localSheetId="0">#REF!</definedName>
    <definedName name="HSSL">#REF!</definedName>
    <definedName name="HSVC1" localSheetId="0">#REF!</definedName>
    <definedName name="HSVC1">#REF!</definedName>
    <definedName name="HSVC2" localSheetId="0">#REF!</definedName>
    <definedName name="HSVC2">#REF!</definedName>
    <definedName name="HSVC3" localSheetId="0">#REF!</definedName>
    <definedName name="HSVC3">#REF!</definedName>
    <definedName name="ht25nc" localSheetId="0">'[4]lam-moi'!#REF!</definedName>
    <definedName name="ht25nc">'[4]lam-moi'!#REF!</definedName>
    <definedName name="ht25vl" localSheetId="0">'[4]lam-moi'!#REF!</definedName>
    <definedName name="ht25vl">'[4]lam-moi'!#REF!</definedName>
    <definedName name="ht325nc" localSheetId="0">'[4]lam-moi'!#REF!</definedName>
    <definedName name="ht325nc">'[4]lam-moi'!#REF!</definedName>
    <definedName name="ht325vl" localSheetId="0">'[4]lam-moi'!#REF!</definedName>
    <definedName name="ht325vl">'[4]lam-moi'!#REF!</definedName>
    <definedName name="ht37k" localSheetId="0">'[4]lam-moi'!#REF!</definedName>
    <definedName name="ht37k">'[4]lam-moi'!#REF!</definedName>
    <definedName name="ht37nc" localSheetId="0">'[4]lam-moi'!#REF!</definedName>
    <definedName name="ht37nc">'[4]lam-moi'!#REF!</definedName>
    <definedName name="ht50nc" localSheetId="0">'[4]lam-moi'!#REF!</definedName>
    <definedName name="ht50nc">'[4]lam-moi'!#REF!</definedName>
    <definedName name="ht50vl" localSheetId="0">'[4]lam-moi'!#REF!</definedName>
    <definedName name="ht50vl">'[4]lam-moi'!#REF!</definedName>
    <definedName name="HTNC" localSheetId="0">#REF!</definedName>
    <definedName name="HTNC">#REF!</definedName>
    <definedName name="HTVL" localSheetId="0">#REF!</definedName>
    <definedName name="HTVL">#REF!</definedName>
    <definedName name="HU_LVTC_2X25_1X25" localSheetId="0">'[85]AHS-JTR'!#REF!</definedName>
    <definedName name="HU_LVTC_2X25_1X25">'[85]AHS-JTR'!#REF!</definedName>
    <definedName name="HU_SPARE_GREASE" localSheetId="0">'[85]AHS-JTR'!#REF!</definedName>
    <definedName name="HU_SPARE_GREASE">'[85]AHS-JTR'!#REF!</definedName>
    <definedName name="HU_TR_E_DALAM_TIANG" localSheetId="0">'[85]AHS-JTR'!#REF!</definedName>
    <definedName name="HU_TR_E_DALAM_TIANG">'[85]AHS-JTR'!#REF!</definedName>
    <definedName name="HYTUJYJJKJ" localSheetId="0" hidden="1">{#N/A,#N/A,FALSE,"M.41"}</definedName>
    <definedName name="HYTUJYJJKJ" hidden="1">{#N/A,#N/A,FALSE,"M.41"}</definedName>
    <definedName name="i" localSheetId="0">#REF!</definedName>
    <definedName name="i">#REF!</definedName>
    <definedName name="I_Acc" localSheetId="0">#REF!</definedName>
    <definedName name="I_Acc">#REF!</definedName>
    <definedName name="I." localSheetId="0">#REF!</definedName>
    <definedName name="I.">#REF!</definedName>
    <definedName name="i1234_567891011" localSheetId="0">#REF!</definedName>
    <definedName name="i1234_567891011">#REF!</definedName>
    <definedName name="I2É6" localSheetId="0">[4]chitimc!#REF!</definedName>
    <definedName name="I2É6">[4]chitimc!#REF!</definedName>
    <definedName name="ibunda" localSheetId="0">#REF!</definedName>
    <definedName name="ibunda">#REF!</definedName>
    <definedName name="IDA" localSheetId="0">#REF!</definedName>
    <definedName name="IDA">#REF!</definedName>
    <definedName name="idobaru">[1]Catatan!$C$143</definedName>
    <definedName name="IDS">'[66]Harga BBM Indonesia'!$B$5:$D$5</definedName>
    <definedName name="II." localSheetId="0">#REF!</definedName>
    <definedName name="II.">#REF!</definedName>
    <definedName name="IK" localSheetId="0">#REF!</definedName>
    <definedName name="IK">#REF!</definedName>
    <definedName name="ikut.t" localSheetId="0">#REF!</definedName>
    <definedName name="ikut.t">#REF!</definedName>
    <definedName name="Impor_W1_W2">[88]NerSubsis!$D$41</definedName>
    <definedName name="INDEX1">[82]MENU!$C$11:$C$110</definedName>
    <definedName name="Indikator210" localSheetId="0">#REF!</definedName>
    <definedName name="Indikator210">#REF!</definedName>
    <definedName name="Indikator215" localSheetId="0">#REF!</definedName>
    <definedName name="Indikator215">#REF!</definedName>
    <definedName name="indikatorlurruptl" localSheetId="0" hidden="1">{#N/A,#N/A,FALSE,"M.31"}</definedName>
    <definedName name="indikatorlurruptl" hidden="1">{#N/A,#N/A,FALSE,"M.31"}</definedName>
    <definedName name="inflasi" localSheetId="0">#REF!</definedName>
    <definedName name="inflasi">#REF!</definedName>
    <definedName name="inflasi1" localSheetId="0">#REF!</definedName>
    <definedName name="inflasi1">#REF!</definedName>
    <definedName name="inflasi2" localSheetId="0">#REF!</definedName>
    <definedName name="inflasi2">#REF!</definedName>
    <definedName name="inst.air05" localSheetId="0">#REF!</definedName>
    <definedName name="inst.air05">#REF!</definedName>
    <definedName name="inst.air25" localSheetId="0">#REF!</definedName>
    <definedName name="inst.air25">#REF!</definedName>
    <definedName name="inst.air4" localSheetId="0">#REF!</definedName>
    <definedName name="inst.air4">#REF!</definedName>
    <definedName name="inst.lampu" localSheetId="0">#REF!</definedName>
    <definedName name="inst.lampu">#REF!</definedName>
    <definedName name="inst.sk" localSheetId="0">#REF!</definedName>
    <definedName name="inst.sk">#REF!</definedName>
    <definedName name="INTAKE" localSheetId="0">#REF!</definedName>
    <definedName name="INTAKE">#REF!</definedName>
    <definedName name="inves1" localSheetId="0">#REF!</definedName>
    <definedName name="inves1">#REF!</definedName>
    <definedName name="inves2" localSheetId="0">[17]ca!#REF!</definedName>
    <definedName name="inves2">[17]ca!#REF!</definedName>
    <definedName name="InvestasiSemEst04" localSheetId="0">#REF!</definedName>
    <definedName name="InvestasiSemEst04">#REF!</definedName>
    <definedName name="InvestasiSemTRWI" localSheetId="0">#REF!</definedName>
    <definedName name="InvestasiSemTRWI">#REF!</definedName>
    <definedName name="InvestasiSemTRWII" localSheetId="0">#REF!</definedName>
    <definedName name="InvestasiSemTRWII">#REF!</definedName>
    <definedName name="InvestasiSemTRWIII" localSheetId="0">#REF!</definedName>
    <definedName name="InvestasiSemTRWIII">#REF!</definedName>
    <definedName name="InvestasiSemTRWIV" localSheetId="0">#REF!</definedName>
    <definedName name="InvestasiSemTRWIV">#REF!</definedName>
    <definedName name="iopl" localSheetId="0" hidden="1">{#N/A,#N/A,FALSE,"M.34"}</definedName>
    <definedName name="iopl" hidden="1">{#N/A,#N/A,FALSE,"M.34"}</definedName>
    <definedName name="IPD" localSheetId="0">#REF!</definedName>
    <definedName name="IPD">#REF!</definedName>
    <definedName name="Ipo" localSheetId="0" hidden="1">{#N/A,#N/A,FALSE,"M.02"}</definedName>
    <definedName name="Ipo" hidden="1">{#N/A,#N/A,FALSE,"M.02"}</definedName>
    <definedName name="IPP" localSheetId="0">#REF!</definedName>
    <definedName name="IPP">#REF!</definedName>
    <definedName name="IPRP" localSheetId="0">#REF!</definedName>
    <definedName name="IPRP">#REF!</definedName>
    <definedName name="IS" localSheetId="0">#REF!</definedName>
    <definedName name="IS">#REF!</definedName>
    <definedName name="IS1TRWI" localSheetId="0">#REF!</definedName>
    <definedName name="IS1TRWI">#REF!</definedName>
    <definedName name="IS1TRWII" localSheetId="0">#REF!</definedName>
    <definedName name="IS1TRWII">#REF!</definedName>
    <definedName name="IS1TRWIII" localSheetId="0">#REF!</definedName>
    <definedName name="IS1TRWIII">#REF!</definedName>
    <definedName name="IS1TRWIV" localSheetId="0">#REF!</definedName>
    <definedName name="IS1TRWIV">#REF!</definedName>
    <definedName name="IS21TRWI" localSheetId="0">#REF!</definedName>
    <definedName name="IS21TRWI">#REF!</definedName>
    <definedName name="IS21TRWII" localSheetId="0">#REF!</definedName>
    <definedName name="IS21TRWII">#REF!</definedName>
    <definedName name="IS21TRWIII" localSheetId="0">#REF!</definedName>
    <definedName name="IS21TRWIII">#REF!</definedName>
    <definedName name="IS21TRWIV" localSheetId="0">#REF!</definedName>
    <definedName name="IS21TRWIV">#REF!</definedName>
    <definedName name="IS22TRWI" localSheetId="0">#REF!</definedName>
    <definedName name="IS22TRWI">#REF!</definedName>
    <definedName name="IS22TRWII" localSheetId="0">#REF!</definedName>
    <definedName name="IS22TRWII">#REF!</definedName>
    <definedName name="IS22TRWIII" localSheetId="0">#REF!</definedName>
    <definedName name="IS22TRWIII">#REF!</definedName>
    <definedName name="IS22TRWIV" localSheetId="0">#REF!</definedName>
    <definedName name="IS22TRWIV">#REF!</definedName>
    <definedName name="ISI_ANGKA_TEKAN" localSheetId="0">#REF!</definedName>
    <definedName name="ISI_ANGKA_TEKAN">#REF!</definedName>
    <definedName name="IUNJYHBGF" localSheetId="0" hidden="1">{#N/A,#N/A,FALSE,"M.42"}</definedName>
    <definedName name="IUNJYHBGF" hidden="1">{#N/A,#N/A,FALSE,"M.42"}</definedName>
    <definedName name="j" localSheetId="0" hidden="1">{#N/A,#N/A,FALSE,"M.42"}</definedName>
    <definedName name="j" hidden="1">{#N/A,#N/A,FALSE,"M.42"}</definedName>
    <definedName name="JAJA" localSheetId="0">'[89]W-NAD'!#REF!</definedName>
    <definedName name="JAJA">'[89]W-NAD'!#REF!</definedName>
    <definedName name="jam">[77]Sheet1!$A$2:$A$1441</definedName>
    <definedName name="JAMBI" localSheetId="0">'[90]Kontrak vs Realisasi Gas'!#REF!</definedName>
    <definedName name="JAMBI">'[90]Kontrak vs Realisasi Gas'!#REF!</definedName>
    <definedName name="jamkerja">'[91]D2. ANALISA HS INSP'!$D$7</definedName>
    <definedName name="JamKerja01">'[91]E3. ANALISA HS HAR TEK SUTM'!$E$2</definedName>
    <definedName name="jamkerjahar">'[91]E6. ANALISA HS HAR GRD Tiang'!$D$2</definedName>
    <definedName name="JAN">#N/A</definedName>
    <definedName name="jaro" localSheetId="0">#REF!</definedName>
    <definedName name="jaro">#REF!</definedName>
    <definedName name="Jasa" localSheetId="0">#REF!</definedName>
    <definedName name="Jasa">#REF!</definedName>
    <definedName name="jasaborongan" localSheetId="0">#REF!</definedName>
    <definedName name="jasaborongan">#REF!</definedName>
    <definedName name="jasaMDNU">[87]HS!$B$460:$C$571</definedName>
    <definedName name="JASSPT">[92]SPT!$E$22</definedName>
    <definedName name="jbnrev2" localSheetId="0" hidden="1">{#N/A,#N/A,FALSE,"M.32"}</definedName>
    <definedName name="jbnrev2" hidden="1">{#N/A,#N/A,FALSE,"M.32"}</definedName>
    <definedName name="JBRpst" localSheetId="0" hidden="1">{#N/A,#N/A,FALSE,"M.31"}</definedName>
    <definedName name="JBRpst" hidden="1">{#N/A,#N/A,FALSE,"M.31"}</definedName>
    <definedName name="jdrp" localSheetId="0">#REF!</definedName>
    <definedName name="jdrp">#REF!</definedName>
    <definedName name="jdrpAPD" localSheetId="0">#REF!</definedName>
    <definedName name="jdrpAPD">#REF!</definedName>
    <definedName name="jdrpBDG" localSheetId="0">#REF!</definedName>
    <definedName name="jdrpBDG">#REF!</definedName>
    <definedName name="jdrpBGR" localSheetId="0">#REF!</definedName>
    <definedName name="jdrpBGR">#REF!</definedName>
    <definedName name="jdrpBKS" localSheetId="0">#REF!</definedName>
    <definedName name="jdrpBKS">#REF!</definedName>
    <definedName name="jdrpBTN" localSheetId="0">#REF!</definedName>
    <definedName name="jdrpBTN">#REF!</definedName>
    <definedName name="jdrpCJR" localSheetId="0">#REF!</definedName>
    <definedName name="jdrpCJR">#REF!</definedName>
    <definedName name="jdrpCMI" localSheetId="0">#REF!</definedName>
    <definedName name="jdrpCMI">#REF!</definedName>
    <definedName name="jdrpCRB" localSheetId="0">#REF!</definedName>
    <definedName name="jdrpCRB">#REF!</definedName>
    <definedName name="jdrpDPK" localSheetId="0">#REF!</definedName>
    <definedName name="jdrpDPK">#REF!</definedName>
    <definedName name="jdrpGRT" localSheetId="0">#REF!</definedName>
    <definedName name="jdrpGRT">#REF!</definedName>
    <definedName name="jdrpKRW" localSheetId="0">#REF!</definedName>
    <definedName name="jdrpKRW">#REF!</definedName>
    <definedName name="jdrpMJA" localSheetId="0">#REF!</definedName>
    <definedName name="jdrpMJA">#REF!</definedName>
    <definedName name="jdrpPWK" localSheetId="0">#REF!</definedName>
    <definedName name="jdrpPWK">#REF!</definedName>
    <definedName name="jdrpSKI" localSheetId="0">#REF!</definedName>
    <definedName name="jdrpSKI">#REF!</definedName>
    <definedName name="jdrpSMD" localSheetId="0">#REF!</definedName>
    <definedName name="jdrpSMD">#REF!</definedName>
    <definedName name="jdrpTSK" localSheetId="0">#REF!</definedName>
    <definedName name="jdrpTSK">#REF!</definedName>
    <definedName name="JFKJHG" localSheetId="0" hidden="1">{#N/A,#N/A,FALSE,"M.43"}</definedName>
    <definedName name="JFKJHG" hidden="1">{#N/A,#N/A,FALSE,"M.43"}</definedName>
    <definedName name="JGABUNG" localSheetId="0">#REF!</definedName>
    <definedName name="JGABUNG">#REF!</definedName>
    <definedName name="jh" localSheetId="0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jh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jhu" localSheetId="0">#REF!</definedName>
    <definedName name="jhu">#REF!</definedName>
    <definedName name="ji" localSheetId="0">#REF!</definedName>
    <definedName name="ji">#REF!</definedName>
    <definedName name="jj" localSheetId="0">#REF!</definedName>
    <definedName name="jj">#REF!</definedName>
    <definedName name="jk" localSheetId="0">#REF!</definedName>
    <definedName name="jk">#REF!</definedName>
    <definedName name="jkkn0108">[93]KKN!$D$28</definedName>
    <definedName name="JKL" localSheetId="0" hidden="1">{#N/A,#N/A,FALSE,"M.32"}</definedName>
    <definedName name="JKL" hidden="1">{#N/A,#N/A,FALSE,"M.32"}</definedName>
    <definedName name="jklg" localSheetId="0">#REF!</definedName>
    <definedName name="jklg">#REF!</definedName>
    <definedName name="JKLJL" localSheetId="0">#REF!</definedName>
    <definedName name="JKLJL">#REF!</definedName>
    <definedName name="jklp0108">[93]KLP!$D$26</definedName>
    <definedName name="jkokjjkjlng" localSheetId="0" hidden="1">{#N/A,#N/A,FALSE,"M.32"}</definedName>
    <definedName name="jkokjjkjlng" hidden="1">{#N/A,#N/A,FALSE,"M.32"}</definedName>
    <definedName name="jksn0108">[93]KSN!$D$34</definedName>
    <definedName name="JL">#N/A</definedName>
    <definedName name="JMB" localSheetId="0">#REF!</definedName>
    <definedName name="JMB">#REF!</definedName>
    <definedName name="jml_bji">'[87]FORM A12 BJI'!$F$14:$F$412</definedName>
    <definedName name="jml_mdn">'[87]FORM A12MED'!$F$12:$F$507</definedName>
    <definedName name="jml_PKM">'[87]FORM A12PKM'!$G$13:$G$858</definedName>
    <definedName name="JML_PLGG" localSheetId="0">#REF!</definedName>
    <definedName name="JML_PLGG">#REF!</definedName>
    <definedName name="jml_pms">'[87]FORM A12PMS 2011'!$F$17:$F$631</definedName>
    <definedName name="jml_PSP">'[87]FORM A12PSP'!$F$14:$F$269</definedName>
    <definedName name="jml_SBG">'[87]FORM A12 SBG'!$F$13:$F$729</definedName>
    <definedName name="jml.1" localSheetId="0">#REF!</definedName>
    <definedName name="jml.1">#REF!</definedName>
    <definedName name="jml.2" localSheetId="0">#REF!</definedName>
    <definedName name="jml.2">#REF!</definedName>
    <definedName name="jmlh2" localSheetId="0" hidden="1">{#N/A,#N/A,FALSE,"M.01"}</definedName>
    <definedName name="jmlh2" hidden="1">{#N/A,#N/A,FALSE,"M.01"}</definedName>
    <definedName name="JMURNI" localSheetId="0">#REF!</definedName>
    <definedName name="JMURNI">#REF!</definedName>
    <definedName name="jnbl0108">[93]NBL!$D$27</definedName>
    <definedName name="jplb0108">[93]PLB!$D$31</definedName>
    <definedName name="JPY">[41]L20Keu!$O$9</definedName>
    <definedName name="jrt" localSheetId="0">#REF!</definedName>
    <definedName name="jrt">#REF!</definedName>
    <definedName name="jryn0108">[93]RYN!$D$27</definedName>
    <definedName name="jskm0108">[93]SKM!$D$29</definedName>
    <definedName name="jtlk0108">[93]TLK!$D$28</definedName>
    <definedName name="JTM" localSheetId="0">#REF!</definedName>
    <definedName name="JTM">#REF!</definedName>
    <definedName name="JTR" localSheetId="0">#REF!</definedName>
    <definedName name="JTR">#REF!</definedName>
    <definedName name="ju" localSheetId="0">#REF!</definedName>
    <definedName name="ju">#REF!</definedName>
    <definedName name="JUA">#N/A</definedName>
    <definedName name="jual" localSheetId="0">#REF!</definedName>
    <definedName name="jual">#REF!</definedName>
    <definedName name="JualGLangTRWI" localSheetId="0">#REF!</definedName>
    <definedName name="JualGLangTRWI">#REF!</definedName>
    <definedName name="JualGLangTRWII" localSheetId="0">#REF!</definedName>
    <definedName name="JualGLangTRWII">#REF!</definedName>
    <definedName name="JualGLangTRWIII" localSheetId="0">#REF!</definedName>
    <definedName name="JualGLangTRWIII">#REF!</definedName>
    <definedName name="JualGLangTRWIV" localSheetId="0">#REF!</definedName>
    <definedName name="JualGLangTRWIV">#REF!</definedName>
    <definedName name="JualGTarifTRWI" localSheetId="0">#REF!</definedName>
    <definedName name="JualGTarifTRWI">#REF!</definedName>
    <definedName name="JualGTarifTRWII" localSheetId="0">#REF!</definedName>
    <definedName name="JualGTarifTRWII">#REF!</definedName>
    <definedName name="JualGTarifTRWIII" localSheetId="0">#REF!</definedName>
    <definedName name="JualGTarifTRWIII">#REF!</definedName>
    <definedName name="JualGTarifTRWIV" localSheetId="0">#REF!</definedName>
    <definedName name="JualGTarifTRWIV">#REF!</definedName>
    <definedName name="JUDUL">#N/A</definedName>
    <definedName name="judulhal1" localSheetId="0">#REF!</definedName>
    <definedName name="judulhal1">#REF!</definedName>
    <definedName name="judulhal2" localSheetId="0">#REF!</definedName>
    <definedName name="judulhal2">#REF!</definedName>
    <definedName name="jul" localSheetId="0">#REF!</definedName>
    <definedName name="jul">#REF!</definedName>
    <definedName name="JUL_DB01" localSheetId="0">#REF!</definedName>
    <definedName name="JUL_DB01">#REF!</definedName>
    <definedName name="JULI">#N/A</definedName>
    <definedName name="JULI03" localSheetId="0">#REF!</definedName>
    <definedName name="JULI03">#REF!</definedName>
    <definedName name="JULI92">#N/A</definedName>
    <definedName name="Jumat">'[94]Tabel ND(Tb8)'!$E$160</definedName>
    <definedName name="jun" localSheetId="0">#REF!</definedName>
    <definedName name="jun">#REF!</definedName>
    <definedName name="JUNI">#N/A</definedName>
    <definedName name="JUNI92" localSheetId="0">#REF!</definedName>
    <definedName name="JUNI92">#REF!</definedName>
    <definedName name="JURUSAN_1">'[95]PENGUKURAN SIANG'!#REF!</definedName>
    <definedName name="JURUSAN1">'[95]PENGUKURAN SIANG'!#REF!</definedName>
    <definedName name="JURUSAN2">'[95]PENGUKURAN SIANG'!#REF!</definedName>
    <definedName name="JURUSAN3">'[95]PENGUKURAN SIANG'!#REF!</definedName>
    <definedName name="JURUSAN4">'[95]PENGUKURAN SIANG'!#REF!</definedName>
    <definedName name="jy" localSheetId="0" hidden="1">{#N/A,#N/A,FALSE,"M.32"}</definedName>
    <definedName name="jy" hidden="1">{#N/A,#N/A,FALSE,"M.32"}</definedName>
    <definedName name="JYJYTJ" localSheetId="0">#REF!</definedName>
    <definedName name="JYJYTJ">#REF!</definedName>
    <definedName name="k" localSheetId="0" hidden="1">{#N/A,#N/A,FALSE,"M.34"}</definedName>
    <definedName name="k" hidden="1">{#N/A,#N/A,FALSE,"M.34"}</definedName>
    <definedName name="k2b" localSheetId="0">'[4]THPDMoi  (2)'!#REF!</definedName>
    <definedName name="k2b">'[4]THPDMoi  (2)'!#REF!</definedName>
    <definedName name="kaca" localSheetId="0">#REF!</definedName>
    <definedName name="kaca">#REF!</definedName>
    <definedName name="kaca.5" localSheetId="0">#REF!</definedName>
    <definedName name="kaca.5">#REF!</definedName>
    <definedName name="kaca.polos" localSheetId="0">#REF!</definedName>
    <definedName name="kaca.polos">#REF!</definedName>
    <definedName name="kait.a" localSheetId="0">#REF!</definedName>
    <definedName name="kait.a">#REF!</definedName>
    <definedName name="KAKI" localSheetId="0" hidden="1">{#N/A,#N/A,FALSE,"M.34"}</definedName>
    <definedName name="KAKI" hidden="1">{#N/A,#N/A,FALSE,"M.34"}</definedName>
    <definedName name="KAPA" localSheetId="0">#REF!</definedName>
    <definedName name="KAPA">#REF!</definedName>
    <definedName name="KAPASITAS" localSheetId="0">#REF!</definedName>
    <definedName name="KAPASITAS">#REF!</definedName>
    <definedName name="KARANGAN">#N/A</definedName>
    <definedName name="KARY">[96]KARYAWAN!$B$5:$U$57</definedName>
    <definedName name="Karyawan" localSheetId="0">#REF!</definedName>
    <definedName name="Karyawan">#REF!</definedName>
    <definedName name="karyawan1" localSheetId="0">#REF!</definedName>
    <definedName name="karyawan1">#REF!</definedName>
    <definedName name="kawat" localSheetId="0">#REF!</definedName>
    <definedName name="kawat">#REF!</definedName>
    <definedName name="kbs" localSheetId="0">#REF!</definedName>
    <definedName name="kbs">#REF!</definedName>
    <definedName name="KCU" localSheetId="0">#REF!</definedName>
    <definedName name="KCU">#REF!</definedName>
    <definedName name="kdghkd" localSheetId="0">#REF!</definedName>
    <definedName name="kdghkd">#REF!</definedName>
    <definedName name="KDRpst" localSheetId="0" hidden="1">{#N/A,#N/A,FALSE,"M.31"}</definedName>
    <definedName name="KDRpst" hidden="1">{#N/A,#N/A,FALSE,"M.31"}</definedName>
    <definedName name="Kebutuhan" localSheetId="0">#REF!</definedName>
    <definedName name="Kebutuhan">#REF!</definedName>
    <definedName name="keg">'[11]Beltra  (7)'!$D$6</definedName>
    <definedName name="kend" localSheetId="0" hidden="1">{#N/A,#N/A,FALSE,"M.32"}</definedName>
    <definedName name="kend" hidden="1">{#N/A,#N/A,FALSE,"M.32"}</definedName>
    <definedName name="Kend2007" localSheetId="0" hidden="1">{#N/A,#N/A,FALSE,"M.34"}</definedName>
    <definedName name="Kend2007" hidden="1">{#N/A,#N/A,FALSE,"M.34"}</definedName>
    <definedName name="Kendaraan_" localSheetId="0">#REF!</definedName>
    <definedName name="Kendaraan_">#REF!</definedName>
    <definedName name="kep.besi" localSheetId="0">#REF!</definedName>
    <definedName name="kep.besi">#REF!</definedName>
    <definedName name="kep.bt" localSheetId="0">#REF!</definedName>
    <definedName name="kep.bt">#REF!</definedName>
    <definedName name="kep.cat" localSheetId="0">#REF!</definedName>
    <definedName name="kep.cat">#REF!</definedName>
    <definedName name="kep.ky" localSheetId="0">#REF!</definedName>
    <definedName name="kep.ky">#REF!</definedName>
    <definedName name="keramik12" localSheetId="0">#REF!</definedName>
    <definedName name="keramik12">#REF!</definedName>
    <definedName name="ket">[11]REKAP!$H$27</definedName>
    <definedName name="KETAPANG">#N/A</definedName>
    <definedName name="kf.bl" localSheetId="0">#REF!</definedName>
    <definedName name="kf.bl">#REF!</definedName>
    <definedName name="kf.p" localSheetId="0">#REF!</definedName>
    <definedName name="kf.p">#REF!</definedName>
    <definedName name="kf.r" localSheetId="0">#REF!</definedName>
    <definedName name="kf.r">#REF!</definedName>
    <definedName name="kf.u" localSheetId="0">#REF!</definedName>
    <definedName name="kf.u">#REF!</definedName>
    <definedName name="khh" localSheetId="0">#REF!</definedName>
    <definedName name="khh">#REF!</definedName>
    <definedName name="khj" localSheetId="0">#REF!</definedName>
    <definedName name="khj">#REF!</definedName>
    <definedName name="KHKH" localSheetId="0">#REF!</definedName>
    <definedName name="KHKH">#REF!</definedName>
    <definedName name="khusus" localSheetId="0">#REF!</definedName>
    <definedName name="khusus">#REF!</definedName>
    <definedName name="khusus1" localSheetId="0">#REF!</definedName>
    <definedName name="khusus1">#REF!</definedName>
    <definedName name="khusus1a" localSheetId="0">#REF!</definedName>
    <definedName name="khusus1a">#REF!</definedName>
    <definedName name="KII" localSheetId="0">#REF!</definedName>
    <definedName name="KII">#REF!</definedName>
    <definedName name="KIM" localSheetId="0">#REF!</definedName>
    <definedName name="KIM">#REF!</definedName>
    <definedName name="KIN" localSheetId="0">#REF!</definedName>
    <definedName name="KIN">#REF!</definedName>
    <definedName name="kinerja" localSheetId="0" hidden="1">{#N/A,#N/A,FALSE,"M.32"}</definedName>
    <definedName name="kinerja" hidden="1">{#N/A,#N/A,FALSE,"M.32"}</definedName>
    <definedName name="kinerja_1" localSheetId="0" hidden="1">{#N/A,#N/A,FALSE,"M.42"}</definedName>
    <definedName name="kinerja_1" hidden="1">{#N/A,#N/A,FALSE,"M.42"}</definedName>
    <definedName name="Kinerja063">[97]Indikator215!$A$42:$E$81</definedName>
    <definedName name="KINERJA2004ESTIMASI" localSheetId="0" hidden="1">{#N/A,#N/A,FALSE,"M.02"}</definedName>
    <definedName name="KINERJA2004ESTIMASI" hidden="1">{#N/A,#N/A,FALSE,"M.02"}</definedName>
    <definedName name="kit" localSheetId="0" hidden="1">{#N/A,#N/A,FALSE,"M.42"}</definedName>
    <definedName name="kit" hidden="1">{#N/A,#N/A,FALSE,"M.42"}</definedName>
    <definedName name="kit_1" localSheetId="0" hidden="1">{#N/A,#N/A,FALSE,"M.31"}</definedName>
    <definedName name="kit_1" hidden="1">{#N/A,#N/A,FALSE,"M.31"}</definedName>
    <definedName name="kitlur" localSheetId="0" hidden="1">{#N/A,#N/A,FALSE,"M.43"}</definedName>
    <definedName name="kitlur" hidden="1">{#N/A,#N/A,FALSE,"M.43"}</definedName>
    <definedName name="kitlur1" localSheetId="0" hidden="1">{#N/A,#N/A,FALSE,"M.01";#N/A,#N/A,FALSE,"M.01"}</definedName>
    <definedName name="kitlur1" hidden="1">{#N/A,#N/A,FALSE,"M.01";#N/A,#N/A,FALSE,"M.01"}</definedName>
    <definedName name="KITTW3">#N/A</definedName>
    <definedName name="KITTW4AK">#N/A</definedName>
    <definedName name="KITTW4AW">#N/A</definedName>
    <definedName name="kk" localSheetId="0">#REF!</definedName>
    <definedName name="kk">#REF!</definedName>
    <definedName name="KKK" localSheetId="0" hidden="1">{#N/A,#N/A,FALSE,"M.31"}</definedName>
    <definedName name="KKK" hidden="1">{#N/A,#N/A,FALSE,"M.31"}</definedName>
    <definedName name="kl" localSheetId="0" hidden="1">{#N/A,#N/A,FALSE,"M.33"}</definedName>
    <definedName name="kl" hidden="1">{#N/A,#N/A,FALSE,"M.33"}</definedName>
    <definedName name="klarifikasi" localSheetId="0">'[50]W-NAD'!#REF!</definedName>
    <definedName name="klarifikasi">'[50]W-NAD'!#REF!</definedName>
    <definedName name="kldd1p" localSheetId="0">'[4]#REF'!#REF!</definedName>
    <definedName name="kldd1p">'[4]#REF'!#REF!</definedName>
    <definedName name="kldd3p" localSheetId="0">'[4]lam-moi'!#REF!</definedName>
    <definedName name="kldd3p">'[4]lam-moi'!#REF!</definedName>
    <definedName name="klfhaslfhmdnf" localSheetId="0">#REF!</definedName>
    <definedName name="klfhaslfhmdnf">#REF!</definedName>
    <definedName name="KLM" localSheetId="0">#REF!</definedName>
    <definedName name="KLM">#REF!</definedName>
    <definedName name="klos.j" localSheetId="0">#REF!</definedName>
    <definedName name="klos.j">#REF!</definedName>
    <definedName name="klp" localSheetId="0" hidden="1">#REF!</definedName>
    <definedName name="klp" hidden="1">#REF!</definedName>
    <definedName name="klpg" localSheetId="0">#REF!</definedName>
    <definedName name="klpg">#REF!</definedName>
    <definedName name="KMA" localSheetId="0">#REF!</definedName>
    <definedName name="KMA">#REF!</definedName>
    <definedName name="kmong" localSheetId="0">[4]giathanh1!#REF!</definedName>
    <definedName name="kmong">[4]giathanh1!#REF!</definedName>
    <definedName name="ko" localSheetId="0" hidden="1">{#N/A,#N/A,FALSE,"M.01";#N/A,#N/A,FALSE,"M.01"}</definedName>
    <definedName name="ko" hidden="1">{#N/A,#N/A,FALSE,"M.01";#N/A,#N/A,FALSE,"M.01"}</definedName>
    <definedName name="Kode">'[98]Tabel Kode'!$C$3:$K$116</definedName>
    <definedName name="KODE_BAHAN_BAKAR" localSheetId="0">#REF!</definedName>
    <definedName name="KODE_BAHAN_BAKAR">#REF!</definedName>
    <definedName name="kode_Cabang" localSheetId="0">#REF!</definedName>
    <definedName name="kode_Cabang">#REF!</definedName>
    <definedName name="KODE_CENTRAL" localSheetId="0">#REF!</definedName>
    <definedName name="KODE_CENTRAL">#REF!</definedName>
    <definedName name="KODE_JENIS_PEMBANGKIT" localSheetId="0">#REF!</definedName>
    <definedName name="KODE_JENIS_PEMBANGKIT">#REF!</definedName>
    <definedName name="kode_Kabupaten" localSheetId="0">#REF!</definedName>
    <definedName name="kode_Kabupaten">#REF!</definedName>
    <definedName name="Kode_Kecamatan" localSheetId="0">#REF!</definedName>
    <definedName name="Kode_Kecamatan">#REF!</definedName>
    <definedName name="KODE_KONDISI" localSheetId="0">#REF!</definedName>
    <definedName name="KODE_KONDISI">#REF!</definedName>
    <definedName name="KODE_MUTASI" localSheetId="0">#REF!</definedName>
    <definedName name="KODE_MUTASI">#REF!</definedName>
    <definedName name="KODE_OUTGOING">[82]PARAMETER!$D$11:$D$1059</definedName>
    <definedName name="KODE_RANTING" localSheetId="0">#REF!</definedName>
    <definedName name="KODE_RANTING">#REF!</definedName>
    <definedName name="KODE_STATUS" localSheetId="0">#REF!</definedName>
    <definedName name="KODE_STATUS">#REF!</definedName>
    <definedName name="KODE1">[82]MENU!$B$11:$B$110</definedName>
    <definedName name="KodeNew">'[98]Tabel Kode'!$C$3:$M$116</definedName>
    <definedName name="koefisien">[77]Sheet1!$A$2:$C$1441</definedName>
    <definedName name="KolPenjualanStart">[99]Penjualan!$Q$1</definedName>
    <definedName name="KolProduksiSendiriStart">[99]ProdSendiri!$V$1</definedName>
    <definedName name="KolPSStart">'[99]PS&amp;Susut TL'!$Q$1</definedName>
    <definedName name="KolSewaBeliStart">[99]SewaBeli!$U$1</definedName>
    <definedName name="KolTransferStart">[99]Transfer!$S$1</definedName>
    <definedName name="KOM">[22]Pry!$CG$4:$CN$48</definedName>
    <definedName name="KOMBARAT">[54]UPpry!$CG$4:$CN$48</definedName>
    <definedName name="KOMKPG">[22]Kpg!$CG$4:$CN$48</definedName>
    <definedName name="KOMPBN">[22]Pbn!$CG$4:$CN$48</definedName>
    <definedName name="KOMPRY">[22]Pry!$CG$4:$CN$48</definedName>
    <definedName name="KOMSPT">[22]Spt!$CG$4:$CN$48</definedName>
    <definedName name="KomunikasiBulan">'[35]AHS - Non Personel'!$D$22</definedName>
    <definedName name="KomunikasiHari">'[35]AHS - Non Personel'!$D$21</definedName>
    <definedName name="konsolidasi1">[100]W1!$A$1:$K$35</definedName>
    <definedName name="KONTROL">[101]Kontrol!$D$88</definedName>
    <definedName name="KontrolBukuBesar" localSheetId="0">#REF!</definedName>
    <definedName name="KontrolBukuBesar">#REF!</definedName>
    <definedName name="KontrolPP" localSheetId="0">#REF!</definedName>
    <definedName name="KontrolPP">#REF!</definedName>
    <definedName name="konversiEx">'[102]BA-1'!$E$10</definedName>
    <definedName name="konversiIm" localSheetId="0">[103]BA1!#REF!</definedName>
    <definedName name="konversiIm">[103]BA1!#REF!</definedName>
    <definedName name="KOOMCAB">[54]Gab.Cab!$CG$4:$CN$52</definedName>
    <definedName name="KOP" localSheetId="0">#REF!</definedName>
    <definedName name="KOP">#REF!</definedName>
    <definedName name="koroperator_hari">'[35]AHS - Personel'!$G$18</definedName>
    <definedName name="KorPajak" localSheetId="0">#REF!</definedName>
    <definedName name="KorPajak">#REF!</definedName>
    <definedName name="Kost">'[35]AHS - Non Personel'!$D$20</definedName>
    <definedName name="kp1ph" localSheetId="0">#REF!</definedName>
    <definedName name="kp1ph">#REF!</definedName>
    <definedName name="kpa" localSheetId="0">#REF!</definedName>
    <definedName name="kpa">#REF!</definedName>
    <definedName name="kpaAPD" localSheetId="0">#REF!</definedName>
    <definedName name="kpaAPD">#REF!</definedName>
    <definedName name="kpaBDG" localSheetId="0">#REF!</definedName>
    <definedName name="kpaBDG">#REF!</definedName>
    <definedName name="kpaBGR" localSheetId="0">#REF!</definedName>
    <definedName name="kpaBGR">#REF!</definedName>
    <definedName name="kpaBKS" localSheetId="0">#REF!</definedName>
    <definedName name="kpaBKS">#REF!</definedName>
    <definedName name="kpaBTN" localSheetId="0">#REF!</definedName>
    <definedName name="kpaBTN">#REF!</definedName>
    <definedName name="kpaCJR" localSheetId="0">#REF!</definedName>
    <definedName name="kpaCJR">#REF!</definedName>
    <definedName name="kpaCMI" localSheetId="0">#REF!</definedName>
    <definedName name="kpaCMI">#REF!</definedName>
    <definedName name="kpaCRB" localSheetId="0">#REF!</definedName>
    <definedName name="kpaCRB">#REF!</definedName>
    <definedName name="kpaDPK" localSheetId="0">#REF!</definedName>
    <definedName name="kpaDPK">#REF!</definedName>
    <definedName name="kpaGRT" localSheetId="0">#REF!</definedName>
    <definedName name="kpaGRT">#REF!</definedName>
    <definedName name="kpaKRW" localSheetId="0">#REF!</definedName>
    <definedName name="kpaKRW">#REF!</definedName>
    <definedName name="kpaMJA" localSheetId="0">#REF!</definedName>
    <definedName name="kpaMJA">#REF!</definedName>
    <definedName name="kpaPWK" localSheetId="0">#REF!</definedName>
    <definedName name="kpaPWK">#REF!</definedName>
    <definedName name="kpaSKI" localSheetId="0">#REF!</definedName>
    <definedName name="kpaSKI">#REF!</definedName>
    <definedName name="kpaSMD" localSheetId="0">#REF!</definedName>
    <definedName name="kpaSMD">#REF!</definedName>
    <definedName name="kpaTSK" localSheetId="0">#REF!</definedName>
    <definedName name="kpaTSK">#REF!</definedName>
    <definedName name="kpggr">[22]Kpg!$BE$4:$CE$128</definedName>
    <definedName name="KPUB" localSheetId="0">#REF!</definedName>
    <definedName name="KPUB">#REF!</definedName>
    <definedName name="KPUB_I" localSheetId="0">#REF!</definedName>
    <definedName name="KPUB_I">#REF!</definedName>
    <definedName name="kr" localSheetId="0">#REF!</definedName>
    <definedName name="kr">#REF!</definedName>
    <definedName name="kr.bl" localSheetId="0">#REF!</definedName>
    <definedName name="kr.bl">#REF!</definedName>
    <definedName name="kr.p" localSheetId="0">#REF!</definedName>
    <definedName name="kr.p">#REF!</definedName>
    <definedName name="kr.u" localSheetId="0">#REF!</definedName>
    <definedName name="kr.u">#REF!</definedName>
    <definedName name="kran" localSheetId="0">#REF!</definedName>
    <definedName name="kran">#REF!</definedName>
    <definedName name="kriteria1" localSheetId="0">#REF!</definedName>
    <definedName name="kriteria1">#REF!</definedName>
    <definedName name="KRM" localSheetId="0">#REF!</definedName>
    <definedName name="KRM">#REF!</definedName>
    <definedName name="krtra" localSheetId="0">#REF!</definedName>
    <definedName name="krtra">#REF!</definedName>
    <definedName name="KRW" localSheetId="0">#REF!</definedName>
    <definedName name="KRW">#REF!</definedName>
    <definedName name="KTSK">[104]DATA!$A$4:$I$16</definedName>
    <definedName name="kuda.kuda" localSheetId="0">#REF!</definedName>
    <definedName name="kuda.kuda">#REF!</definedName>
    <definedName name="kunci.1" localSheetId="0">#REF!</definedName>
    <definedName name="kunci.1">#REF!</definedName>
    <definedName name="kunci.2" localSheetId="0">#REF!</definedName>
    <definedName name="kunci.2">#REF!</definedName>
    <definedName name="KUP" localSheetId="0">#REF!</definedName>
    <definedName name="KUP">#REF!</definedName>
    <definedName name="kurs">[105]Asumsi!$C$8</definedName>
    <definedName name="kusen">[81]analis!$K$179</definedName>
    <definedName name="kva" localSheetId="0">#REF!</definedName>
    <definedName name="kva">#REF!</definedName>
    <definedName name="kva_trafo" localSheetId="0" hidden="1">#REF!</definedName>
    <definedName name="kva_trafo" hidden="1">#REF!</definedName>
    <definedName name="kw" localSheetId="0">#REF!</definedName>
    <definedName name="kw">#REF!</definedName>
    <definedName name="kwh" localSheetId="0">#REF!</definedName>
    <definedName name="kwh">#REF!</definedName>
    <definedName name="KWH_PERGARDU_KSB_10_2009" localSheetId="0">#REF!</definedName>
    <definedName name="KWH_PERGARDU_KSB_10_2009">#REF!</definedName>
    <definedName name="KWH_PERGARDU_KSB_11_2009" localSheetId="0">#REF!</definedName>
    <definedName name="KWH_PERGARDU_KSB_11_2009">#REF!</definedName>
    <definedName name="KWH_PERGARDU_KSB_12_2009" localSheetId="0">#REF!</definedName>
    <definedName name="KWH_PERGARDU_KSB_12_2009">#REF!</definedName>
    <definedName name="KWH_PERGARDU_KSB0309" localSheetId="0">#REF!</definedName>
    <definedName name="KWH_PERGARDU_KSB0309">#REF!</definedName>
    <definedName name="KWH_PERGRD_0209" localSheetId="0">#REF!</definedName>
    <definedName name="KWH_PERGRD_0209">#REF!</definedName>
    <definedName name="kwt" localSheetId="0">#REF!</definedName>
    <definedName name="kwt">#REF!</definedName>
    <definedName name="l" localSheetId="0" hidden="1">{#N/A,#N/A,FALSE,"M.42"}</definedName>
    <definedName name="l" hidden="1">{#N/A,#N/A,FALSE,"M.42"}</definedName>
    <definedName name="L.BAKM" localSheetId="0">#REF!</definedName>
    <definedName name="L.BAKM">#REF!</definedName>
    <definedName name="LabaRugi" localSheetId="0">#REF!</definedName>
    <definedName name="LabaRugi">#REF!</definedName>
    <definedName name="LabaRugiFungsi" localSheetId="0">#REF!</definedName>
    <definedName name="LabaRugiFungsi">#REF!</definedName>
    <definedName name="LabaRugiFungsi2004" localSheetId="0">#REF!</definedName>
    <definedName name="LabaRugiFungsi2004">#REF!</definedName>
    <definedName name="LabaRugiLainnya" localSheetId="0">#REF!</definedName>
    <definedName name="LabaRugiLainnya">#REF!</definedName>
    <definedName name="LabaRugiUnsur2004" localSheetId="0">#REF!</definedName>
    <definedName name="LabaRugiUnsur2004">#REF!</definedName>
    <definedName name="LABARUGIYR">[106]Asumsi!$V$2</definedName>
    <definedName name="LAMA1">'[3]DATA-BASE SUTT'!$K$11:$K$383</definedName>
    <definedName name="LAMA2">'[3]DATA-BASE SUTT'!$N$11:$N$383</definedName>
    <definedName name="LAMA3">'[3]DATA-BASE SUTT'!$Q$11:$Q$383</definedName>
    <definedName name="LAMP_1" localSheetId="0">#REF!</definedName>
    <definedName name="LAMP_1">#REF!</definedName>
    <definedName name="Lamp_10" localSheetId="0">#REF!</definedName>
    <definedName name="Lamp_10">#REF!</definedName>
    <definedName name="Lamp_11" localSheetId="0">#REF!</definedName>
    <definedName name="Lamp_11">#REF!</definedName>
    <definedName name="Lamp_12" localSheetId="0">#REF!</definedName>
    <definedName name="Lamp_12">#REF!</definedName>
    <definedName name="Lamp_13" localSheetId="0">#REF!</definedName>
    <definedName name="Lamp_13">#REF!</definedName>
    <definedName name="Lamp_14" localSheetId="0">#REF!</definedName>
    <definedName name="Lamp_14">#REF!</definedName>
    <definedName name="Lamp_15" localSheetId="0">#REF!</definedName>
    <definedName name="Lamp_15">#REF!</definedName>
    <definedName name="Lamp_16" localSheetId="0">#REF!</definedName>
    <definedName name="Lamp_16">#REF!</definedName>
    <definedName name="Lamp_1a" localSheetId="0">#REF!</definedName>
    <definedName name="Lamp_1a">#REF!</definedName>
    <definedName name="Lamp_1b" localSheetId="0">#REF!</definedName>
    <definedName name="Lamp_1b">#REF!</definedName>
    <definedName name="LAMP_2" localSheetId="0">#REF!</definedName>
    <definedName name="LAMP_2">#REF!</definedName>
    <definedName name="Lamp_2a" localSheetId="0">#REF!</definedName>
    <definedName name="Lamp_2a">#REF!</definedName>
    <definedName name="Lamp_2b" localSheetId="0">#REF!</definedName>
    <definedName name="Lamp_2b">#REF!</definedName>
    <definedName name="LAMP_3" localSheetId="0">#REF!</definedName>
    <definedName name="LAMP_3">#REF!</definedName>
    <definedName name="Lamp_3a" localSheetId="0">#REF!</definedName>
    <definedName name="Lamp_3a">#REF!</definedName>
    <definedName name="Lamp_3b" localSheetId="0">#REF!</definedName>
    <definedName name="Lamp_3b">#REF!</definedName>
    <definedName name="LAMP_4">[107]Lamp_4!$A$1:$T$34</definedName>
    <definedName name="Lamp_4a" localSheetId="0">#REF!</definedName>
    <definedName name="Lamp_4a">#REF!</definedName>
    <definedName name="Lamp_4b" localSheetId="0">#REF!</definedName>
    <definedName name="Lamp_4b">#REF!</definedName>
    <definedName name="LAMP_5">[107]Lamp_5!$A$1:$N$40</definedName>
    <definedName name="Lamp_5a" localSheetId="0">#REF!</definedName>
    <definedName name="Lamp_5a">#REF!</definedName>
    <definedName name="Lamp_5b" localSheetId="0">#REF!</definedName>
    <definedName name="Lamp_5b">#REF!</definedName>
    <definedName name="Lamp_6a" localSheetId="0">#REF!</definedName>
    <definedName name="Lamp_6a">#REF!</definedName>
    <definedName name="Lamp_6b" localSheetId="0">#REF!</definedName>
    <definedName name="Lamp_6b">#REF!</definedName>
    <definedName name="LAMP_7">[107]Lamp_7!$A$1:$Q$40</definedName>
    <definedName name="Lamp_7a" localSheetId="0">#REF!</definedName>
    <definedName name="Lamp_7a">#REF!</definedName>
    <definedName name="Lamp_7b" localSheetId="0">#REF!</definedName>
    <definedName name="Lamp_7b">#REF!</definedName>
    <definedName name="Lamp_7c" localSheetId="0">#REF!</definedName>
    <definedName name="Lamp_7c">#REF!</definedName>
    <definedName name="Lamp_8a" localSheetId="0">#REF!</definedName>
    <definedName name="Lamp_8a">#REF!</definedName>
    <definedName name="Lamp_8b" localSheetId="0">#REF!</definedName>
    <definedName name="Lamp_8b">#REF!</definedName>
    <definedName name="Lamp_9" localSheetId="0">#REF!</definedName>
    <definedName name="Lamp_9">#REF!</definedName>
    <definedName name="LaporanAnak" localSheetId="0">#REF!</definedName>
    <definedName name="LaporanAnak">#REF!</definedName>
    <definedName name="LaporanJawa" localSheetId="0">#REF!</definedName>
    <definedName name="LaporanJawa">#REF!</definedName>
    <definedName name="LaporanKonsolidasi" localSheetId="0">#REF!</definedName>
    <definedName name="LaporanKonsolidasi">#REF!</definedName>
    <definedName name="LaporanUtama" localSheetId="0">#REF!</definedName>
    <definedName name="LaporanUtama">#REF!</definedName>
    <definedName name="LAPUNIT" localSheetId="0">#REF!</definedName>
    <definedName name="LAPUNIT">#REF!</definedName>
    <definedName name="Least" localSheetId="0">#REF!</definedName>
    <definedName name="Least">#REF!</definedName>
    <definedName name="LEDO">#N/A</definedName>
    <definedName name="lembar" localSheetId="0">'[108]laporan pemakaian blangko'!#REF!</definedName>
    <definedName name="lembar">'[108]laporan pemakaian blangko'!#REF!</definedName>
    <definedName name="LHT" localSheetId="0">#REF!</definedName>
    <definedName name="LHT">#REF!</definedName>
    <definedName name="lincuran" localSheetId="0">#REF!</definedName>
    <definedName name="lincuran">#REF!</definedName>
    <definedName name="lis.ply" localSheetId="0">#REF!</definedName>
    <definedName name="lis.ply">#REF!</definedName>
    <definedName name="lis.propil" localSheetId="0">#REF!</definedName>
    <definedName name="lis.propil">#REF!</definedName>
    <definedName name="lisplank" localSheetId="0">#REF!</definedName>
    <definedName name="lisplank">#REF!</definedName>
    <definedName name="LKAO" localSheetId="0">#REF!</definedName>
    <definedName name="LKAO">#REF!</definedName>
    <definedName name="lkj" localSheetId="0" hidden="1">{#N/A,#N/A,FALSE,"M.31"}</definedName>
    <definedName name="lkj" hidden="1">{#N/A,#N/A,FALSE,"M.31"}</definedName>
    <definedName name="lkllk" localSheetId="0">#REF!</definedName>
    <definedName name="lkllk">#REF!</definedName>
    <definedName name="lkp" localSheetId="0" hidden="1">#REF!</definedName>
    <definedName name="lkp" hidden="1">#REF!</definedName>
    <definedName name="Lmk" localSheetId="0">#REF!</definedName>
    <definedName name="Lmk">#REF!</definedName>
    <definedName name="lo" localSheetId="0">#REF!</definedName>
    <definedName name="lo">#REF!</definedName>
    <definedName name="lof" localSheetId="0" hidden="1">{#N/A,#N/A,FALSE,"M.01"}</definedName>
    <definedName name="lof" hidden="1">{#N/A,#N/A,FALSE,"M.01"}</definedName>
    <definedName name="logjgr" localSheetId="0">#REF!</definedName>
    <definedName name="logjgr">#REF!</definedName>
    <definedName name="LOOS_GAB" localSheetId="0" hidden="1">{#N/A,#N/A,FALSE,"M.01";#N/A,#N/A,FALSE,"M.01"}</definedName>
    <definedName name="LOOS_GAB" hidden="1">{#N/A,#N/A,FALSE,"M.01";#N/A,#N/A,FALSE,"M.01"}</definedName>
    <definedName name="LOSS_GAB" localSheetId="0" hidden="1">{#N/A,#N/A,FALSE,"M.01";#N/A,#N/A,FALSE,"M.01"}</definedName>
    <definedName name="LOSS_GAB" hidden="1">{#N/A,#N/A,FALSE,"M.01";#N/A,#N/A,FALSE,"M.01"}</definedName>
    <definedName name="LOSS_UNIT" localSheetId="0" hidden="1">{#N/A,#N/A,FALSE,"M.43"}</definedName>
    <definedName name="LOSS_UNIT" hidden="1">{#N/A,#N/A,FALSE,"M.43"}</definedName>
    <definedName name="LOSSES" localSheetId="0" hidden="1">{#N/A,#N/A,FALSE,"M.02"}</definedName>
    <definedName name="LOSSES" hidden="1">{#N/A,#N/A,FALSE,"M.02"}</definedName>
    <definedName name="LOSSES_UNIT" localSheetId="0" hidden="1">{#N/A,#N/A,FALSE,"M.32"}</definedName>
    <definedName name="LOSSES_UNIT" hidden="1">{#N/A,#N/A,FALSE,"M.32"}</definedName>
    <definedName name="LP">#N/A</definedName>
    <definedName name="LPGAB" localSheetId="0">#REF!</definedName>
    <definedName name="LPGAB">#REF!</definedName>
    <definedName name="lpo" localSheetId="0" hidden="1">{#N/A,#N/A,FALSE,"M.02"}</definedName>
    <definedName name="lpo" hidden="1">{#N/A,#N/A,FALSE,"M.02"}</definedName>
    <definedName name="LRFungsi" localSheetId="0">#REF!</definedName>
    <definedName name="LRFungsi">#REF!</definedName>
    <definedName name="LRUnsur" localSheetId="0">#REF!</definedName>
    <definedName name="LRUnsur">#REF!</definedName>
    <definedName name="LU" localSheetId="0">#REF!</definedName>
    <definedName name="LU">#REF!</definedName>
    <definedName name="LUHURNA" localSheetId="0">#REF!</definedName>
    <definedName name="LUHURNA">#REF!</definedName>
    <definedName name="luncur">[109]Sheet3!$D$15</definedName>
    <definedName name="luncuran">[109]Sheet3!$D$15</definedName>
    <definedName name="M" localSheetId="0">#REF!</definedName>
    <definedName name="M">#REF!</definedName>
    <definedName name="M.02" localSheetId="0" hidden="1">{#N/A,#N/A,FALSE,"M.02"}</definedName>
    <definedName name="M.02" hidden="1">{#N/A,#N/A,FALSE,"M.02"}</definedName>
    <definedName name="m.33" localSheetId="0" hidden="1">{#N/A,#N/A,FALSE,"M.33"}</definedName>
    <definedName name="m.33" hidden="1">{#N/A,#N/A,FALSE,"M.33"}</definedName>
    <definedName name="m102bnnc" localSheetId="0">'[4]lam-moi'!#REF!</definedName>
    <definedName name="m102bnnc">'[4]lam-moi'!#REF!</definedName>
    <definedName name="m102bnvl" localSheetId="0">'[4]lam-moi'!#REF!</definedName>
    <definedName name="m102bnvl">'[4]lam-moi'!#REF!</definedName>
    <definedName name="m10aamtc" localSheetId="0">'[4]t-h HA THE'!#REF!</definedName>
    <definedName name="m10aamtc">'[4]t-h HA THE'!#REF!</definedName>
    <definedName name="m10aanc" localSheetId="0">'[4]lam-moi'!#REF!</definedName>
    <definedName name="m10aanc">'[4]lam-moi'!#REF!</definedName>
    <definedName name="m10aavl" localSheetId="0">'[4]lam-moi'!#REF!</definedName>
    <definedName name="m10aavl">'[4]lam-moi'!#REF!</definedName>
    <definedName name="m10anc" localSheetId="0">'[4]lam-moi'!#REF!</definedName>
    <definedName name="m10anc">'[4]lam-moi'!#REF!</definedName>
    <definedName name="m10avl" localSheetId="0">'[4]lam-moi'!#REF!</definedName>
    <definedName name="m10avl">'[4]lam-moi'!#REF!</definedName>
    <definedName name="m10banc" localSheetId="0">'[4]lam-moi'!#REF!</definedName>
    <definedName name="m10banc">'[4]lam-moi'!#REF!</definedName>
    <definedName name="m10bavl" localSheetId="0">'[4]lam-moi'!#REF!</definedName>
    <definedName name="m10bavl">'[4]lam-moi'!#REF!</definedName>
    <definedName name="m122bnnc" localSheetId="0">'[4]lam-moi'!#REF!</definedName>
    <definedName name="m122bnnc">'[4]lam-moi'!#REF!</definedName>
    <definedName name="m122bnvl" localSheetId="0">'[4]lam-moi'!#REF!</definedName>
    <definedName name="m122bnvl">'[4]lam-moi'!#REF!</definedName>
    <definedName name="m12aanc" localSheetId="0">'[4]lam-moi'!#REF!</definedName>
    <definedName name="m12aanc">'[4]lam-moi'!#REF!</definedName>
    <definedName name="m12aavl" localSheetId="0">'[4]lam-moi'!#REF!</definedName>
    <definedName name="m12aavl">'[4]lam-moi'!#REF!</definedName>
    <definedName name="m12anc" localSheetId="0">'[4]lam-moi'!#REF!</definedName>
    <definedName name="m12anc">'[4]lam-moi'!#REF!</definedName>
    <definedName name="m12avl" localSheetId="0">'[4]lam-moi'!#REF!</definedName>
    <definedName name="m12avl">'[4]lam-moi'!#REF!</definedName>
    <definedName name="M12ba3p" localSheetId="0">#REF!</definedName>
    <definedName name="M12ba3p">#REF!</definedName>
    <definedName name="m12banc" localSheetId="0">'[4]lam-moi'!#REF!</definedName>
    <definedName name="m12banc">'[4]lam-moi'!#REF!</definedName>
    <definedName name="m12bavl" localSheetId="0">'[4]lam-moi'!#REF!</definedName>
    <definedName name="m12bavl">'[4]lam-moi'!#REF!</definedName>
    <definedName name="M12bb1p" localSheetId="0">#REF!</definedName>
    <definedName name="M12bb1p">#REF!</definedName>
    <definedName name="m12bbnc" localSheetId="0">'[4]lam-moi'!#REF!</definedName>
    <definedName name="m12bbnc">'[4]lam-moi'!#REF!</definedName>
    <definedName name="m12bbvl" localSheetId="0">'[4]lam-moi'!#REF!</definedName>
    <definedName name="m12bbvl">'[4]lam-moi'!#REF!</definedName>
    <definedName name="M12bnnc" localSheetId="0">'[4]#REF'!#REF!</definedName>
    <definedName name="M12bnnc">'[4]#REF'!#REF!</definedName>
    <definedName name="M12bnvl" localSheetId="0">'[4]#REF'!#REF!</definedName>
    <definedName name="M12bnvl">'[4]#REF'!#REF!</definedName>
    <definedName name="M12cbnc" localSheetId="0">#REF!</definedName>
    <definedName name="M12cbnc">#REF!</definedName>
    <definedName name="M12cbvl" localSheetId="0">#REF!</definedName>
    <definedName name="M12cbvl">#REF!</definedName>
    <definedName name="m142bnnc" localSheetId="0">'[4]lam-moi'!#REF!</definedName>
    <definedName name="m142bnnc">'[4]lam-moi'!#REF!</definedName>
    <definedName name="m142bnvl" localSheetId="0">'[4]lam-moi'!#REF!</definedName>
    <definedName name="m142bnvl">'[4]lam-moi'!#REF!</definedName>
    <definedName name="M14bb1p" localSheetId="0">#REF!</definedName>
    <definedName name="M14bb1p">#REF!</definedName>
    <definedName name="m14bbnc" localSheetId="0">'[4]lam-moi'!#REF!</definedName>
    <definedName name="m14bbnc">'[4]lam-moi'!#REF!</definedName>
    <definedName name="M14bbvc" localSheetId="0">'[4]CHITIET VL-NC-TT -1p'!#REF!</definedName>
    <definedName name="M14bbvc">'[4]CHITIET VL-NC-TT -1p'!#REF!</definedName>
    <definedName name="m14bbvl" localSheetId="0">'[4]lam-moi'!#REF!</definedName>
    <definedName name="m14bbvl">'[4]lam-moi'!#REF!</definedName>
    <definedName name="M8a" localSheetId="0">'[4]THPDMoi  (2)'!#REF!</definedName>
    <definedName name="M8a">'[4]THPDMoi  (2)'!#REF!</definedName>
    <definedName name="M8aa" localSheetId="0">'[4]THPDMoi  (2)'!#REF!</definedName>
    <definedName name="M8aa">'[4]THPDMoi  (2)'!#REF!</definedName>
    <definedName name="m8aanc" localSheetId="0">#REF!</definedName>
    <definedName name="m8aanc">#REF!</definedName>
    <definedName name="m8aavl" localSheetId="0">#REF!</definedName>
    <definedName name="m8aavl">#REF!</definedName>
    <definedName name="m8amtc" localSheetId="0">'[4]t-h HA THE'!#REF!</definedName>
    <definedName name="m8amtc">'[4]t-h HA THE'!#REF!</definedName>
    <definedName name="m8anc" localSheetId="0">'[4]lam-moi'!#REF!</definedName>
    <definedName name="m8anc">'[4]lam-moi'!#REF!</definedName>
    <definedName name="m8avl" localSheetId="0">'[4]lam-moi'!#REF!</definedName>
    <definedName name="m8avl">'[4]lam-moi'!#REF!</definedName>
    <definedName name="Ma3pnc" localSheetId="0">#REF!</definedName>
    <definedName name="Ma3pnc">#REF!</definedName>
    <definedName name="Ma3pvl" localSheetId="0">#REF!</definedName>
    <definedName name="Ma3pvl">#REF!</definedName>
    <definedName name="Maa3pnc" localSheetId="0">#REF!</definedName>
    <definedName name="Maa3pnc">#REF!</definedName>
    <definedName name="Maa3pvl" localSheetId="0">#REF!</definedName>
    <definedName name="Maa3pvl">#REF!</definedName>
    <definedName name="Macro1">[110]!Macro1</definedName>
    <definedName name="Macro2">[110]!Macro2</definedName>
    <definedName name="Macro3">[110]!Macro3</definedName>
    <definedName name="Macro4">[110]!Macro4</definedName>
    <definedName name="Macro5">[110]!Macro5</definedName>
    <definedName name="madi" localSheetId="0">#REF!</definedName>
    <definedName name="madi">#REF!</definedName>
    <definedName name="MAJALAYA" localSheetId="0">'[111]Basket 5'!#REF!</definedName>
    <definedName name="MAJALAYA">'[111]Basket 5'!#REF!</definedName>
    <definedName name="MAKRO" localSheetId="0">#REF!</definedName>
    <definedName name="MAKRO">#REF!</definedName>
    <definedName name="mandor" localSheetId="0">#REF!</definedName>
    <definedName name="mandor">#REF!</definedName>
    <definedName name="manfaat" localSheetId="0" hidden="1">{#N/A,#N/A,FALSE,"M.41"}</definedName>
    <definedName name="manfaat" hidden="1">{#N/A,#N/A,FALSE,"M.41"}</definedName>
    <definedName name="ManProBln">'[35]AHS - Personel'!$F$8</definedName>
    <definedName name="mantap" localSheetId="0">'[112]L-R'!#REF!</definedName>
    <definedName name="mantap">'[112]L-R'!#REF!</definedName>
    <definedName name="MARET">#N/A</definedName>
    <definedName name="marwan" localSheetId="0" hidden="1">{#N/A,#N/A,FALSE,"M.02"}</definedName>
    <definedName name="marwan" hidden="1">{#N/A,#N/A,FALSE,"M.02"}</definedName>
    <definedName name="masa" localSheetId="0">#REF!</definedName>
    <definedName name="masa">#REF!</definedName>
    <definedName name="masa1" localSheetId="0">#REF!</definedName>
    <definedName name="masa1">#REF!</definedName>
    <definedName name="masa2" localSheetId="0">#REF!</definedName>
    <definedName name="masa2">#REF!</definedName>
    <definedName name="master">[113]master!$C$6:$AF$73</definedName>
    <definedName name="masteradm">[114]masteradm!$C$6:$U$19</definedName>
    <definedName name="masterfln">'[115]master fln'!$C$6:$U$45</definedName>
    <definedName name="masteropt">'[116]master opt'!$C$6:$V$31</definedName>
    <definedName name="masterpgd">'[117]master pgd'!$C$6:$U$25</definedName>
    <definedName name="masterpmd">'[118]master pmd'!$C$6:$U$59</definedName>
    <definedName name="masterpmdnew">'[118]master pmd new'!$C$6:$U$54</definedName>
    <definedName name="mastertagihan" localSheetId="0">#REF!</definedName>
    <definedName name="mastertagihan">#REF!</definedName>
    <definedName name="MAT" localSheetId="0">#REF!</definedName>
    <definedName name="MAT">#REF!</definedName>
    <definedName name="mATbANTU" localSheetId="0">#REF!</definedName>
    <definedName name="mATbANTU">#REF!</definedName>
    <definedName name="MATERIAL" localSheetId="0">#REF!</definedName>
    <definedName name="MATERIAL">#REF!</definedName>
    <definedName name="MATERIAL_CODE">'[119]Material Distribusi'!$F$5:$F$1798</definedName>
    <definedName name="MaterialBantu" localSheetId="0">#REF!</definedName>
    <definedName name="MaterialBantu">#REF!</definedName>
    <definedName name="Materialbatu" localSheetId="0">#REF!</definedName>
    <definedName name="Materialbatu">#REF!</definedName>
    <definedName name="MATERIALCODE">'[120]Material Distribusi'!$F$5:$F$1798</definedName>
    <definedName name="MatHapus4C" localSheetId="0">#REF!</definedName>
    <definedName name="MatHapus4C">#REF!</definedName>
    <definedName name="mathar3" localSheetId="0" hidden="1">{#N/A,#N/A,FALSE,"M.31"}</definedName>
    <definedName name="mathar3" hidden="1">{#N/A,#N/A,FALSE,"M.31"}</definedName>
    <definedName name="matMO1" localSheetId="0">[121]MO!#REF!</definedName>
    <definedName name="matMO1">[121]MO!#REF!</definedName>
    <definedName name="matreplace" localSheetId="0">#REF!</definedName>
    <definedName name="matreplace">#REF!</definedName>
    <definedName name="MATSPT">[92]SPT!$C$22</definedName>
    <definedName name="MAX" localSheetId="0">#REF!</definedName>
    <definedName name="MAX">#REF!</definedName>
    <definedName name="maxjuli" localSheetId="0">#REF!</definedName>
    <definedName name="maxjuli">#REF!</definedName>
    <definedName name="Mba1p" localSheetId="0">#REF!</definedName>
    <definedName name="Mba1p">#REF!</definedName>
    <definedName name="Mba3p" localSheetId="0">#REF!</definedName>
    <definedName name="Mba3p">#REF!</definedName>
    <definedName name="Mbb3p" localSheetId="0">#REF!</definedName>
    <definedName name="Mbb3p">#REF!</definedName>
    <definedName name="MBL" localSheetId="0" hidden="1">{#N/A,#N/A,FALSE,"M.32"}</definedName>
    <definedName name="MBL" hidden="1">{#N/A,#N/A,FALSE,"M.32"}</definedName>
    <definedName name="Mbn1p" localSheetId="0">#REF!</definedName>
    <definedName name="Mbn1p">#REF!</definedName>
    <definedName name="mbnc" localSheetId="0">'[4]lam-moi'!#REF!</definedName>
    <definedName name="mbnc">'[4]lam-moi'!#REF!</definedName>
    <definedName name="mbo" localSheetId="0" hidden="1">{#N/A,#N/A,FALSE,"M.34"}</definedName>
    <definedName name="mbo" hidden="1">{#N/A,#N/A,FALSE,"M.34"}</definedName>
    <definedName name="mbvl" localSheetId="0">'[4]lam-moi'!#REF!</definedName>
    <definedName name="mbvl">'[4]lam-moi'!#REF!</definedName>
    <definedName name="MC" localSheetId="0">#REF!</definedName>
    <definedName name="MC">#REF!</definedName>
    <definedName name="mcperiod" localSheetId="0">#REF!</definedName>
    <definedName name="mcperiod">#REF!</definedName>
    <definedName name="MD">[122]aruskas!$A$110:$T$180</definedName>
    <definedName name="MDN" localSheetId="0">#REF!</definedName>
    <definedName name="MDN">#REF!</definedName>
    <definedName name="MDN_5" localSheetId="0">#REF!</definedName>
    <definedName name="MDN_5">#REF!</definedName>
    <definedName name="MDNP" localSheetId="0">#REF!</definedName>
    <definedName name="MDNP">#REF!</definedName>
    <definedName name="mdnp_5" localSheetId="0">#REF!</definedName>
    <definedName name="mdnp_5">#REF!</definedName>
    <definedName name="MDNpst" localSheetId="0" hidden="1">{#N/A,#N/A,FALSE,"M.33"}</definedName>
    <definedName name="MDNpst" hidden="1">{#N/A,#N/A,FALSE,"M.33"}</definedName>
    <definedName name="MDUA" localSheetId="0" hidden="1">{#N/A,#N/A,FALSE,"M.02"}</definedName>
    <definedName name="MDUA" hidden="1">{#N/A,#N/A,FALSE,"M.02"}</definedName>
    <definedName name="ME" localSheetId="0">#REF!</definedName>
    <definedName name="ME">#REF!</definedName>
    <definedName name="MED" localSheetId="0">#REF!</definedName>
    <definedName name="MED">#REF!</definedName>
    <definedName name="mei" localSheetId="0">#REF!</definedName>
    <definedName name="mei">#REF!</definedName>
    <definedName name="MENU" localSheetId="0">#REF!</definedName>
    <definedName name="MENU">#REF!</definedName>
    <definedName name="MENU1" localSheetId="0">#REF!</definedName>
    <definedName name="MENU1">#REF!</definedName>
    <definedName name="MENUBB" localSheetId="0">#REF!</definedName>
    <definedName name="MENUBB">#REF!</definedName>
    <definedName name="MENURH" localSheetId="0">#REF!</definedName>
    <definedName name="MENURH">#REF!</definedName>
    <definedName name="MENUWW" localSheetId="0">#REF!</definedName>
    <definedName name="MENUWW">#REF!</definedName>
    <definedName name="mfo">[123]Resume!$E$55</definedName>
    <definedName name="mfobaru">[1]Catatan!$C$144</definedName>
    <definedName name="MICOHM">'[16]HARGA SATUAN'!$B$21</definedName>
    <definedName name="MIN" localSheetId="0">#REF!</definedName>
    <definedName name="MIN">#REF!</definedName>
    <definedName name="MJKpst" localSheetId="0" hidden="1">{#N/A,#N/A,FALSE,"M.34"}</definedName>
    <definedName name="MJKpst" hidden="1">{#N/A,#N/A,FALSE,"M.34"}</definedName>
    <definedName name="mkkn0108">[93]KKN!$C$28</definedName>
    <definedName name="MKL" localSheetId="0">#REF!</definedName>
    <definedName name="MKL">#REF!</definedName>
    <definedName name="mklp0108">[93]KLP!$C$26</definedName>
    <definedName name="mksn0108">[93]KSN!$C$34</definedName>
    <definedName name="mm" localSheetId="0" hidden="1">{#N/A,#N/A,FALSE,"M.41"}</definedName>
    <definedName name="mm" hidden="1">{#N/A,#N/A,FALSE,"M.41"}</definedName>
    <definedName name="mmc" localSheetId="0" hidden="1">{#N/A,#N/A,FALSE,"M.42"}</definedName>
    <definedName name="mmc" hidden="1">{#N/A,#N/A,FALSE,"M.42"}</definedName>
    <definedName name="mmd" localSheetId="0" hidden="1">{#N/A,#N/A,FALSE,"M.32"}</definedName>
    <definedName name="mmd" hidden="1">{#N/A,#N/A,FALSE,"M.32"}</definedName>
    <definedName name="MmExcelLinker_6DC631AB_7C70_44E2_AD97_73A4179A9CF9" localSheetId="0">#REF!</definedName>
    <definedName name="MmExcelLinker_6DC631AB_7C70_44E2_AD97_73A4179A9CF9">#REF!</definedName>
    <definedName name="mmm" localSheetId="0">[4]giathanh1!#REF!</definedName>
    <definedName name="mmm">[4]giathanh1!#REF!</definedName>
    <definedName name="MMMMM" localSheetId="0">#REF!</definedName>
    <definedName name="MMMMM">#REF!</definedName>
    <definedName name="MMMMMMM" localSheetId="0">#REF!</definedName>
    <definedName name="MMMMMMM">#REF!</definedName>
    <definedName name="MN" localSheetId="0" hidden="1">#REF!</definedName>
    <definedName name="MN" hidden="1">#REF!</definedName>
    <definedName name="mnbl0108">[93]NBL!$C$27</definedName>
    <definedName name="MNJHH" localSheetId="0">#REF!</definedName>
    <definedName name="MNJHH">#REF!</definedName>
    <definedName name="MNLEx">'[102]BA-1'!$F$10</definedName>
    <definedName name="MNLIm" localSheetId="0">[103]BA1!#REF!</definedName>
    <definedName name="MNLIm">[103]BA1!#REF!</definedName>
    <definedName name="Monitor" localSheetId="0">#REF!</definedName>
    <definedName name="Monitor">#REF!</definedName>
    <definedName name="moodys" localSheetId="0" hidden="1">{#N/A,#N/A,FALSE,"M.01"}</definedName>
    <definedName name="moodys" hidden="1">{#N/A,#N/A,FALSE,"M.01"}</definedName>
    <definedName name="mp1x25" localSheetId="0">'[4]dongia (2)'!#REF!</definedName>
    <definedName name="mp1x25">'[4]dongia (2)'!#REF!</definedName>
    <definedName name="mplb0108">[93]PLB!$C$31</definedName>
    <definedName name="MQAR" localSheetId="0">#REF!</definedName>
    <definedName name="MQAR">#REF!</definedName>
    <definedName name="mr.b" localSheetId="0">#REF!</definedName>
    <definedName name="mr.b">#REF!</definedName>
    <definedName name="mr.p" localSheetId="0">#REF!</definedName>
    <definedName name="mr.p">#REF!</definedName>
    <definedName name="mr.u" localSheetId="0">#REF!</definedName>
    <definedName name="mr.u">#REF!</definedName>
    <definedName name="MRT" localSheetId="0">#REF!</definedName>
    <definedName name="MRT">#REF!</definedName>
    <definedName name="mryn0108">[93]RYN!$C$27</definedName>
    <definedName name="Msk" localSheetId="0" hidden="1">[36]CiMaPlbStd!#REF!</definedName>
    <definedName name="Msk" hidden="1">[36]CiMaPlbStd!#REF!</definedName>
    <definedName name="mskm0108">[93]SKM!$C$29</definedName>
    <definedName name="MST">[18]MST!$B$6:$S$62</definedName>
    <definedName name="MTC1P" localSheetId="0">'[4]TONG HOP VL-NC TT'!#REF!</definedName>
    <definedName name="MTC1P">'[4]TONG HOP VL-NC TT'!#REF!</definedName>
    <definedName name="MTC3P" localSheetId="0">'[4]TONG HOP VL-NC TT'!#REF!</definedName>
    <definedName name="MTC3P">'[4]TONG HOP VL-NC TT'!#REF!</definedName>
    <definedName name="MTCHC">[4]TNHCHINH!$K$38</definedName>
    <definedName name="MTCMB" localSheetId="0">'[4]#REF'!#REF!</definedName>
    <definedName name="MTCMB">'[4]#REF'!#REF!</definedName>
    <definedName name="mtlk0108">[93]TLK!$C$28</definedName>
    <definedName name="MTMAC12" localSheetId="0">#REF!</definedName>
    <definedName name="MTMAC12">#REF!</definedName>
    <definedName name="mtr" localSheetId="0">'[4]TH XL'!#REF!</definedName>
    <definedName name="mtr">'[4]TH XL'!#REF!</definedName>
    <definedName name="mtrafoksutb">[1]Uraian!$AB$72</definedName>
    <definedName name="mtram" localSheetId="0">#REF!</definedName>
    <definedName name="mtram">#REF!</definedName>
    <definedName name="MutasiMatPDP" localSheetId="0">#REF!</definedName>
    <definedName name="MutasiMatPDP">#REF!</definedName>
    <definedName name="MW" localSheetId="0">#REF!</definedName>
    <definedName name="MW">#REF!</definedName>
    <definedName name="n">'[124]Grafik Wil'!$E$28</definedName>
    <definedName name="N_A_M_A" localSheetId="0">#REF!</definedName>
    <definedName name="N_A_M_A">#REF!</definedName>
    <definedName name="N1IN">'[4]TONGKE3p '!$U$295</definedName>
    <definedName name="n1pig" localSheetId="0">#REF!</definedName>
    <definedName name="n1pig">#REF!</definedName>
    <definedName name="n1pignc" localSheetId="0">'[4]lam-moi'!#REF!</definedName>
    <definedName name="n1pignc">'[4]lam-moi'!#REF!</definedName>
    <definedName name="n1pigvl" localSheetId="0">'[4]lam-moi'!#REF!</definedName>
    <definedName name="n1pigvl">'[4]lam-moi'!#REF!</definedName>
    <definedName name="n1pind" localSheetId="0">#REF!</definedName>
    <definedName name="n1pind">#REF!</definedName>
    <definedName name="n1pindnc" localSheetId="0">'[4]lam-moi'!#REF!</definedName>
    <definedName name="n1pindnc">'[4]lam-moi'!#REF!</definedName>
    <definedName name="n1pindvl" localSheetId="0">'[4]lam-moi'!#REF!</definedName>
    <definedName name="n1pindvl">'[4]lam-moi'!#REF!</definedName>
    <definedName name="n1ping" localSheetId="0">#REF!</definedName>
    <definedName name="n1ping">#REF!</definedName>
    <definedName name="n1pingnc" localSheetId="0">'[4]lam-moi'!#REF!</definedName>
    <definedName name="n1pingnc">'[4]lam-moi'!#REF!</definedName>
    <definedName name="n1pingvl" localSheetId="0">'[4]lam-moi'!#REF!</definedName>
    <definedName name="n1pingvl">'[4]lam-moi'!#REF!</definedName>
    <definedName name="n1pint" localSheetId="0">#REF!</definedName>
    <definedName name="n1pint">#REF!</definedName>
    <definedName name="n1pintnc" localSheetId="0">'[4]lam-moi'!#REF!</definedName>
    <definedName name="n1pintnc">'[4]lam-moi'!#REF!</definedName>
    <definedName name="n1pintvl" localSheetId="0">'[4]lam-moi'!#REF!</definedName>
    <definedName name="n1pintvl">'[4]lam-moi'!#REF!</definedName>
    <definedName name="n24nc" localSheetId="0">'[4]lam-moi'!#REF!</definedName>
    <definedName name="n24nc">'[4]lam-moi'!#REF!</definedName>
    <definedName name="n24vl" localSheetId="0">'[4]lam-moi'!#REF!</definedName>
    <definedName name="n24vl">'[4]lam-moi'!#REF!</definedName>
    <definedName name="n2mignc" localSheetId="0">'[4]lam-moi'!#REF!</definedName>
    <definedName name="n2mignc">'[4]lam-moi'!#REF!</definedName>
    <definedName name="n2migvl" localSheetId="0">'[4]lam-moi'!#REF!</definedName>
    <definedName name="n2migvl">'[4]lam-moi'!#REF!</definedName>
    <definedName name="n2min1nc" localSheetId="0">'[4]lam-moi'!#REF!</definedName>
    <definedName name="n2min1nc">'[4]lam-moi'!#REF!</definedName>
    <definedName name="n2min1vl" localSheetId="0">'[4]lam-moi'!#REF!</definedName>
    <definedName name="n2min1vl">'[4]lam-moi'!#REF!</definedName>
    <definedName name="nama" localSheetId="0">#REF!</definedName>
    <definedName name="nama">#REF!</definedName>
    <definedName name="nama_kabupaten" localSheetId="0">#REF!</definedName>
    <definedName name="nama_kabupaten">#REF!</definedName>
    <definedName name="NamaKantor" localSheetId="0">#REF!</definedName>
    <definedName name="NamaKantor">#REF!</definedName>
    <definedName name="NamaWil">[125]Cover!$B$7</definedName>
    <definedName name="Name" localSheetId="0">#REF!</definedName>
    <definedName name="Name">#REF!</definedName>
    <definedName name="NBA" localSheetId="0">#REF!</definedName>
    <definedName name="NBA">#REF!</definedName>
    <definedName name="NBULAN" localSheetId="0">#REF!</definedName>
    <definedName name="NBULAN">#REF!</definedName>
    <definedName name="nc1nc" localSheetId="0">'[4]lam-moi'!#REF!</definedName>
    <definedName name="nc1nc">'[4]lam-moi'!#REF!</definedName>
    <definedName name="nc1p" localSheetId="0">#REF!</definedName>
    <definedName name="nc1p">#REF!</definedName>
    <definedName name="nc1vl" localSheetId="0">'[4]lam-moi'!#REF!</definedName>
    <definedName name="nc1vl">'[4]lam-moi'!#REF!</definedName>
    <definedName name="nc24nc" localSheetId="0">'[4]lam-moi'!#REF!</definedName>
    <definedName name="nc24nc">'[4]lam-moi'!#REF!</definedName>
    <definedName name="nc24vl" localSheetId="0">'[4]lam-moi'!#REF!</definedName>
    <definedName name="nc24vl">'[4]lam-moi'!#REF!</definedName>
    <definedName name="nc3p" localSheetId="0">#REF!</definedName>
    <definedName name="nc3p">#REF!</definedName>
    <definedName name="NCBD100" localSheetId="0">#REF!</definedName>
    <definedName name="NCBD100">#REF!</definedName>
    <definedName name="NCBD200" localSheetId="0">#REF!</definedName>
    <definedName name="NCBD200">#REF!</definedName>
    <definedName name="NCBD250" localSheetId="0">#REF!</definedName>
    <definedName name="NCBD250">#REF!</definedName>
    <definedName name="ncdd" localSheetId="0">'[4]TH XL'!#REF!</definedName>
    <definedName name="ncdd">'[4]TH XL'!#REF!</definedName>
    <definedName name="NCDD2" localSheetId="0">'[4]TH XL'!#REF!</definedName>
    <definedName name="NCDD2">'[4]TH XL'!#REF!</definedName>
    <definedName name="NCHC">[4]TNHCHINH!$J$38</definedName>
    <definedName name="nctr" localSheetId="0">'[4]TH XL'!#REF!</definedName>
    <definedName name="nctr">'[4]TH XL'!#REF!</definedName>
    <definedName name="nctram" localSheetId="0">#REF!</definedName>
    <definedName name="nctram">#REF!</definedName>
    <definedName name="NCVC100" localSheetId="0">#REF!</definedName>
    <definedName name="NCVC100">#REF!</definedName>
    <definedName name="NCVC200" localSheetId="0">#REF!</definedName>
    <definedName name="NCVC200">#REF!</definedName>
    <definedName name="NCVC250" localSheetId="0">#REF!</definedName>
    <definedName name="NCVC250">#REF!</definedName>
    <definedName name="NCVC3P" localSheetId="0">#REF!</definedName>
    <definedName name="NCVC3P">#REF!</definedName>
    <definedName name="ND" localSheetId="0">#REF!</definedName>
    <definedName name="ND">#REF!</definedName>
    <definedName name="Neraca" localSheetId="0">#REF!</definedName>
    <definedName name="Neraca">#REF!</definedName>
    <definedName name="NERACAYR">[126]Asumsi!$U$2</definedName>
    <definedName name="nerc" localSheetId="0" hidden="1">{#N/A,#N/A,FALSE,"M.31"}</definedName>
    <definedName name="nerc" hidden="1">{#N/A,#N/A,FALSE,"M.31"}</definedName>
    <definedName name="NERDA_2003">[127]sept!$I$68</definedName>
    <definedName name="netmargim" localSheetId="0">#REF!</definedName>
    <definedName name="netmargim">#REF!</definedName>
    <definedName name="netral" localSheetId="0">#REF!</definedName>
    <definedName name="netral">#REF!</definedName>
    <definedName name="netralttl" localSheetId="0">#REF!</definedName>
    <definedName name="netralttl">#REF!</definedName>
    <definedName name="new" localSheetId="0">#REF!</definedName>
    <definedName name="new">#REF!</definedName>
    <definedName name="NewKode">'[98]Tabel Kode'!$C$3:$L$116</definedName>
    <definedName name="NGABANG">#N/A</definedName>
    <definedName name="nhn" localSheetId="0">#REF!</definedName>
    <definedName name="nhn">#REF!</definedName>
    <definedName name="nhnnc" localSheetId="0">'[4]lam-moi'!#REF!</definedName>
    <definedName name="nhnnc">'[4]lam-moi'!#REF!</definedName>
    <definedName name="nhnvl" localSheetId="0">'[4]lam-moi'!#REF!</definedName>
    <definedName name="nhnvl">'[4]lam-moi'!#REF!</definedName>
    <definedName name="ni" localSheetId="0" hidden="1">{#N/A,#N/A,FALSE,"M.42"}</definedName>
    <definedName name="ni" hidden="1">{#N/A,#N/A,FALSE,"M.42"}</definedName>
    <definedName name="NIAS" localSheetId="0">#REF!</definedName>
    <definedName name="NIAS">#REF!</definedName>
    <definedName name="NIAS5" localSheetId="0">#REF!</definedName>
    <definedName name="NIAS5">#REF!</definedName>
    <definedName name="NIAS5P" localSheetId="0">#REF!</definedName>
    <definedName name="NIAS5P">#REF!</definedName>
    <definedName name="NIASP" localSheetId="0">#REF!</definedName>
    <definedName name="NIASP">#REF!</definedName>
    <definedName name="NIASS" localSheetId="0">#REF!</definedName>
    <definedName name="NIASS">#REF!</definedName>
    <definedName name="nig" localSheetId="0">#REF!</definedName>
    <definedName name="nig">#REF!</definedName>
    <definedName name="NIG13p">'[4]TONGKE3p '!$T$295</definedName>
    <definedName name="nig1p" localSheetId="0">#REF!</definedName>
    <definedName name="nig1p">#REF!</definedName>
    <definedName name="nig3p" localSheetId="0">#REF!</definedName>
    <definedName name="nig3p">#REF!</definedName>
    <definedName name="nightnc" localSheetId="0">[4]gtrinh!#REF!</definedName>
    <definedName name="nightnc">[4]gtrinh!#REF!</definedName>
    <definedName name="nightvl" localSheetId="0">[4]gtrinh!#REF!</definedName>
    <definedName name="nightvl">[4]gtrinh!#REF!</definedName>
    <definedName name="nignc1p" localSheetId="0">#REF!</definedName>
    <definedName name="nignc1p">#REF!</definedName>
    <definedName name="nignc3p">'[4]CHITIET VL-NC'!$G$107</definedName>
    <definedName name="nigvl1p" localSheetId="0">#REF!</definedName>
    <definedName name="nigvl1p">#REF!</definedName>
    <definedName name="nigvl3p">'[4]CHITIET VL-NC'!$G$99</definedName>
    <definedName name="NILAI_UNIT_1" localSheetId="0" hidden="1">{#N/A,#N/A,FALSE,"M.32"}</definedName>
    <definedName name="NILAI_UNIT_1" hidden="1">{#N/A,#N/A,FALSE,"M.32"}</definedName>
    <definedName name="NILAIASET" localSheetId="0">#REF!</definedName>
    <definedName name="NILAIASET">#REF!</definedName>
    <definedName name="NILAIASSET" localSheetId="0">#REF!</definedName>
    <definedName name="NILAIASSET">#REF!</definedName>
    <definedName name="nilty" localSheetId="0" hidden="1">{#N/A,#N/A,FALSE,"M.32"}</definedName>
    <definedName name="nilty" hidden="1">{#N/A,#N/A,FALSE,"M.32"}</definedName>
    <definedName name="nin" localSheetId="0">#REF!</definedName>
    <definedName name="nin">#REF!</definedName>
    <definedName name="nin14nc3p" localSheetId="0">#REF!</definedName>
    <definedName name="nin14nc3p">#REF!</definedName>
    <definedName name="nin14vl3p" localSheetId="0">#REF!</definedName>
    <definedName name="nin14vl3p">#REF!</definedName>
    <definedName name="nin1903p" localSheetId="0">#REF!</definedName>
    <definedName name="nin1903p">#REF!</definedName>
    <definedName name="nin190nc" localSheetId="0">'[4]lam-moi'!#REF!</definedName>
    <definedName name="nin190nc">'[4]lam-moi'!#REF!</definedName>
    <definedName name="nin190nc3p" localSheetId="0">#REF!</definedName>
    <definedName name="nin190nc3p">#REF!</definedName>
    <definedName name="nin190vl" localSheetId="0">'[4]lam-moi'!#REF!</definedName>
    <definedName name="nin190vl">'[4]lam-moi'!#REF!</definedName>
    <definedName name="nin190vl3p" localSheetId="0">#REF!</definedName>
    <definedName name="nin190vl3p">#REF!</definedName>
    <definedName name="nin1pnc" localSheetId="0">'[4]lam-moi'!#REF!</definedName>
    <definedName name="nin1pnc">'[4]lam-moi'!#REF!</definedName>
    <definedName name="nin1pvl" localSheetId="0">'[4]lam-moi'!#REF!</definedName>
    <definedName name="nin1pvl">'[4]lam-moi'!#REF!</definedName>
    <definedName name="nin2903p" localSheetId="0">#REF!</definedName>
    <definedName name="nin2903p">#REF!</definedName>
    <definedName name="nin290nc3p" localSheetId="0">#REF!</definedName>
    <definedName name="nin290nc3p">#REF!</definedName>
    <definedName name="nin290vl3p" localSheetId="0">#REF!</definedName>
    <definedName name="nin290vl3p">#REF!</definedName>
    <definedName name="nin3p" localSheetId="0">#REF!</definedName>
    <definedName name="nin3p">#REF!</definedName>
    <definedName name="nind" localSheetId="0">#REF!</definedName>
    <definedName name="nind">#REF!</definedName>
    <definedName name="nind1p" localSheetId="0">#REF!</definedName>
    <definedName name="nind1p">#REF!</definedName>
    <definedName name="nind3p" localSheetId="0">#REF!</definedName>
    <definedName name="nind3p">#REF!</definedName>
    <definedName name="nindnc" localSheetId="0">'[4]lam-moi'!#REF!</definedName>
    <definedName name="nindnc">'[4]lam-moi'!#REF!</definedName>
    <definedName name="nindnc1p" localSheetId="0">#REF!</definedName>
    <definedName name="nindnc1p">#REF!</definedName>
    <definedName name="nindnc3p" localSheetId="0">#REF!</definedName>
    <definedName name="nindnc3p">#REF!</definedName>
    <definedName name="nindvl" localSheetId="0">'[4]lam-moi'!#REF!</definedName>
    <definedName name="nindvl">'[4]lam-moi'!#REF!</definedName>
    <definedName name="nindvl1p" localSheetId="0">#REF!</definedName>
    <definedName name="nindvl1p">#REF!</definedName>
    <definedName name="nindvl3p" localSheetId="0">#REF!</definedName>
    <definedName name="nindvl3p">#REF!</definedName>
    <definedName name="ning1p" localSheetId="0">#REF!</definedName>
    <definedName name="ning1p">#REF!</definedName>
    <definedName name="ningnc1p" localSheetId="0">#REF!</definedName>
    <definedName name="ningnc1p">#REF!</definedName>
    <definedName name="ningvl1p" localSheetId="0">#REF!</definedName>
    <definedName name="ningvl1p">#REF!</definedName>
    <definedName name="ninnc" localSheetId="0">'[4]lam-moi'!#REF!</definedName>
    <definedName name="ninnc">'[4]lam-moi'!#REF!</definedName>
    <definedName name="ninnc3p" localSheetId="0">#REF!</definedName>
    <definedName name="ninnc3p">#REF!</definedName>
    <definedName name="nint1p" localSheetId="0">#REF!</definedName>
    <definedName name="nint1p">#REF!</definedName>
    <definedName name="nintnc1p" localSheetId="0">#REF!</definedName>
    <definedName name="nintnc1p">#REF!</definedName>
    <definedName name="nintvl1p" localSheetId="0">#REF!</definedName>
    <definedName name="nintvl1p">#REF!</definedName>
    <definedName name="ninvl" localSheetId="0">'[4]lam-moi'!#REF!</definedName>
    <definedName name="ninvl">'[4]lam-moi'!#REF!</definedName>
    <definedName name="ninvl3p" localSheetId="0">#REF!</definedName>
    <definedName name="ninvl3p">#REF!</definedName>
    <definedName name="nl" localSheetId="0">#REF!</definedName>
    <definedName name="nl">#REF!</definedName>
    <definedName name="NL12nc" localSheetId="0">'[4]#REF'!#REF!</definedName>
    <definedName name="NL12nc">'[4]#REF'!#REF!</definedName>
    <definedName name="NL12vl" localSheetId="0">'[4]#REF'!#REF!</definedName>
    <definedName name="NL12vl">'[4]#REF'!#REF!</definedName>
    <definedName name="nl1p" localSheetId="0">#REF!</definedName>
    <definedName name="nl1p">#REF!</definedName>
    <definedName name="nl3p" localSheetId="0">#REF!</definedName>
    <definedName name="nl3p">#REF!</definedName>
    <definedName name="nlht" localSheetId="0">'[4]THPDMoi  (2)'!#REF!</definedName>
    <definedName name="nlht">'[4]THPDMoi  (2)'!#REF!</definedName>
    <definedName name="nlmtc" localSheetId="0">'[4]t-h HA THE'!#REF!</definedName>
    <definedName name="nlmtc">'[4]t-h HA THE'!#REF!</definedName>
    <definedName name="nlnc" localSheetId="0">'[4]lam-moi'!#REF!</definedName>
    <definedName name="nlnc">'[4]lam-moi'!#REF!</definedName>
    <definedName name="nlnc3p" localSheetId="0">#REF!</definedName>
    <definedName name="nlnc3p">#REF!</definedName>
    <definedName name="nlnc3pha" localSheetId="0">#REF!</definedName>
    <definedName name="nlnc3pha">#REF!</definedName>
    <definedName name="NLTK1p" localSheetId="0">#REF!</definedName>
    <definedName name="NLTK1p">#REF!</definedName>
    <definedName name="nlvl" localSheetId="0">'[4]lam-moi'!#REF!</definedName>
    <definedName name="nlvl">'[4]lam-moi'!#REF!</definedName>
    <definedName name="nlvl1">[4]chitiet!$G$302</definedName>
    <definedName name="nlvl3p" localSheetId="0">#REF!</definedName>
    <definedName name="nlvl3p">#REF!</definedName>
    <definedName name="nmcabang" localSheetId="0">#REF!</definedName>
    <definedName name="nmcabang">#REF!</definedName>
    <definedName name="nn" localSheetId="0">[17]ca!#REF!</definedName>
    <definedName name="nn">[17]ca!#REF!</definedName>
    <definedName name="nn1p" localSheetId="0">#REF!</definedName>
    <definedName name="nn1p">#REF!</definedName>
    <definedName name="nn3p" localSheetId="0">#REF!</definedName>
    <definedName name="nn3p">#REF!</definedName>
    <definedName name="NNG" localSheetId="0">#REF!</definedName>
    <definedName name="NNG">#REF!</definedName>
    <definedName name="nnm" localSheetId="0" hidden="1">{#N/A,#N/A,FALSE,"M.43"}</definedName>
    <definedName name="nnm" hidden="1">{#N/A,#N/A,FALSE,"M.43"}</definedName>
    <definedName name="NNN" localSheetId="0">#REF!</definedName>
    <definedName name="NNN">#REF!</definedName>
    <definedName name="nnnc" localSheetId="0">'[4]lam-moi'!#REF!</definedName>
    <definedName name="nnnc">'[4]lam-moi'!#REF!</definedName>
    <definedName name="nnnc3p" localSheetId="0">#REF!</definedName>
    <definedName name="nnnc3p">#REF!</definedName>
    <definedName name="nnnm" localSheetId="0" hidden="1">{#N/A,#N/A,FALSE,"M.42"}</definedName>
    <definedName name="nnnm" hidden="1">{#N/A,#N/A,FALSE,"M.42"}</definedName>
    <definedName name="nnvl" localSheetId="0">'[4]lam-moi'!#REF!</definedName>
    <definedName name="nnvl">'[4]lam-moi'!#REF!</definedName>
    <definedName name="nnvl3p" localSheetId="0">#REF!</definedName>
    <definedName name="nnvl3p">#REF!</definedName>
    <definedName name="NO_KODE" localSheetId="0">[82]MENU!#REF!</definedName>
    <definedName name="NO_KODE">[82]MENU!#REF!</definedName>
    <definedName name="No." localSheetId="0">#REF!</definedName>
    <definedName name="No.">#REF!</definedName>
    <definedName name="NO._INDUK" localSheetId="0">#REF!</definedName>
    <definedName name="NO._INDUK">#REF!</definedName>
    <definedName name="nop" localSheetId="0">#REF!</definedName>
    <definedName name="nop">#REF!</definedName>
    <definedName name="NOV" localSheetId="0">#REF!</definedName>
    <definedName name="NOV">#REF!</definedName>
    <definedName name="nrc">'[128]neraca 1999-2000'!$C$13:$C$56</definedName>
    <definedName name="NRCGABSTLH" localSheetId="0" hidden="1">{#N/A,#N/A,FALSE,"M.01";#N/A,#N/A,FALSE,"M.01"}</definedName>
    <definedName name="NRCGABSTLH" hidden="1">{#N/A,#N/A,FALSE,"M.01";#N/A,#N/A,FALSE,"M.01"}</definedName>
    <definedName name="nrec" localSheetId="0" hidden="1">{#N/A,#N/A,FALSE,"M.01"}</definedName>
    <definedName name="nrec" hidden="1">{#N/A,#N/A,FALSE,"M.01"}</definedName>
    <definedName name="nuoc">[61]gvl!$N$38</definedName>
    <definedName name="nx" localSheetId="0">'[4]THPDMoi  (2)'!#REF!</definedName>
    <definedName name="nx">'[4]THPDMoi  (2)'!#REF!</definedName>
    <definedName name="nxmtc" localSheetId="0">'[4]t-h HA THE'!#REF!</definedName>
    <definedName name="nxmtc">'[4]t-h HA THE'!#REF!</definedName>
    <definedName name="o" localSheetId="0">#REF!</definedName>
    <definedName name="o">#REF!</definedName>
    <definedName name="o_m" localSheetId="0">[129]ca!#REF!</definedName>
    <definedName name="o_m">[129]ca!#REF!</definedName>
    <definedName name="OAFF" localSheetId="0">#REF!</definedName>
    <definedName name="OAFF">#REF!</definedName>
    <definedName name="OBS">'[66]Harga BBM Indonesia'!$B$8:$D$60</definedName>
    <definedName name="OGF" localSheetId="0">'[130]Transver kWh'!#REF!</definedName>
    <definedName name="OGF">'[130]Transver kWh'!#REF!</definedName>
    <definedName name="Oil_UNIT_TRW" localSheetId="0">#REF!</definedName>
    <definedName name="Oil_UNIT_TRW">#REF!</definedName>
    <definedName name="Oil1trw" localSheetId="0">#REF!</definedName>
    <definedName name="Oil1trw">#REF!</definedName>
    <definedName name="OILTEST">'[7]HARGA SATUAN'!$B$19</definedName>
    <definedName name="ok" localSheetId="0" hidden="1">{#N/A,#N/A,FALSE,"M.42"}</definedName>
    <definedName name="ok" hidden="1">{#N/A,#N/A,FALSE,"M.42"}</definedName>
    <definedName name="okt" localSheetId="0">#REF!</definedName>
    <definedName name="okt">#REF!</definedName>
    <definedName name="okto" localSheetId="0">#REF!</definedName>
    <definedName name="okto">#REF!</definedName>
    <definedName name="old" localSheetId="0" hidden="1">{#N/A,#N/A,FALSE,"M.02"}</definedName>
    <definedName name="old" hidden="1">{#N/A,#N/A,FALSE,"M.02"}</definedName>
    <definedName name="oo" localSheetId="0">#REF!</definedName>
    <definedName name="oo">#REF!</definedName>
    <definedName name="OP_MODE" localSheetId="0">#REF!</definedName>
    <definedName name="OP_MODE">#REF!</definedName>
    <definedName name="OPERASI" localSheetId="0">#REF!</definedName>
    <definedName name="OPERASI">#REF!</definedName>
    <definedName name="Opr_Hari">'[35]AHS - Personel'!$G$19</definedName>
    <definedName name="OrderTable" localSheetId="0" hidden="1">#REF!</definedName>
    <definedName name="OrderTable" hidden="1">#REF!</definedName>
    <definedName name="osc" localSheetId="0">'[4]THPDMoi  (2)'!#REF!</definedName>
    <definedName name="osc">'[4]THPDMoi  (2)'!#REF!</definedName>
    <definedName name="osmsa" localSheetId="0">#REF!</definedName>
    <definedName name="osmsa">#REF!</definedName>
    <definedName name="OSUPJ" localSheetId="0">#REF!</definedName>
    <definedName name="OSUPJ">#REF!</definedName>
    <definedName name="OUTGOING">[82]PARAMETER!$B$11:$B$1059</definedName>
    <definedName name="OVER" localSheetId="0">'[131]SISTEM SUMBAGSEL'!#REF!</definedName>
    <definedName name="OVER">'[131]SISTEM SUMBAGSEL'!#REF!</definedName>
    <definedName name="Overload">'[132]Mar 2004'!$B$11:$K$30</definedName>
    <definedName name="OVLOAD" localSheetId="0">#REF!</definedName>
    <definedName name="OVLOAD">#REF!</definedName>
    <definedName name="p" localSheetId="0" hidden="1">{#N/A,#N/A,FALSE,"M.43"}</definedName>
    <definedName name="p" hidden="1">{#N/A,#N/A,FALSE,"M.43"}</definedName>
    <definedName name="PADANG" localSheetId="0">#REF!</definedName>
    <definedName name="PADANG">#REF!</definedName>
    <definedName name="PAKAM" localSheetId="0">#REF!</definedName>
    <definedName name="PAKAM">#REF!</definedName>
    <definedName name="pan">'[11]Beltra  (7)'!$C$49</definedName>
    <definedName name="panil.kaca" localSheetId="0">#REF!</definedName>
    <definedName name="panil.kaca">#REF!</definedName>
    <definedName name="parsialdis">'[16]HARGA SATUAN'!$B$23</definedName>
    <definedName name="pas.bata13" localSheetId="0">#REF!</definedName>
    <definedName name="pas.bata13">#REF!</definedName>
    <definedName name="pas.bata16" localSheetId="0">#REF!</definedName>
    <definedName name="pas.bata16">#REF!</definedName>
    <definedName name="pas.bt.kali" localSheetId="0">#REF!</definedName>
    <definedName name="pas.bt.kali">#REF!</definedName>
    <definedName name="pas.bt.kosong" localSheetId="0">#REF!</definedName>
    <definedName name="pas.bt.kosong">#REF!</definedName>
    <definedName name="pas.bubung" localSheetId="0">#REF!</definedName>
    <definedName name="pas.bubung">#REF!</definedName>
    <definedName name="pas.genteng" localSheetId="0">#REF!</definedName>
    <definedName name="pas.genteng">#REF!</definedName>
    <definedName name="pas.plint" localSheetId="0">#REF!</definedName>
    <definedName name="pas.plint">#REF!</definedName>
    <definedName name="pas.tegel" localSheetId="0">#REF!</definedName>
    <definedName name="pas.tegel">#REF!</definedName>
    <definedName name="PasPst" localSheetId="0" hidden="1">{#N/A,#N/A,FALSE,"M.33"}</definedName>
    <definedName name="PasPst" hidden="1">{#N/A,#N/A,FALSE,"M.33"}</definedName>
    <definedName name="Patroli1" localSheetId="0">#REF!</definedName>
    <definedName name="Patroli1">#REF!</definedName>
    <definedName name="pATROLI2" localSheetId="0">#REF!</definedName>
    <definedName name="pATROLI2">#REF!</definedName>
    <definedName name="pbng">[22]Pbn!$BE$4:$CF$121</definedName>
    <definedName name="pc" localSheetId="0">#REF!</definedName>
    <definedName name="pc">#REF!</definedName>
    <definedName name="PD" localSheetId="0">#REF!</definedName>
    <definedName name="PD">#REF!</definedName>
    <definedName name="pdi" localSheetId="0" hidden="1">[133]UshDeb00!#REF!</definedName>
    <definedName name="pdi" hidden="1">[133]UshDeb00!#REF!</definedName>
    <definedName name="pdp" localSheetId="0" hidden="1">{#N/A,#N/A,FALSE,"M.31"}</definedName>
    <definedName name="pdp" hidden="1">{#N/A,#N/A,FALSE,"M.31"}</definedName>
    <definedName name="PDP2C" localSheetId="0">#REF!</definedName>
    <definedName name="PDP2C">#REF!</definedName>
    <definedName name="PDPDimuka2D" localSheetId="0">#REF!</definedName>
    <definedName name="PDPDimuka2D">#REF!</definedName>
    <definedName name="PDPKons" localSheetId="0">#REF!</definedName>
    <definedName name="PDPKons">#REF!</definedName>
    <definedName name="PDPM" localSheetId="0">#REF!</definedName>
    <definedName name="PDPM">#REF!</definedName>
    <definedName name="PDPMaterial" localSheetId="0">#REF!</definedName>
    <definedName name="PDPMaterial">#REF!</definedName>
    <definedName name="PDPMaterial2B1" localSheetId="0">#REF!</definedName>
    <definedName name="PDPMaterial2B1">#REF!</definedName>
    <definedName name="PDPMaterial2B2" localSheetId="0">#REF!</definedName>
    <definedName name="PDPMaterial2B2">#REF!</definedName>
    <definedName name="PDPPembDimuka" localSheetId="0">#REF!</definedName>
    <definedName name="PDPPembDimuka">#REF!</definedName>
    <definedName name="PDPT" localSheetId="0" hidden="1">{#N/A,#N/A,FALSE,"M.31"}</definedName>
    <definedName name="PDPT" hidden="1">{#N/A,#N/A,FALSE,"M.31"}</definedName>
    <definedName name="PEB">#N/A</definedName>
    <definedName name="pek">'[11]Beltra  (7)'!$D$7</definedName>
    <definedName name="pek.cat.kayu" localSheetId="0">#REF!</definedName>
    <definedName name="pek.cat.kayu">#REF!</definedName>
    <definedName name="pek.cat.temb">[81]analis!$K$144</definedName>
    <definedName name="pek.meni" localSheetId="0">#REF!</definedName>
    <definedName name="pek.meni">#REF!</definedName>
    <definedName name="pekerja" localSheetId="0">#REF!</definedName>
    <definedName name="pekerja">#REF!</definedName>
    <definedName name="Pelumas" localSheetId="0" hidden="1">{#N/A,#N/A,FALSE,"M.31"}</definedName>
    <definedName name="Pelumas" hidden="1">{#N/A,#N/A,FALSE,"M.31"}</definedName>
    <definedName name="Pemakaian_Sendiri" localSheetId="0">#REF!</definedName>
    <definedName name="Pemakaian_Sendiri">#REF!</definedName>
    <definedName name="PembelianiTRWI" localSheetId="0">#REF!</definedName>
    <definedName name="PembelianiTRWI">#REF!</definedName>
    <definedName name="PembelianiTRWII" localSheetId="0">#REF!</definedName>
    <definedName name="PembelianiTRWII">#REF!</definedName>
    <definedName name="PembelianiTRWIII" localSheetId="0">#REF!</definedName>
    <definedName name="PembelianiTRWIII">#REF!</definedName>
    <definedName name="PembelianiTRWIV" localSheetId="0">#REF!</definedName>
    <definedName name="PembelianiTRWIV">#REF!</definedName>
    <definedName name="pembiayaan" localSheetId="0">#REF!</definedName>
    <definedName name="pembiayaan">#REF!</definedName>
    <definedName name="Pembukuan" localSheetId="0">#REF!</definedName>
    <definedName name="Pembukuan">#REF!</definedName>
    <definedName name="penagihan" localSheetId="0">#REF!</definedName>
    <definedName name="penagihan">#REF!</definedName>
    <definedName name="PendaLuOp" localSheetId="0">#REF!</definedName>
    <definedName name="PendaLuOp">#REF!</definedName>
    <definedName name="PENGDATA" localSheetId="0">#REF!</definedName>
    <definedName name="PENGDATA">#REF!</definedName>
    <definedName name="Penjelas" localSheetId="0">#REF!</definedName>
    <definedName name="Penjelas">#REF!</definedName>
    <definedName name="PenjTLTRWI" localSheetId="0">#REF!</definedName>
    <definedName name="PenjTLTRWI">#REF!</definedName>
    <definedName name="PenjTLTRWII" localSheetId="0">#REF!</definedName>
    <definedName name="PenjTLTRWII">#REF!</definedName>
    <definedName name="PenjTLTRWIII" localSheetId="0">#REF!</definedName>
    <definedName name="PenjTLTRWIII">#REF!</definedName>
    <definedName name="PenjTLTRWIV" localSheetId="0">#REF!</definedName>
    <definedName name="PenjTLTRWIV">#REF!</definedName>
    <definedName name="Penjualan" localSheetId="0">#REF!</definedName>
    <definedName name="Penjualan">#REF!</definedName>
    <definedName name="PENSIUN">[60]ACUAN!$M$3</definedName>
    <definedName name="Penyertaan3" localSheetId="0">#REF!</definedName>
    <definedName name="Penyertaan3">#REF!</definedName>
    <definedName name="PER" localSheetId="0">#REF!</definedName>
    <definedName name="PER">#REF!</definedName>
    <definedName name="period" localSheetId="0">#REF!</definedName>
    <definedName name="period">#REF!</definedName>
    <definedName name="periode" localSheetId="0">#REF!</definedName>
    <definedName name="periode">#REF!</definedName>
    <definedName name="PERIODIKK" localSheetId="0">#REF!</definedName>
    <definedName name="PERIODIKK">#REF!</definedName>
    <definedName name="Pertumbuhan" localSheetId="0">#REF!</definedName>
    <definedName name="Pertumbuhan">#REF!</definedName>
    <definedName name="Phone" localSheetId="0">#REF!</definedName>
    <definedName name="Phone">#REF!</definedName>
    <definedName name="pijar25" localSheetId="0">#REF!</definedName>
    <definedName name="pijar25">#REF!</definedName>
    <definedName name="PILBB" localSheetId="0">#REF!</definedName>
    <definedName name="PILBB">#REF!</definedName>
    <definedName name="PILGAB" localSheetId="0">#REF!</definedName>
    <definedName name="PILGAB">#REF!</definedName>
    <definedName name="PILIH" localSheetId="0">#REF!</definedName>
    <definedName name="PILIH">#REF!</definedName>
    <definedName name="PILRH" localSheetId="0">#REF!</definedName>
    <definedName name="PILRH">#REF!</definedName>
    <definedName name="PILWW" localSheetId="0">#REF!</definedName>
    <definedName name="PILWW">#REF!</definedName>
    <definedName name="PINDAH" localSheetId="0">#REF!</definedName>
    <definedName name="PINDAH">#REF!</definedName>
    <definedName name="pinjaman" localSheetId="0">#REF!</definedName>
    <definedName name="pinjaman">#REF!</definedName>
    <definedName name="PINOH">#N/A</definedName>
    <definedName name="pintu.kaca" localSheetId="0">#REF!</definedName>
    <definedName name="pintu.kaca">#REF!</definedName>
    <definedName name="pintu.panil" localSheetId="0">#REF!</definedName>
    <definedName name="pintu.panil">#REF!</definedName>
    <definedName name="pintu.ply" localSheetId="0">#REF!</definedName>
    <definedName name="pintu.ply">#REF!</definedName>
    <definedName name="pintu.ply.alu" localSheetId="0">#REF!</definedName>
    <definedName name="pintu.ply.alu">#REF!</definedName>
    <definedName name="pk" localSheetId="0">#REF!</definedName>
    <definedName name="pk">#REF!</definedName>
    <definedName name="pk.lis" localSheetId="0">#REF!</definedName>
    <definedName name="pk.lis">#REF!</definedName>
    <definedName name="pk.r" localSheetId="0">#REF!</definedName>
    <definedName name="pk.r">#REF!</definedName>
    <definedName name="pk.s" localSheetId="0">#REF!</definedName>
    <definedName name="pk.s">#REF!</definedName>
    <definedName name="pk.u" localSheetId="0">#REF!</definedName>
    <definedName name="pk.u">#REF!</definedName>
    <definedName name="PKB" localSheetId="0">#REF!</definedName>
    <definedName name="PKB">#REF!</definedName>
    <definedName name="PKM" localSheetId="0">#REF!</definedName>
    <definedName name="PKM">#REF!</definedName>
    <definedName name="pkm_5" localSheetId="0">#REF!</definedName>
    <definedName name="pkm_5">#REF!</definedName>
    <definedName name="PKMP" localSheetId="0">#REF!</definedName>
    <definedName name="PKMP">#REF!</definedName>
    <definedName name="pkmp_5" localSheetId="0">#REF!</definedName>
    <definedName name="pkmp_5">#REF!</definedName>
    <definedName name="plafond.t.rangka" localSheetId="0">#REF!</definedName>
    <definedName name="plafond.t.rangka">#REF!</definedName>
    <definedName name="plam" localSheetId="0">#REF!</definedName>
    <definedName name="plam">#REF!</definedName>
    <definedName name="plapond" localSheetId="0">#REF!</definedName>
    <definedName name="plapond">#REF!</definedName>
    <definedName name="PLB" localSheetId="0">#REF!</definedName>
    <definedName name="PLB">#REF!</definedName>
    <definedName name="plester13">[81]analis!$K$110</definedName>
    <definedName name="plester16" localSheetId="0">#REF!</definedName>
    <definedName name="plester16">#REF!</definedName>
    <definedName name="Plgg" localSheetId="0" hidden="1">{#N/A,#N/A,FALSE,"M.41"}</definedName>
    <definedName name="Plgg" hidden="1">{#N/A,#N/A,FALSE,"M.41"}</definedName>
    <definedName name="PLGN" localSheetId="0">#REF!</definedName>
    <definedName name="PLGN">#REF!</definedName>
    <definedName name="Plint" localSheetId="0">#REF!</definedName>
    <definedName name="Plint">#REF!</definedName>
    <definedName name="PLM" localSheetId="0">#REF!</definedName>
    <definedName name="PLM">#REF!</definedName>
    <definedName name="PLN" localSheetId="0">#REF!</definedName>
    <definedName name="PLN">#REF!</definedName>
    <definedName name="PLNEx">'[102]BA-1'!$H$10</definedName>
    <definedName name="PLNIm" localSheetId="0">[103]BA1!#REF!</definedName>
    <definedName name="PLNIm">[103]BA1!#REF!</definedName>
    <definedName name="PLTD" localSheetId="0" hidden="1">{#N/A,#N/A,FALSE,"M.01"}</definedName>
    <definedName name="PLTD" hidden="1">{#N/A,#N/A,FALSE,"M.01"}</definedName>
    <definedName name="PLTD_1" localSheetId="0" hidden="1">{#N/A,#N/A,FALSE,"M.33"}</definedName>
    <definedName name="PLTD_1" hidden="1">{#N/A,#N/A,FALSE,"M.33"}</definedName>
    <definedName name="pltmapln1" localSheetId="0">#REF!</definedName>
    <definedName name="pltmapln1">#REF!</definedName>
    <definedName name="pltmsla1" localSheetId="0">#REF!</definedName>
    <definedName name="pltmsla1">#REF!</definedName>
    <definedName name="pltuapln1" localSheetId="0">#REF!</definedName>
    <definedName name="pltuapln1">#REF!</definedName>
    <definedName name="pltuapln2" localSheetId="0">#REF!</definedName>
    <definedName name="pltuapln2">#REF!</definedName>
    <definedName name="pltuapln3" localSheetId="0">#REF!</definedName>
    <definedName name="pltuapln3">#REF!</definedName>
    <definedName name="pltuapln4" localSheetId="0">#REF!</definedName>
    <definedName name="pltuapln4">#REF!</definedName>
    <definedName name="pltuapln5" localSheetId="0">#REF!</definedName>
    <definedName name="pltuapln5">#REF!</definedName>
    <definedName name="pltusla5" localSheetId="0">#REF!</definedName>
    <definedName name="pltusla5">#REF!</definedName>
    <definedName name="ply.alu" localSheetId="0">#REF!</definedName>
    <definedName name="ply.alu">#REF!</definedName>
    <definedName name="plyw" localSheetId="0">#REF!</definedName>
    <definedName name="plyw">#REF!</definedName>
    <definedName name="PMS" localSheetId="0">#REF!</definedName>
    <definedName name="PMS">#REF!</definedName>
    <definedName name="pms_5" localSheetId="0">#REF!</definedName>
    <definedName name="pms_5">#REF!</definedName>
    <definedName name="PMSP" localSheetId="0">#REF!</definedName>
    <definedName name="PMSP">#REF!</definedName>
    <definedName name="pmsp_5" localSheetId="0">#REF!</definedName>
    <definedName name="pmsp_5">#REF!</definedName>
    <definedName name="pmt_150kV_1_p__40_Ka" localSheetId="0">'[16]HARGA SATUAN'!#REF!</definedName>
    <definedName name="pmt_150kV_1_p__40_Ka">'[16]HARGA SATUAN'!#REF!</definedName>
    <definedName name="pmt1p">'[16]HARGA SATUAN'!$B$2</definedName>
    <definedName name="pmt30kv" localSheetId="0">[34]TRANS!#REF!</definedName>
    <definedName name="pmt30kv">[34]TRANS!#REF!</definedName>
    <definedName name="pmt500dgcr">'[7]HARGA SATUAN'!$B$7</definedName>
    <definedName name="pmt500kv1">'[7]HARGA SATUAN'!$B$6</definedName>
    <definedName name="pokok_bunga" localSheetId="0">#REF!</definedName>
    <definedName name="pokok_bunga">#REF!</definedName>
    <definedName name="politur" localSheetId="0">#REF!</definedName>
    <definedName name="politur">#REF!</definedName>
    <definedName name="polituran" localSheetId="0">#REF!</definedName>
    <definedName name="polituran">#REF!</definedName>
    <definedName name="Potensi215" localSheetId="0">#REF!</definedName>
    <definedName name="Potensi215">#REF!</definedName>
    <definedName name="pp" localSheetId="0">#REF!</definedName>
    <definedName name="pp">#REF!</definedName>
    <definedName name="PR" localSheetId="0">#REF!</definedName>
    <definedName name="PR">#REF!</definedName>
    <definedName name="PRD1trw" localSheetId="0">#REF!</definedName>
    <definedName name="PRD1trw">#REF!</definedName>
    <definedName name="PRD2trw" localSheetId="0">#REF!</definedName>
    <definedName name="PRD2trw">#REF!</definedName>
    <definedName name="PRD3trw" localSheetId="0">#REF!</definedName>
    <definedName name="PRD3trw">#REF!</definedName>
    <definedName name="PRD4trw" localSheetId="0">#REF!</definedName>
    <definedName name="PRD4trw">#REF!</definedName>
    <definedName name="PRD5trw" localSheetId="0">#REF!</definedName>
    <definedName name="PRD5trw">#REF!</definedName>
    <definedName name="predagt" localSheetId="0" hidden="1">{#N/A,#N/A,FALSE,"M.31"}</definedName>
    <definedName name="predagt" hidden="1">{#N/A,#N/A,FALSE,"M.31"}</definedName>
    <definedName name="prediksi_th03" localSheetId="0" hidden="1">{#N/A,#N/A,FALSE,"M.01";#N/A,#N/A,FALSE,"M.01"}</definedName>
    <definedName name="prediksi_th03" hidden="1">{#N/A,#N/A,FALSE,"M.01";#N/A,#N/A,FALSE,"M.01"}</definedName>
    <definedName name="prien" localSheetId="0">#REF!</definedName>
    <definedName name="prien">#REF!</definedName>
    <definedName name="PRINT_AR01" localSheetId="0">[134]Sheet5!#REF!</definedName>
    <definedName name="PRINT_AR01">[134]Sheet5!#REF!</definedName>
    <definedName name="_xlnm.Print_Area" localSheetId="0">'MASTER GARDU '!$G$803:$P$816</definedName>
    <definedName name="_xlnm.Print_Area">#REF!</definedName>
    <definedName name="Print_Area_MI" localSheetId="0">#REF!</definedName>
    <definedName name="Print_Area_MI">#REF!</definedName>
    <definedName name="_xlnm.Print_Titles" localSheetId="0">#REF!</definedName>
    <definedName name="_xlnm.Print_Titles">#REF!</definedName>
    <definedName name="Print_Titles_MI" localSheetId="0">#REF!</definedName>
    <definedName name="Print_Titles_MI">#REF!</definedName>
    <definedName name="PRINT1" localSheetId="0">#REF!</definedName>
    <definedName name="PRINT1">#REF!</definedName>
    <definedName name="prioritas">[135]Rekapitulasi!$B$10</definedName>
    <definedName name="prk" localSheetId="0">[60]PRK!#REF!</definedName>
    <definedName name="prk">[60]PRK!#REF!</definedName>
    <definedName name="PROD10" localSheetId="0">#REF!</definedName>
    <definedName name="PROD10">#REF!</definedName>
    <definedName name="PROD11" localSheetId="0">#REF!</definedName>
    <definedName name="PROD11">#REF!</definedName>
    <definedName name="PROD12" localSheetId="0">#REF!</definedName>
    <definedName name="PROD12">#REF!</definedName>
    <definedName name="PROD13" localSheetId="0">#REF!</definedName>
    <definedName name="PROD13">#REF!</definedName>
    <definedName name="PROD14" localSheetId="0">#REF!</definedName>
    <definedName name="PROD14">#REF!</definedName>
    <definedName name="PROD15" localSheetId="0">#REF!</definedName>
    <definedName name="PROD15">#REF!</definedName>
    <definedName name="PROD16" localSheetId="0">#REF!</definedName>
    <definedName name="PROD16">#REF!</definedName>
    <definedName name="PROD17" localSheetId="0">#REF!</definedName>
    <definedName name="PROD17">#REF!</definedName>
    <definedName name="PROD18" localSheetId="0">#REF!</definedName>
    <definedName name="PROD18">#REF!</definedName>
    <definedName name="PROD19" localSheetId="0">#REF!</definedName>
    <definedName name="PROD19">#REF!</definedName>
    <definedName name="PROD2" localSheetId="0">#REF!</definedName>
    <definedName name="PROD2">#REF!</definedName>
    <definedName name="PROD20" localSheetId="0">#REF!</definedName>
    <definedName name="PROD20">#REF!</definedName>
    <definedName name="PROD21" localSheetId="0">#REF!</definedName>
    <definedName name="PROD21">#REF!</definedName>
    <definedName name="PROD22" localSheetId="0">#REF!</definedName>
    <definedName name="PROD22">#REF!</definedName>
    <definedName name="PROD23" localSheetId="0">#REF!</definedName>
    <definedName name="PROD23">#REF!</definedName>
    <definedName name="PROD24" localSheetId="0">#REF!</definedName>
    <definedName name="PROD24">#REF!</definedName>
    <definedName name="PROD25" localSheetId="0">#REF!</definedName>
    <definedName name="PROD25">#REF!</definedName>
    <definedName name="PROD26" localSheetId="0">#REF!</definedName>
    <definedName name="PROD26">#REF!</definedName>
    <definedName name="PROD27" localSheetId="0">#REF!</definedName>
    <definedName name="PROD27">#REF!</definedName>
    <definedName name="PROD28" localSheetId="0">#REF!</definedName>
    <definedName name="PROD28">#REF!</definedName>
    <definedName name="PROD29" localSheetId="0">#REF!</definedName>
    <definedName name="PROD29">#REF!</definedName>
    <definedName name="PROD3" localSheetId="0">#REF!</definedName>
    <definedName name="PROD3">#REF!</definedName>
    <definedName name="PROD30" localSheetId="0">#REF!</definedName>
    <definedName name="PROD30">#REF!</definedName>
    <definedName name="PROD31" localSheetId="0">#REF!</definedName>
    <definedName name="PROD31">#REF!</definedName>
    <definedName name="PROD4" localSheetId="0">#REF!</definedName>
    <definedName name="PROD4">#REF!</definedName>
    <definedName name="PROD5" localSheetId="0">#REF!</definedName>
    <definedName name="PROD5">#REF!</definedName>
    <definedName name="PROD6" localSheetId="0">#REF!</definedName>
    <definedName name="PROD6">#REF!</definedName>
    <definedName name="PROD7" localSheetId="0">#REF!</definedName>
    <definedName name="PROD7">#REF!</definedName>
    <definedName name="PROD8" localSheetId="0">#REF!</definedName>
    <definedName name="PROD8">#REF!</definedName>
    <definedName name="PROD9" localSheetId="0">#REF!</definedName>
    <definedName name="PROD9">#REF!</definedName>
    <definedName name="ProdForm" localSheetId="0" hidden="1">#REF!</definedName>
    <definedName name="ProdForm" hidden="1">#REF!</definedName>
    <definedName name="Product" localSheetId="0" hidden="1">#REF!</definedName>
    <definedName name="Product" hidden="1">#REF!</definedName>
    <definedName name="Produksi" localSheetId="0">#REF!</definedName>
    <definedName name="Produksi">#REF!</definedName>
    <definedName name="PRODUKSI_SENDIRI" localSheetId="0">'[130]Transver kWh'!#REF!</definedName>
    <definedName name="PRODUKSI_SENDIRI">'[130]Transver kWh'!#REF!</definedName>
    <definedName name="ProduksiTRWI" localSheetId="0">#REF!</definedName>
    <definedName name="ProduksiTRWI">#REF!</definedName>
    <definedName name="ProduksiTRWII" localSheetId="0">#REF!</definedName>
    <definedName name="ProduksiTRWII">#REF!</definedName>
    <definedName name="ProduksiTRWIII" localSheetId="0">#REF!</definedName>
    <definedName name="ProduksiTRWIII">#REF!</definedName>
    <definedName name="ProduksiTRWIV" localSheetId="0">#REF!</definedName>
    <definedName name="ProduksiTRWIV">#REF!</definedName>
    <definedName name="ProgGISBln">'[35]AHS - Personel'!$F$11</definedName>
    <definedName name="ProgGISHari">'[35]AHS - Personel'!$G$11</definedName>
    <definedName name="PROJECT" localSheetId="0">#REF!</definedName>
    <definedName name="PROJECT">#REF!</definedName>
    <definedName name="PROYEK" localSheetId="0">#REF!</definedName>
    <definedName name="PROYEK">#REF!</definedName>
    <definedName name="PRR">[136]TDL2001!$A$63:$S$122</definedName>
    <definedName name="pryg">[22]Pry!$BE$4:$CF$121</definedName>
    <definedName name="PSGI" localSheetId="0" hidden="1">{#N/A,#N/A,FALSE,"M.43"}</definedName>
    <definedName name="PSGI" hidden="1">{#N/A,#N/A,FALSE,"M.43"}</definedName>
    <definedName name="PSO" localSheetId="0" hidden="1">{#N/A,#N/A,FALSE,"M.33"}</definedName>
    <definedName name="PSO" hidden="1">{#N/A,#N/A,FALSE,"M.33"}</definedName>
    <definedName name="PSP" localSheetId="0">#REF!</definedName>
    <definedName name="PSP">#REF!</definedName>
    <definedName name="psp_5" localSheetId="0">#REF!</definedName>
    <definedName name="psp_5">#REF!</definedName>
    <definedName name="PSPP" localSheetId="0">#REF!</definedName>
    <definedName name="PSPP">#REF!</definedName>
    <definedName name="pspp_5" localSheetId="0">#REF!</definedName>
    <definedName name="pspp_5">#REF!</definedName>
    <definedName name="PSRpst" localSheetId="0" hidden="1">{#N/A,#N/A,FALSE,"M.31"}</definedName>
    <definedName name="PSRpst" hidden="1">{#N/A,#N/A,FALSE,"M.31"}</definedName>
    <definedName name="psu" localSheetId="0">#REF!</definedName>
    <definedName name="psu">#REF!</definedName>
    <definedName name="PT.__PLN___PERSERO___WILAYAH__IV" localSheetId="0">#REF!</definedName>
    <definedName name="PT.__PLN___PERSERO___WILAYAH__IV">#REF!</definedName>
    <definedName name="PT.PLN__PERSERO" localSheetId="0">#REF!</definedName>
    <definedName name="PT.PLN__PERSERO">#REF!</definedName>
    <definedName name="pt150kv">'[16]HARGA SATUAN'!$B$28</definedName>
    <definedName name="PTKU" localSheetId="0">#REF!</definedName>
    <definedName name="PTKU">#REF!</definedName>
    <definedName name="PTNC">'[4]DON GIA'!$G$227</definedName>
    <definedName name="PU" localSheetId="0">#REF!</definedName>
    <definedName name="PU">#REF!</definedName>
    <definedName name="pusat" localSheetId="0" hidden="1">{#N/A,#N/A,FALSE,"M.34"}</definedName>
    <definedName name="pusat" hidden="1">{#N/A,#N/A,FALSE,"M.34"}</definedName>
    <definedName name="PUSAT_ANGGARAN_SATUAN_ADMINISTRASI___CABANG_PALEMBANG" localSheetId="0">#REF!</definedName>
    <definedName name="PUSAT_ANGGARAN_SATUAN_ADMINISTRASI___CABANG_PALEMBANG">#REF!</definedName>
    <definedName name="PUTUSSIBAU">#N/A</definedName>
    <definedName name="Q" localSheetId="0">#REF!</definedName>
    <definedName name="Q">#REF!</definedName>
    <definedName name="qa" localSheetId="0">#REF!</definedName>
    <definedName name="qa">#REF!</definedName>
    <definedName name="QEQEQ" localSheetId="0" hidden="1">{#N/A,#N/A,FALSE,"M.32"}</definedName>
    <definedName name="QEQEQ" hidden="1">{#N/A,#N/A,FALSE,"M.32"}</definedName>
    <definedName name="qqq" localSheetId="0" hidden="1">{#N/A,#N/A,FALSE,"M.42"}</definedName>
    <definedName name="qqq" hidden="1">{#N/A,#N/A,FALSE,"M.42"}</definedName>
    <definedName name="QQQQ" localSheetId="0" hidden="1">{#N/A,#N/A,FALSE,"M.02"}</definedName>
    <definedName name="QQQQ" hidden="1">{#N/A,#N/A,FALSE,"M.02"}</definedName>
    <definedName name="QQQQQ" localSheetId="0" hidden="1">{#N/A,#N/A,FALSE,"M.32"}</definedName>
    <definedName name="QQQQQ" hidden="1">{#N/A,#N/A,FALSE,"M.32"}</definedName>
    <definedName name="qqqqqq" localSheetId="0" hidden="1">{#N/A,#N/A,FALSE,"M.43"}</definedName>
    <definedName name="qqqqqq" hidden="1">{#N/A,#N/A,FALSE,"M.43"}</definedName>
    <definedName name="qqqw" localSheetId="0" hidden="1">{#N/A,#N/A,FALSE,"M.01";#N/A,#N/A,FALSE,"M.01"}</definedName>
    <definedName name="qqqw" hidden="1">{#N/A,#N/A,FALSE,"M.01";#N/A,#N/A,FALSE,"M.01"}</definedName>
    <definedName name="qqwwe" localSheetId="0" hidden="1">{#N/A,#N/A,FALSE,"M.32"}</definedName>
    <definedName name="qqwwe" hidden="1">{#N/A,#N/A,FALSE,"M.32"}</definedName>
    <definedName name="QRYTRY" localSheetId="0">#REF!</definedName>
    <definedName name="QRYTRY">#REF!</definedName>
    <definedName name="QSQQE" localSheetId="0" hidden="1">{#N/A,#N/A,FALSE,"M.01";#N/A,#N/A,FALSE,"M.01"}</definedName>
    <definedName name="QSQQE" hidden="1">{#N/A,#N/A,FALSE,"M.01";#N/A,#N/A,FALSE,"M.01"}</definedName>
    <definedName name="QW">'[120]Material Distribusi'!$F$5:$F$7</definedName>
    <definedName name="qwer" localSheetId="0" hidden="1">{#N/A,#N/A,FALSE,"M.41"}</definedName>
    <definedName name="qwer" hidden="1">{#N/A,#N/A,FALSE,"M.41"}</definedName>
    <definedName name="QWQEQ" localSheetId="0" hidden="1">{#N/A,#N/A,FALSE,"M.31"}</definedName>
    <definedName name="QWQEQ" hidden="1">{#N/A,#N/A,FALSE,"M.31"}</definedName>
    <definedName name="ra11p" localSheetId="0">#REF!</definedName>
    <definedName name="ra11p">#REF!</definedName>
    <definedName name="ra13p" localSheetId="0">#REF!</definedName>
    <definedName name="ra13p">#REF!</definedName>
    <definedName name="rab" localSheetId="0">#REF!</definedName>
    <definedName name="rab">#REF!</definedName>
    <definedName name="RAB_SAP1">[119]RAB!$C$16:$C$36</definedName>
    <definedName name="rack1" localSheetId="0">'[4]THPDMoi  (2)'!#REF!</definedName>
    <definedName name="rack1">'[4]THPDMoi  (2)'!#REF!</definedName>
    <definedName name="rack2" localSheetId="0">'[4]THPDMoi  (2)'!#REF!</definedName>
    <definedName name="rack2">'[4]THPDMoi  (2)'!#REF!</definedName>
    <definedName name="rack3" localSheetId="0">'[4]THPDMoi  (2)'!#REF!</definedName>
    <definedName name="rack3">'[4]THPDMoi  (2)'!#REF!</definedName>
    <definedName name="rack4" localSheetId="0">'[4]THPDMoi  (2)'!#REF!</definedName>
    <definedName name="rack4">'[4]THPDMoi  (2)'!#REF!</definedName>
    <definedName name="rahman" localSheetId="0" hidden="1">{#N/A,#N/A,FALSE,"M.02"}</definedName>
    <definedName name="rahman" hidden="1">{#N/A,#N/A,FALSE,"M.02"}</definedName>
    <definedName name="Raker" localSheetId="0">'[137]W-NAD'!#REF!</definedName>
    <definedName name="Raker">'[137]W-NAD'!#REF!</definedName>
    <definedName name="ram" localSheetId="0">#REF!</definedName>
    <definedName name="ram">#REF!</definedName>
    <definedName name="RANGE" localSheetId="0">#REF!</definedName>
    <definedName name="RANGE">#REF!</definedName>
    <definedName name="RANTAU" localSheetId="0">#REF!</definedName>
    <definedName name="RANTAU">#REF!</definedName>
    <definedName name="Ranting" localSheetId="0">[138]Cover!#REF!</definedName>
    <definedName name="Ranting">[138]Cover!#REF!</definedName>
    <definedName name="RAO" localSheetId="0">#REF!</definedName>
    <definedName name="RAO">#REF!</definedName>
    <definedName name="RAP" localSheetId="0">#REF!</definedName>
    <definedName name="RAP">#REF!</definedName>
    <definedName name="rap_5" localSheetId="0">#REF!</definedName>
    <definedName name="rap_5">#REF!</definedName>
    <definedName name="RAPP" localSheetId="0">#REF!</definedName>
    <definedName name="RAPP">#REF!</definedName>
    <definedName name="rapp_5" localSheetId="0">#REF!</definedName>
    <definedName name="rapp_5">#REF!</definedName>
    <definedName name="RBLK">[22]blk!$A$2:$BC$46</definedName>
    <definedName name="RCArea" localSheetId="0" hidden="1">#REF!</definedName>
    <definedName name="RCArea" hidden="1">#REF!</definedName>
    <definedName name="rdgw" localSheetId="0">#REF!</definedName>
    <definedName name="rdgw">#REF!</definedName>
    <definedName name="RE" localSheetId="0" hidden="1">{#N/A,#N/A,FALSE,"M.01"}</definedName>
    <definedName name="RE" hidden="1">{#N/A,#N/A,FALSE,"M.01"}</definedName>
    <definedName name="realisasi_table" localSheetId="0">#REF!</definedName>
    <definedName name="realisasi_table">#REF!</definedName>
    <definedName name="REAO2007" localSheetId="0" hidden="1">{#N/A,#N/A,FALSE,"M.31"}</definedName>
    <definedName name="REAO2007" hidden="1">{#N/A,#N/A,FALSE,"M.31"}</definedName>
    <definedName name="REAO207" localSheetId="0" hidden="1">{#N/A,#N/A,FALSE,"M.32"}</definedName>
    <definedName name="REAO207" hidden="1">{#N/A,#N/A,FALSE,"M.32"}</definedName>
    <definedName name="Rectifier80">'[16]HARGA SATUAN'!$B$14</definedName>
    <definedName name="rehab" localSheetId="0">#REF!</definedName>
    <definedName name="rehab">#REF!</definedName>
    <definedName name="REK" localSheetId="0">#REF!</definedName>
    <definedName name="REK">#REF!</definedName>
    <definedName name="REKAP" localSheetId="0">#REF!</definedName>
    <definedName name="REKAP">#REF!</definedName>
    <definedName name="rekap_kit">[139]terima!$B$2:$R$401</definedName>
    <definedName name="Rekapitulasi" localSheetId="0">#REF!</definedName>
    <definedName name="Rekapitulasi">#REF!</definedName>
    <definedName name="Rekapitulasi_Kirim">[99]Transfer!$A$59:$AD$100</definedName>
    <definedName name="Rekapitulasi_Penjualan">[99]Penjualan!$A$8:$AB$37</definedName>
    <definedName name="Rekapitulasi_Produksi_Sendiri">[99]ProdSendiri!$A$85:$AG$114</definedName>
    <definedName name="Rekapitulasi_PS_GD">'[99]PS&amp;Susut TL'!$A$72:$AB$101</definedName>
    <definedName name="Rekapitulasi_PS_GI">'[99]PS&amp;Susut TL'!$A$40:$AB$69</definedName>
    <definedName name="Rekapitulasi_PS_Sentral">'[99]PS&amp;Susut TL'!$A$8:$AB$37</definedName>
    <definedName name="Rekapitulasi_Susut_Transmisi">'[99]PS&amp;Susut TL'!$A$104:$AB$133</definedName>
    <definedName name="Rekapitulasi_Terima">[99]Transfer!$A$142:$AD$183</definedName>
    <definedName name="RekapitulasiSewa">[99]SewaBeli!$A$74:$AF$103</definedName>
    <definedName name="REKAPKPS" localSheetId="0">[140]beban!#REF!</definedName>
    <definedName name="REKAPKPS">[140]beban!#REF!</definedName>
    <definedName name="Rekening">[141]GRD!$B$6:$E$5996</definedName>
    <definedName name="Rekening1">[141]GRD!$C$6:$C$7357</definedName>
    <definedName name="REKTRWS3" localSheetId="0">#REF!</definedName>
    <definedName name="REKTRWS3">#REF!</definedName>
    <definedName name="REKTRWS4" localSheetId="0">#REF!</definedName>
    <definedName name="REKTRWS4">#REF!</definedName>
    <definedName name="RENC" localSheetId="0">'[74]LABA RUGI'!#REF!</definedName>
    <definedName name="RENC">'[74]LABA RUGI'!#REF!</definedName>
    <definedName name="rengat" localSheetId="0">#REF!</definedName>
    <definedName name="rengat">#REF!</definedName>
    <definedName name="RESULT" localSheetId="0">[76]E!#REF!</definedName>
    <definedName name="RESULT">[76]E!#REF!</definedName>
    <definedName name="resume" localSheetId="0">#REF!</definedName>
    <definedName name="resume">#REF!</definedName>
    <definedName name="revenues" localSheetId="0">#REF!</definedName>
    <definedName name="revenues">#REF!</definedName>
    <definedName name="revenues_nontax" localSheetId="0">#REF!</definedName>
    <definedName name="revenues_nontax">#REF!</definedName>
    <definedName name="revenues_tax" localSheetId="0">#REF!</definedName>
    <definedName name="revenues_tax">#REF!</definedName>
    <definedName name="RGABUNG" localSheetId="0">#REF!</definedName>
    <definedName name="RGABUNG">#REF!</definedName>
    <definedName name="RIAU" localSheetId="0">'[90]Kontrak vs Realisasi Gas'!#REF!</definedName>
    <definedName name="RIAU">'[90]Kontrak vs Realisasi Gas'!#REF!</definedName>
    <definedName name="RINCIAN__TAMBAHAN__AT__TRIWULAN__I" localSheetId="0">#REF!</definedName>
    <definedName name="RINCIAN__TAMBAHAN__AT__TRIWULAN__I">#REF!</definedName>
    <definedName name="RINCIAN_PEMBAYARAN" localSheetId="0">#REF!</definedName>
    <definedName name="RINCIAN_PEMBAYARAN">#REF!</definedName>
    <definedName name="RingkasanPokok" localSheetId="0">#REF!</definedName>
    <definedName name="RingkasanPokok">#REF!</definedName>
    <definedName name="RINI">[142]KUMULATIP!$A$2:$J$72</definedName>
    <definedName name="ripel">'[16]HARGA SATUAN'!$B$43</definedName>
    <definedName name="RK" localSheetId="0" hidden="1">{#N/A,#N/A,FALSE,"M.42"}</definedName>
    <definedName name="RK" hidden="1">{#N/A,#N/A,FALSE,"M.42"}</definedName>
    <definedName name="RKPG">[22]Kpg!$A$1:$BC$46</definedName>
    <definedName name="RKRN">[22]Krn!$A$2:$BC$46</definedName>
    <definedName name="RKSG">[22]Ksg!$A$2:$BC$46</definedName>
    <definedName name="RKUP" localSheetId="0">#REF!</definedName>
    <definedName name="RKUP">#REF!</definedName>
    <definedName name="RKWP" localSheetId="0">#REF!</definedName>
    <definedName name="RKWP">#REF!</definedName>
    <definedName name="RMS" localSheetId="0" hidden="1">{#N/A,#N/A,FALSE,"M.42"}</definedName>
    <definedName name="RMS" hidden="1">{#N/A,#N/A,FALSE,"M.42"}</definedName>
    <definedName name="RMURNI" localSheetId="0">#REF!</definedName>
    <definedName name="RMURNI">#REF!</definedName>
    <definedName name="ROMI" localSheetId="0">#REF!</definedName>
    <definedName name="ROMI">#REF!</definedName>
    <definedName name="ROTASI" localSheetId="0">#REF!</definedName>
    <definedName name="ROTASI">#REF!</definedName>
    <definedName name="Rounded">'[58]Calc Inst'!$AJ$42</definedName>
    <definedName name="RP08_1" localSheetId="0">#REF!</definedName>
    <definedName name="RP08_1">#REF!</definedName>
    <definedName name="RP143OKE" localSheetId="0">#REF!</definedName>
    <definedName name="RP143OKE">#REF!</definedName>
    <definedName name="RPBN">[22]Pbn!$A$1:$BC$46</definedName>
    <definedName name="RPD" localSheetId="0">#REF!</definedName>
    <definedName name="RPD">#REF!</definedName>
    <definedName name="RPRP" localSheetId="0">#REF!</definedName>
    <definedName name="RPRP">#REF!</definedName>
    <definedName name="RPRY">[22]Pry!$A$1:$BC$47</definedName>
    <definedName name="rr" localSheetId="0">#REF!</definedName>
    <definedName name="rr">#REF!</definedName>
    <definedName name="rrr" localSheetId="0" hidden="1">'[143]Sudah Berjalan'!#REF!</definedName>
    <definedName name="rrr" hidden="1">'[143]Sudah Berjalan'!#REF!</definedName>
    <definedName name="RSKM">[22]skm!$A$2:$BC$46</definedName>
    <definedName name="RSPT">[22]Spt!$A$1:$BC$47</definedName>
    <definedName name="RT" localSheetId="0">#REF!</definedName>
    <definedName name="RT">#REF!</definedName>
    <definedName name="RT3KIT">#N/A</definedName>
    <definedName name="RTEYTRY" localSheetId="0" hidden="1">{#N/A,#N/A,FALSE,"M.32"}</definedName>
    <definedName name="RTEYTRY" hidden="1">{#N/A,#N/A,FALSE,"M.32"}</definedName>
    <definedName name="rtn">'[16]HARGA SATUAN'!$B$44</definedName>
    <definedName name="RTS" localSheetId="0">#REF!</definedName>
    <definedName name="RTS">#REF!</definedName>
    <definedName name="RTYHRTY" localSheetId="0">#REF!</definedName>
    <definedName name="RTYHRTY">#REF!</definedName>
    <definedName name="RUMUS">#N/A</definedName>
    <definedName name="rumus1">'[3]DATA-BASE SUTT'!$V$11:$V$383</definedName>
    <definedName name="RUP" localSheetId="0">#REF!</definedName>
    <definedName name="RUP">#REF!</definedName>
    <definedName name="RUPPRY">[54]UPpry!$A$2:$BC$46</definedName>
    <definedName name="RUSDI" localSheetId="0">#REF!</definedName>
    <definedName name="RUSDI">#REF!</definedName>
    <definedName name="rutin2" localSheetId="0">#REF!</definedName>
    <definedName name="rutin2">#REF!</definedName>
    <definedName name="RWP" localSheetId="0">#REF!</definedName>
    <definedName name="RWP">#REF!</definedName>
    <definedName name="s" localSheetId="0">[103]BA1!#REF!</definedName>
    <definedName name="s">[103]BA1!#REF!</definedName>
    <definedName name="S_1___220_VA" localSheetId="0">#REF!</definedName>
    <definedName name="S_1___220_VA">#REF!</definedName>
    <definedName name="S_1_220_VA" localSheetId="0">#REF!</definedName>
    <definedName name="S_1_220_VA">#REF!</definedName>
    <definedName name="sa" localSheetId="0">#REF!</definedName>
    <definedName name="sa">#REF!</definedName>
    <definedName name="sad" localSheetId="0" hidden="1">{#N/A,#N/A,FALSE,"M.34"}</definedName>
    <definedName name="sad" hidden="1">{#N/A,#N/A,FALSE,"M.34"}</definedName>
    <definedName name="safsdggjyfkf" localSheetId="0" hidden="1">{#N/A,#N/A,FALSE,"M.02"}</definedName>
    <definedName name="safsdggjyfkf" hidden="1">{#N/A,#N/A,FALSE,"M.02"}</definedName>
    <definedName name="SALAH" localSheetId="0" hidden="1">{#N/A,#N/A,FALSE,"M.01";#N/A,#N/A,FALSE,"M.01"}</definedName>
    <definedName name="SALAH" hidden="1">{#N/A,#N/A,FALSE,"M.01";#N/A,#N/A,FALSE,"M.01"}</definedName>
    <definedName name="SaldoAwal" localSheetId="0">#REF!</definedName>
    <definedName name="SaldoAwal">#REF!</definedName>
    <definedName name="SAMBAS">#N/A</definedName>
    <definedName name="SANGGAU">#N/A</definedName>
    <definedName name="SAPBEXwbID" hidden="1">"41NCAAE5PJZ8D7N0HEXL0B90R"</definedName>
    <definedName name="saro" localSheetId="0" hidden="1">{#N/A,#N/A,FALSE,"M.31"}</definedName>
    <definedName name="saro" hidden="1">{#N/A,#N/A,FALSE,"M.31"}</definedName>
    <definedName name="SARPOKPLG" localSheetId="0" hidden="1">{#N/A,#N/A,FALSE,"M.01";#N/A,#N/A,FALSE,"M.01"}</definedName>
    <definedName name="SARPOKPLG" hidden="1">{#N/A,#N/A,FALSE,"M.01";#N/A,#N/A,FALSE,"M.01"}</definedName>
    <definedName name="SASA" localSheetId="0" hidden="1">{#N/A,#N/A,FALSE,"M.32"}</definedName>
    <definedName name="SASA" hidden="1">{#N/A,#N/A,FALSE,"M.32"}</definedName>
    <definedName name="SASAS" localSheetId="0" hidden="1">{#N/A,#N/A,FALSE,"M.02"}</definedName>
    <definedName name="SASAS" hidden="1">{#N/A,#N/A,FALSE,"M.02"}</definedName>
    <definedName name="SASASA" localSheetId="0" hidden="1">{#N/A,#N/A,FALSE,"M.02"}</definedName>
    <definedName name="SASASA" hidden="1">{#N/A,#N/A,FALSE,"M.02"}</definedName>
    <definedName name="SASASAS" localSheetId="0" hidden="1">{#N/A,#N/A,FALSE,"M.31"}</definedName>
    <definedName name="SASASAS" hidden="1">{#N/A,#N/A,FALSE,"M.31"}</definedName>
    <definedName name="SATU" localSheetId="0" hidden="1">{#N/A,#N/A,FALSE,"M.42"}</definedName>
    <definedName name="SATU" hidden="1">{#N/A,#N/A,FALSE,"M.42"}</definedName>
    <definedName name="SATUAN">'[144]Laba Rugi'!$G$27</definedName>
    <definedName name="saul" localSheetId="0" hidden="1">{#N/A,#N/A,FALSE,"M.34"}</definedName>
    <definedName name="saul" hidden="1">{#N/A,#N/A,FALSE,"M.34"}</definedName>
    <definedName name="SBA" localSheetId="0">#REF!</definedName>
    <definedName name="SBA">#REF!</definedName>
    <definedName name="sbak1a" localSheetId="0">'[145]L-R'!#REF!</definedName>
    <definedName name="sbak1a">'[145]L-R'!#REF!</definedName>
    <definedName name="sbak1b" localSheetId="0">'[145]L-R'!#REF!</definedName>
    <definedName name="sbak1b">'[145]L-R'!#REF!</definedName>
    <definedName name="SBBpst" localSheetId="0" hidden="1">{#N/A,#N/A,FALSE,"M.34"}</definedName>
    <definedName name="SBBpst" hidden="1">{#N/A,#N/A,FALSE,"M.34"}</definedName>
    <definedName name="SBG" localSheetId="0">#REF!</definedName>
    <definedName name="SBG">#REF!</definedName>
    <definedName name="sbg_5" localSheetId="0">#REF!</definedName>
    <definedName name="sbg_5">#REF!</definedName>
    <definedName name="SBGP" localSheetId="0">#REF!</definedName>
    <definedName name="SBGP">#REF!</definedName>
    <definedName name="sbgp_5" localSheetId="0">#REF!</definedName>
    <definedName name="sbgp_5">#REF!</definedName>
    <definedName name="SBL" localSheetId="0">#REF!</definedName>
    <definedName name="SBL">#REF!</definedName>
    <definedName name="sblw" localSheetId="0" hidden="1">{#N/A,#N/A,FALSE,"M.02"}</definedName>
    <definedName name="sblw" hidden="1">{#N/A,#N/A,FALSE,"M.02"}</definedName>
    <definedName name="SCC" localSheetId="0">#REF!</definedName>
    <definedName name="SCC">#REF!</definedName>
    <definedName name="SD" localSheetId="0">#REF!</definedName>
    <definedName name="SD">#REF!</definedName>
    <definedName name="sd3p" localSheetId="0">'[4]lam-moi'!#REF!</definedName>
    <definedName name="sd3p">'[4]lam-moi'!#REF!</definedName>
    <definedName name="SDBULAN" localSheetId="0">#REF!</definedName>
    <definedName name="SDBULAN">#REF!</definedName>
    <definedName name="sdd" localSheetId="0" hidden="1">{#N/A,#N/A,FALSE,"M.01";#N/A,#N/A,FALSE,"M.01"}</definedName>
    <definedName name="sdd" hidden="1">{#N/A,#N/A,FALSE,"M.01";#N/A,#N/A,FALSE,"M.01"}</definedName>
    <definedName name="sddwsds" localSheetId="0" hidden="1">{#N/A,#N/A,FALSE,"M.01";#N/A,#N/A,FALSE,"M.01"}</definedName>
    <definedName name="sddwsds" hidden="1">{#N/A,#N/A,FALSE,"M.01";#N/A,#N/A,FALSE,"M.01"}</definedName>
    <definedName name="sdfgshsvjbbjjd" localSheetId="0" hidden="1">{#N/A,#N/A,FALSE,"M.32"}</definedName>
    <definedName name="sdfgshsvjbbjjd" hidden="1">{#N/A,#N/A,FALSE,"M.32"}</definedName>
    <definedName name="sdini" localSheetId="0">#REF!</definedName>
    <definedName name="sdini">#REF!</definedName>
    <definedName name="sdlalu" localSheetId="0">#REF!</definedName>
    <definedName name="sdlalu">#REF!</definedName>
    <definedName name="SDMONG" localSheetId="0">#REF!</definedName>
    <definedName name="SDMONG">#REF!</definedName>
    <definedName name="se" localSheetId="0">#REF!</definedName>
    <definedName name="se">#REF!</definedName>
    <definedName name="SEJUTA" localSheetId="0">#REF!</definedName>
    <definedName name="SEJUTA">#REF!</definedName>
    <definedName name="sek">[11]REKAP!$H$29</definedName>
    <definedName name="SEKADAU">#N/A</definedName>
    <definedName name="SEKAT" localSheetId="0">#REF!</definedName>
    <definedName name="SEKAT">#REF!</definedName>
    <definedName name="selisih" localSheetId="0">#REF!</definedName>
    <definedName name="selisih">#REF!</definedName>
    <definedName name="SEMITAU">#N/A</definedName>
    <definedName name="SENTEBANG">#N/A</definedName>
    <definedName name="sentra">[146]Sentra!$C$13:$D$84</definedName>
    <definedName name="Sentra1">[147]Sentra!$C$13:$D$84</definedName>
    <definedName name="sep" localSheetId="0">#REF!</definedName>
    <definedName name="sep">#REF!</definedName>
    <definedName name="SEPT">#N/A</definedName>
    <definedName name="septik.t" localSheetId="0">#REF!</definedName>
    <definedName name="septik.t">#REF!</definedName>
    <definedName name="seratus" localSheetId="0">#REF!</definedName>
    <definedName name="seratus">#REF!</definedName>
    <definedName name="seribu" localSheetId="0">#REF!</definedName>
    <definedName name="seribu">#REF!</definedName>
    <definedName name="Set_Bulan">[148]Sheet1!$B$2</definedName>
    <definedName name="SewaDisTRWI" localSheetId="0">#REF!</definedName>
    <definedName name="SewaDisTRWI">#REF!</definedName>
    <definedName name="SewaDisTRWII" localSheetId="0">#REF!</definedName>
    <definedName name="SewaDisTRWII">#REF!</definedName>
    <definedName name="SewaDisTRWIII" localSheetId="0">#REF!</definedName>
    <definedName name="SewaDisTRWIII">#REF!</definedName>
    <definedName name="SewaDisTRWIV" localSheetId="0">#REF!</definedName>
    <definedName name="SewaDisTRWIV">#REF!</definedName>
    <definedName name="SewaKomHari">'[35]AHS - Non Personel'!$D$15</definedName>
    <definedName name="SewaLaptopBln">'[35]AHS - Non Personel'!$D$12</definedName>
    <definedName name="SewaMobil">'[35]AHS - Non Personel'!$D$8</definedName>
    <definedName name="SewaMotorBln">'[35]AHS - Non Personel'!$D$10</definedName>
    <definedName name="SewaMotorHari">'[35]AHS - Non Personel'!$D$11</definedName>
    <definedName name="sFXA" localSheetId="0" hidden="1">{#N/A,#N/A,FALSE,"M.31"}</definedName>
    <definedName name="sFXA" hidden="1">{#N/A,#N/A,FALSE,"M.31"}</definedName>
    <definedName name="SGF" localSheetId="0">#REF!</definedName>
    <definedName name="SGF">#REF!</definedName>
    <definedName name="sgi" localSheetId="0" hidden="1">{#N/A,#N/A,FALSE,"M.01"}</definedName>
    <definedName name="sgi" hidden="1">{#N/A,#N/A,FALSE,"M.01"}</definedName>
    <definedName name="sgnc" localSheetId="0">[4]gtrinh!#REF!</definedName>
    <definedName name="sgnc">[4]gtrinh!#REF!</definedName>
    <definedName name="sgvl" localSheetId="0">[4]gtrinh!#REF!</definedName>
    <definedName name="sgvl">[4]gtrinh!#REF!</definedName>
    <definedName name="SHEET1" localSheetId="0">#REF!</definedName>
    <definedName name="SHEET1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t" localSheetId="0">'[4]THPDMoi  (2)'!#REF!</definedName>
    <definedName name="sht">'[4]THPDMoi  (2)'!#REF!</definedName>
    <definedName name="sht3p" localSheetId="0">'[4]lam-moi'!#REF!</definedName>
    <definedName name="sht3p">'[4]lam-moi'!#REF!</definedName>
    <definedName name="SIANTAR" localSheetId="0">#REF!</definedName>
    <definedName name="SIANTAR">#REF!</definedName>
    <definedName name="SIANTARDDD" localSheetId="0">#REF!</definedName>
    <definedName name="SIANTARDDD">#REF!</definedName>
    <definedName name="SIBOLGA" localSheetId="0">#REF!</definedName>
    <definedName name="SIBOLGA">#REF!</definedName>
    <definedName name="SIN" localSheetId="0">[21]prod03!#REF!</definedName>
    <definedName name="SIN">[21]prod03!#REF!</definedName>
    <definedName name="SINCHRON">'[16]HARGA SATUAN'!$B$40</definedName>
    <definedName name="SINTANG">#N/A</definedName>
    <definedName name="sisa" localSheetId="0">#REF!</definedName>
    <definedName name="sisa">#REF!</definedName>
    <definedName name="sisa1" localSheetId="0">#REF!</definedName>
    <definedName name="sisa1">#REF!</definedName>
    <definedName name="sisa2" localSheetId="0">#REF!</definedName>
    <definedName name="sisa2">#REF!</definedName>
    <definedName name="Skedul" localSheetId="0">'[149]Kuantitas &amp; Harga'!#REF!</definedName>
    <definedName name="Skedul">'[149]Kuantitas &amp; Harga'!#REF!</definedName>
    <definedName name="SKKI" localSheetId="0" hidden="1">{#N/A,#N/A,FALSE,"M.01";#N/A,#N/A,FALSE,"M.01"}</definedName>
    <definedName name="SKKI" hidden="1">{#N/A,#N/A,FALSE,"M.01";#N/A,#N/A,FALSE,"M.01"}</definedName>
    <definedName name="SL_CRD" localSheetId="0">#REF!</definedName>
    <definedName name="SL_CRD">#REF!</definedName>
    <definedName name="SL_CRS" localSheetId="0">#REF!</definedName>
    <definedName name="SL_CRS">#REF!</definedName>
    <definedName name="SL_CS" localSheetId="0">#REF!</definedName>
    <definedName name="SL_CS">#REF!</definedName>
    <definedName name="SL_DD" localSheetId="0">#REF!</definedName>
    <definedName name="SL_DD">#REF!</definedName>
    <definedName name="sndsnfmwef" localSheetId="0">#REF!</definedName>
    <definedName name="sndsnfmwef">#REF!</definedName>
    <definedName name="soc3p" localSheetId="0">#REF!</definedName>
    <definedName name="soc3p">#REF!</definedName>
    <definedName name="SORT" localSheetId="0" hidden="1">{#N/A,#N/A,FALSE,"M.33"}</definedName>
    <definedName name="SORT" hidden="1">{#N/A,#N/A,FALSE,"M.33"}</definedName>
    <definedName name="SPD" localSheetId="0">#REF!</definedName>
    <definedName name="SPD">#REF!</definedName>
    <definedName name="SpecialPrice" localSheetId="0" hidden="1">#REF!</definedName>
    <definedName name="SpecialPrice" hidden="1">#REF!</definedName>
    <definedName name="SPK" localSheetId="0">#REF!</definedName>
    <definedName name="SPK">#REF!</definedName>
    <definedName name="spk1p" localSheetId="0">'[4]#REF'!#REF!</definedName>
    <definedName name="spk1p">'[4]#REF'!#REF!</definedName>
    <definedName name="spk3p" localSheetId="0">'[4]lam-moi'!#REF!</definedName>
    <definedName name="spk3p">'[4]lam-moi'!#REF!</definedName>
    <definedName name="SPRP" localSheetId="0">#REF!</definedName>
    <definedName name="SPRP">#REF!</definedName>
    <definedName name="sptg">[22]Spt!$BE$5:$CF$116</definedName>
    <definedName name="SR" localSheetId="0" hidden="1">[36]CiMaPlbStd!#REF!</definedName>
    <definedName name="SR" hidden="1">[36]CiMaPlbStd!#REF!</definedName>
    <definedName name="SRTVRF" localSheetId="0" hidden="1">{#N/A,#N/A,FALSE,"M.01";#N/A,#N/A,FALSE,"M.01"}</definedName>
    <definedName name="SRTVRF" hidden="1">{#N/A,#N/A,FALSE,"M.01";#N/A,#N/A,FALSE,"M.01"}</definedName>
    <definedName name="ss" localSheetId="0" hidden="1">{#N/A,#N/A,FALSE,"M.33"}</definedName>
    <definedName name="ss" hidden="1">{#N/A,#N/A,FALSE,"M.33"}</definedName>
    <definedName name="SSA" localSheetId="0" hidden="1">{#N/A,#N/A,FALSE,"M.43"}</definedName>
    <definedName name="SSA" hidden="1">{#N/A,#N/A,FALSE,"M.43"}</definedName>
    <definedName name="SSASA" localSheetId="0" hidden="1">{#N/A,#N/A,FALSE,"M.32"}</definedName>
    <definedName name="SSASA" hidden="1">{#N/A,#N/A,FALSE,"M.32"}</definedName>
    <definedName name="ssddd" localSheetId="0">#REF!</definedName>
    <definedName name="ssddd">#REF!</definedName>
    <definedName name="sses" localSheetId="0" hidden="1">{#N/A,#N/A,FALSE,"M.02"}</definedName>
    <definedName name="sses" hidden="1">{#N/A,#N/A,FALSE,"M.02"}</definedName>
    <definedName name="SSS" localSheetId="0" hidden="1">{#N/A,#N/A,FALSE,"M.02"}</definedName>
    <definedName name="SSS" hidden="1">{#N/A,#N/A,FALSE,"M.02"}</definedName>
    <definedName name="SSSSS" localSheetId="0" hidden="1">{#N/A,#N/A,FALSE,"M.02"}</definedName>
    <definedName name="SSSSS" hidden="1">{#N/A,#N/A,FALSE,"M.02"}</definedName>
    <definedName name="SSSSSASAS" localSheetId="0" hidden="1">{#N/A,#N/A,FALSE,"M.01"}</definedName>
    <definedName name="SSSSSASAS" hidden="1">{#N/A,#N/A,FALSE,"M.01"}</definedName>
    <definedName name="st3p" localSheetId="0">'[4]lam-moi'!#REF!</definedName>
    <definedName name="st3p">'[4]lam-moi'!#REF!</definedName>
    <definedName name="star" localSheetId="0">#REF!</definedName>
    <definedName name="star">#REF!</definedName>
    <definedName name="StartDate" localSheetId="0">'[102]D-2'!#REF!</definedName>
    <definedName name="StartDate">'[102]D-2'!#REF!</definedName>
    <definedName name="State" localSheetId="0">#REF!</definedName>
    <definedName name="State">#REF!</definedName>
    <definedName name="STOP" localSheetId="0">#REF!</definedName>
    <definedName name="STOP">#REF!</definedName>
    <definedName name="stop.kt" localSheetId="0">#REF!</definedName>
    <definedName name="stop.kt">#REF!</definedName>
    <definedName name="STP" localSheetId="0">#REF!</definedName>
    <definedName name="STP">#REF!</definedName>
    <definedName name="STPDari" localSheetId="0">#REF!</definedName>
    <definedName name="STPDari">#REF!</definedName>
    <definedName name="STRUCK_PEMBAYARAN_GAJI" localSheetId="0">#REF!</definedName>
    <definedName name="STRUCK_PEMBAYARAN_GAJI">#REF!</definedName>
    <definedName name="sub" localSheetId="0">#REF!</definedName>
    <definedName name="sub">#REF!</definedName>
    <definedName name="SukuBunga" localSheetId="0">#REF!</definedName>
    <definedName name="SukuBunga">#REF!</definedName>
    <definedName name="SUM" localSheetId="0">[21]prod03!#REF!</definedName>
    <definedName name="SUM">[21]prod03!#REF!</definedName>
    <definedName name="summary" localSheetId="0" hidden="1">{#N/A,#N/A,FALSE,"M.42"}</definedName>
    <definedName name="summary" hidden="1">{#N/A,#N/A,FALSE,"M.42"}</definedName>
    <definedName name="Surveyor_hari">'[35]AHS - Personel'!$G$21</definedName>
    <definedName name="SUS._KELUARGA" localSheetId="0">#REF!</definedName>
    <definedName name="SUS._KELUARGA">#REF!</definedName>
    <definedName name="SUSUT" localSheetId="0" hidden="1">{#N/A,#N/A,FALSE,"M.31"}</definedName>
    <definedName name="SUSUT" hidden="1">{#N/A,#N/A,FALSE,"M.31"}</definedName>
    <definedName name="Susut_Jaringan" localSheetId="0">#REF!</definedName>
    <definedName name="Susut_Jaringan">#REF!</definedName>
    <definedName name="suttapbn1" localSheetId="0">#REF!</definedName>
    <definedName name="suttapbn1">#REF!</definedName>
    <definedName name="suttapbn2" localSheetId="0">#REF!</definedName>
    <definedName name="suttapbn2">#REF!</definedName>
    <definedName name="suttapbn4" localSheetId="0">#REF!</definedName>
    <definedName name="suttapbn4">#REF!</definedName>
    <definedName name="suttapln1" localSheetId="0">#REF!</definedName>
    <definedName name="suttapln1">#REF!</definedName>
    <definedName name="suttapln2" localSheetId="0">#REF!</definedName>
    <definedName name="suttapln2">#REF!</definedName>
    <definedName name="suttapln3" localSheetId="0">#REF!</definedName>
    <definedName name="suttapln3">#REF!</definedName>
    <definedName name="suttapln4" localSheetId="0">#REF!</definedName>
    <definedName name="suttapln4">#REF!</definedName>
    <definedName name="suttsla2" localSheetId="0">#REF!</definedName>
    <definedName name="suttsla2">#REF!</definedName>
    <definedName name="suttsla4" localSheetId="0">#REF!</definedName>
    <definedName name="suttsla4">#REF!</definedName>
    <definedName name="swap" localSheetId="0" hidden="1">{#N/A,#N/A,FALSE,"M.01"}</definedName>
    <definedName name="swap" hidden="1">{#N/A,#N/A,FALSE,"M.01"}</definedName>
    <definedName name="SWD" localSheetId="0" hidden="1">{#N/A,#N/A,FALSE,"M.32"}</definedName>
    <definedName name="SWD" hidden="1">{#N/A,#N/A,FALSE,"M.32"}</definedName>
    <definedName name="T" localSheetId="0">#REF!</definedName>
    <definedName name="T">#REF!</definedName>
    <definedName name="t101p" localSheetId="0">#REF!</definedName>
    <definedName name="t101p">#REF!</definedName>
    <definedName name="t103p" localSheetId="0">#REF!</definedName>
    <definedName name="t103p">#REF!</definedName>
    <definedName name="t105mnc" localSheetId="0">'[4]thao-go'!#REF!</definedName>
    <definedName name="t105mnc">'[4]thao-go'!#REF!</definedName>
    <definedName name="t10m" localSheetId="0">'[4]lam-moi'!#REF!</definedName>
    <definedName name="t10m">'[4]lam-moi'!#REF!</definedName>
    <definedName name="t10nc" localSheetId="0">'[4]lam-moi'!#REF!</definedName>
    <definedName name="t10nc">'[4]lam-moi'!#REF!</definedName>
    <definedName name="t10nc1p" localSheetId="0">#REF!</definedName>
    <definedName name="t10nc1p">#REF!</definedName>
    <definedName name="t10ncm" localSheetId="0">'[4]lam-moi'!#REF!</definedName>
    <definedName name="t10ncm">'[4]lam-moi'!#REF!</definedName>
    <definedName name="t10vl" localSheetId="0">'[4]lam-moi'!#REF!</definedName>
    <definedName name="t10vl">'[4]lam-moi'!#REF!</definedName>
    <definedName name="t10vl1p" localSheetId="0">#REF!</definedName>
    <definedName name="t10vl1p">#REF!</definedName>
    <definedName name="t121p" localSheetId="0">#REF!</definedName>
    <definedName name="t121p">#REF!</definedName>
    <definedName name="t123p" localSheetId="0">#REF!</definedName>
    <definedName name="t123p">#REF!</definedName>
    <definedName name="t12m" localSheetId="0">'[4]lam-moi'!#REF!</definedName>
    <definedName name="t12m">'[4]lam-moi'!#REF!</definedName>
    <definedName name="t12mnc" localSheetId="0">'[4]thao-go'!#REF!</definedName>
    <definedName name="t12mnc">'[4]thao-go'!#REF!</definedName>
    <definedName name="t12nc" localSheetId="0">'[4]lam-moi'!#REF!</definedName>
    <definedName name="t12nc">'[4]lam-moi'!#REF!</definedName>
    <definedName name="t12nc3p">'[4]CHITIET VL-NC'!$G$38</definedName>
    <definedName name="t12ncm" localSheetId="0">'[4]lam-moi'!#REF!</definedName>
    <definedName name="t12ncm">'[4]lam-moi'!#REF!</definedName>
    <definedName name="t12vl" localSheetId="0">'[4]lam-moi'!#REF!</definedName>
    <definedName name="t12vl">'[4]lam-moi'!#REF!</definedName>
    <definedName name="t12vl3p">'[4]CHITIET VL-NC'!$G$34</definedName>
    <definedName name="t141p" localSheetId="0">#REF!</definedName>
    <definedName name="t141p">#REF!</definedName>
    <definedName name="t143p" localSheetId="0">#REF!</definedName>
    <definedName name="t143p">#REF!</definedName>
    <definedName name="t14m" localSheetId="0">'[4]lam-moi'!#REF!</definedName>
    <definedName name="t14m">'[4]lam-moi'!#REF!</definedName>
    <definedName name="t14mnc" localSheetId="0">'[4]thao-go'!#REF!</definedName>
    <definedName name="t14mnc">'[4]thao-go'!#REF!</definedName>
    <definedName name="t14nc" localSheetId="0">'[4]lam-moi'!#REF!</definedName>
    <definedName name="t14nc">'[4]lam-moi'!#REF!</definedName>
    <definedName name="t14nc3p" localSheetId="0">#REF!</definedName>
    <definedName name="t14nc3p">#REF!</definedName>
    <definedName name="t14ncm" localSheetId="0">'[4]lam-moi'!#REF!</definedName>
    <definedName name="t14ncm">'[4]lam-moi'!#REF!</definedName>
    <definedName name="T14vc" localSheetId="0">'[4]CHITIET VL-NC-TT -1p'!#REF!</definedName>
    <definedName name="T14vc">'[4]CHITIET VL-NC-TT -1p'!#REF!</definedName>
    <definedName name="t14vl" localSheetId="0">'[4]lam-moi'!#REF!</definedName>
    <definedName name="t14vl">'[4]lam-moi'!#REF!</definedName>
    <definedName name="t14vl3p" localSheetId="0">#REF!</definedName>
    <definedName name="t14vl3p">#REF!</definedName>
    <definedName name="T203P" localSheetId="0">[4]VC!#REF!</definedName>
    <definedName name="T203P">[4]VC!#REF!</definedName>
    <definedName name="t20m" localSheetId="0">'[4]lam-moi'!#REF!</definedName>
    <definedName name="t20m">'[4]lam-moi'!#REF!</definedName>
    <definedName name="t20ncm" localSheetId="0">'[4]lam-moi'!#REF!</definedName>
    <definedName name="t20ncm">'[4]lam-moi'!#REF!</definedName>
    <definedName name="t7m" localSheetId="0">'[4]THPDMoi  (2)'!#REF!</definedName>
    <definedName name="t7m">'[4]THPDMoi  (2)'!#REF!</definedName>
    <definedName name="t7nc" localSheetId="0">'[4]lam-moi'!#REF!</definedName>
    <definedName name="t7nc">'[4]lam-moi'!#REF!</definedName>
    <definedName name="t7vl" localSheetId="0">'[4]lam-moi'!#REF!</definedName>
    <definedName name="t7vl">'[4]lam-moi'!#REF!</definedName>
    <definedName name="t84mnc" localSheetId="0">'[4]thao-go'!#REF!</definedName>
    <definedName name="t84mnc">'[4]thao-go'!#REF!</definedName>
    <definedName name="t8m" localSheetId="0">'[4]THPDMoi  (2)'!#REF!</definedName>
    <definedName name="t8m">'[4]THPDMoi  (2)'!#REF!</definedName>
    <definedName name="t8nc" localSheetId="0">'[4]lam-moi'!#REF!</definedName>
    <definedName name="t8nc">'[4]lam-moi'!#REF!</definedName>
    <definedName name="t8vl" localSheetId="0">'[4]lam-moi'!#REF!</definedName>
    <definedName name="t8vl">'[4]lam-moi'!#REF!</definedName>
    <definedName name="TA">[109]TRANS!$I$3</definedName>
    <definedName name="taama" localSheetId="0">#REF!</definedName>
    <definedName name="taama">#REF!</definedName>
    <definedName name="Tabel" localSheetId="0">#REF!</definedName>
    <definedName name="Tabel">#REF!</definedName>
    <definedName name="tabel_BUlan" localSheetId="0">#REF!</definedName>
    <definedName name="tabel_BUlan">#REF!</definedName>
    <definedName name="Tabel_Cabang" localSheetId="0">#REF!</definedName>
    <definedName name="Tabel_Cabang">#REF!</definedName>
    <definedName name="Tabel_Wilayah">[150]Sheet1!$E$2</definedName>
    <definedName name="tabel1" localSheetId="0">#REF!</definedName>
    <definedName name="tabel1">#REF!</definedName>
    <definedName name="tabel2" localSheetId="0">#REF!</definedName>
    <definedName name="tabel2">#REF!</definedName>
    <definedName name="tabel3" localSheetId="0">#REF!</definedName>
    <definedName name="tabel3">#REF!</definedName>
    <definedName name="Tabel4" localSheetId="0">#REF!</definedName>
    <definedName name="Tabel4">#REF!</definedName>
    <definedName name="tagihanos" localSheetId="0">#REF!</definedName>
    <definedName name="tagihanos">#REF!</definedName>
    <definedName name="tagjan09">[151]Daftar!$A$8:$AI$411</definedName>
    <definedName name="tah">[109]TRANS!$I$3</definedName>
    <definedName name="TAHUN">[109]TRANS!$I$3</definedName>
    <definedName name="TAHUN__1999" localSheetId="0">#REF!</definedName>
    <definedName name="TAHUN__1999">#REF!</definedName>
    <definedName name="tahun_anggaran">[49]rkap2008!$B$83</definedName>
    <definedName name="TahunR" localSheetId="0">#REF!</definedName>
    <definedName name="TahunR">#REF!</definedName>
    <definedName name="Taklur" hidden="1">'[152]Dasar Pemadaman'!$C$8:$C$234</definedName>
    <definedName name="tama" localSheetId="0" hidden="1">{#N/A,#N/A,FALSE,"M.42"}</definedName>
    <definedName name="tama" hidden="1">{#N/A,#N/A,FALSE,"M.42"}</definedName>
    <definedName name="tambahan_susut" localSheetId="0">#REF!</definedName>
    <definedName name="tambahan_susut">#REF!</definedName>
    <definedName name="TambahAT" localSheetId="0">#REF!</definedName>
    <definedName name="TambahAT">#REF!</definedName>
    <definedName name="tana.u" localSheetId="0">#REF!</definedName>
    <definedName name="tana.u">#REF!</definedName>
    <definedName name="TANGAN" localSheetId="0" hidden="1">{#N/A,#N/A,FALSE,"M.34"}</definedName>
    <definedName name="TANGAN" hidden="1">{#N/A,#N/A,FALSE,"M.34"}</definedName>
    <definedName name="TANPASELISIH" localSheetId="0" hidden="1">{#N/A,#N/A,FALSE,"M.42"}</definedName>
    <definedName name="TANPASELISIH" hidden="1">{#N/A,#N/A,FALSE,"M.42"}</definedName>
    <definedName name="tar" localSheetId="0">#REF!</definedName>
    <definedName name="tar">#REF!</definedName>
    <definedName name="TARGET" localSheetId="0">#REF!</definedName>
    <definedName name="TARGET">#REF!</definedName>
    <definedName name="TARGET_USAHA" localSheetId="0">#REF!</definedName>
    <definedName name="TARGET_USAHA">#REF!</definedName>
    <definedName name="Target06">[54]target!$CM$4:$CS$83</definedName>
    <definedName name="TARGETUPB" localSheetId="0" hidden="1">{#N/A,#N/A,FALSE,"M.01"}</definedName>
    <definedName name="TARGETUPB" hidden="1">{#N/A,#N/A,FALSE,"M.01"}</definedName>
    <definedName name="tarif" localSheetId="0">#REF!</definedName>
    <definedName name="tarif">#REF!</definedName>
    <definedName name="TaxTV">10%</definedName>
    <definedName name="TaxXL">5%</definedName>
    <definedName name="tay" localSheetId="0">#REF!</definedName>
    <definedName name="tay">#REF!</definedName>
    <definedName name="tb" localSheetId="0">#REF!</definedName>
    <definedName name="tb">#REF!</definedName>
    <definedName name="TBasket1Binjai">'[44]FORM A12BJI'!$F$13:$F$56</definedName>
    <definedName name="TBasket1Medan">'[44]FORM A12MED'!$F$12:$F$55</definedName>
    <definedName name="TBasket1Nias">'[44]FORM A12NIA'!$F$14:$F$52</definedName>
    <definedName name="TBasket1Pakam">'[44]FORM A12PKM'!$G$14:$G$23</definedName>
    <definedName name="TBasket1Rantau">'[44]FORM A12RAP'!$F$12:$F$74</definedName>
    <definedName name="TBasket1Siantar">'[44]FORM A12PMS'!$F$16:$F$158</definedName>
    <definedName name="TBasket1Sibolga">'[44]FORM A12SBG'!$F$13:$F$75</definedName>
    <definedName name="TBasket2Binjai">'[44]FORM A12BJI'!$F$63</definedName>
    <definedName name="TBasket2Medan">'[44]FORM A12MED'!$F$63:$F$204</definedName>
    <definedName name="TBasket2Nias">'[44]FORM A12NIA'!$F$60:$F$77</definedName>
    <definedName name="TBasket2Pakam">'[44]FORM A12PKM'!$G$32:$G$38</definedName>
    <definedName name="TBasket2Rantau">'[44]FORM A12RAP'!$F$83:$F$164</definedName>
    <definedName name="TBasket2Siantar">'[44]FORM A12PMS'!$F$167:$F$339</definedName>
    <definedName name="TBasket2Sibolga">'[44]FORM A12SBG'!$F$85:$F$217</definedName>
    <definedName name="TBasket3Binjai">'[44]FORM A12BJI'!$F$65:$F$195</definedName>
    <definedName name="TBasket3Medan">'[44]FORM A12MED'!$F$212:$F$295</definedName>
    <definedName name="TBasket3Nias">'[44]FORM A12NIA'!$F$85:$F$136</definedName>
    <definedName name="TBasket3Pakam">'[44]FORM A12PKM'!$G$46:$G$279</definedName>
    <definedName name="TBasket3Rantau">'[44]FORM A12RAP'!$F$173:$F$302</definedName>
    <definedName name="TBasket3Siantar">'[44]FORM A12PMS'!$F$348:$F$511</definedName>
    <definedName name="TBasket3Sibolga">'[44]FORM A12SBG'!$F$226:$F$355</definedName>
    <definedName name="TBasket4Binjai">'[44]FORM A12BJI'!$F$226:$F$281</definedName>
    <definedName name="TBasket4Medan">'[44]FORM A12MED'!$F$303:$F$339</definedName>
    <definedName name="TBasket4Nias">'[44]FORM A12NIA'!$F$145:$F$185</definedName>
    <definedName name="TBasket4Pakam">'[44]FORM A12PKM'!$G$288:$G$467</definedName>
    <definedName name="TBasket4Rantau">'[44]FORM A12RAP'!$F$310:$F$343</definedName>
    <definedName name="TBasket4Siantar">'[44]FORM A12PMS'!$F$538:$F$660</definedName>
    <definedName name="TBasket4Sibolga">'[44]FORM A12SBG'!$F$364:$F$453</definedName>
    <definedName name="TBasket5Binjai">'[44]FORM A12BJI'!$F$289:$F$337</definedName>
    <definedName name="TBasket5Medan">'[44]FORM A12MED'!$F$347:$F$457</definedName>
    <definedName name="TBasket5Nias">'[44]FORM A12NIA'!$F$194:$F$277</definedName>
    <definedName name="TBasket5Pakam">'[44]FORM A12PKM'!$G$487:$G$631</definedName>
    <definedName name="TBasket5Rantau">'[44]FORM A12RAP'!$F$352:$F$368</definedName>
    <definedName name="TBasket5Siantar">'[44]FORM A12PMS'!$F$669:$F$719</definedName>
    <definedName name="TBasket5Sibolga">'[44]FORM A12SBG'!$F$464:$F$519</definedName>
    <definedName name="tbdd1p" localSheetId="0">'[4]lam-moi'!#REF!</definedName>
    <definedName name="tbdd1p">'[4]lam-moi'!#REF!</definedName>
    <definedName name="tbdd3p" localSheetId="0">'[4]lam-moi'!#REF!</definedName>
    <definedName name="tbdd3p">'[4]lam-moi'!#REF!</definedName>
    <definedName name="tbddsdl" localSheetId="0">'[4]lam-moi'!#REF!</definedName>
    <definedName name="tbddsdl">'[4]lam-moi'!#REF!</definedName>
    <definedName name="TBI" localSheetId="0">'[4]TH XL'!#REF!</definedName>
    <definedName name="TBI">'[4]TH XL'!#REF!</definedName>
    <definedName name="tbl_ProdInfo" localSheetId="0" hidden="1">#REF!</definedName>
    <definedName name="tbl_ProdInfo" hidden="1">#REF!</definedName>
    <definedName name="TBNG" localSheetId="0">'[131]SISTEM SUMBAGSEL'!#REF!</definedName>
    <definedName name="TBNG">'[131]SISTEM SUMBAGSEL'!#REF!</definedName>
    <definedName name="tbtr" localSheetId="0">'[4]TH XL'!#REF!</definedName>
    <definedName name="tbtr">'[4]TH XL'!#REF!</definedName>
    <definedName name="tbtram" localSheetId="0">#REF!</definedName>
    <definedName name="tbtram">#REF!</definedName>
    <definedName name="TC" localSheetId="0">#REF!</definedName>
    <definedName name="TC">#REF!</definedName>
    <definedName name="TC_NHANH1" localSheetId="0">#REF!</definedName>
    <definedName name="TC_NHANH1">#REF!</definedName>
    <definedName name="tcxxnc" localSheetId="0">'[4]thao-go'!#REF!</definedName>
    <definedName name="tcxxnc">'[4]thao-go'!#REF!</definedName>
    <definedName name="td" localSheetId="0">'[4]THPDMoi  (2)'!#REF!</definedName>
    <definedName name="td">'[4]THPDMoi  (2)'!#REF!</definedName>
    <definedName name="td10vl" localSheetId="0">'[4]#REF'!#REF!</definedName>
    <definedName name="td10vl">'[4]#REF'!#REF!</definedName>
    <definedName name="td12nc" localSheetId="0">'[4]#REF'!#REF!</definedName>
    <definedName name="td12nc">'[4]#REF'!#REF!</definedName>
    <definedName name="td1cnc" localSheetId="0">'[4]lam-moi'!#REF!</definedName>
    <definedName name="td1cnc">'[4]lam-moi'!#REF!</definedName>
    <definedName name="td1cvl" localSheetId="0">'[4]lam-moi'!#REF!</definedName>
    <definedName name="td1cvl">'[4]lam-moi'!#REF!</definedName>
    <definedName name="td1p" localSheetId="0">#REF!</definedName>
    <definedName name="td1p">#REF!</definedName>
    <definedName name="TD1pnc" localSheetId="0">'[4]CHITIET VL-NC-TT -1p'!#REF!</definedName>
    <definedName name="TD1pnc">'[4]CHITIET VL-NC-TT -1p'!#REF!</definedName>
    <definedName name="TD1pvl" localSheetId="0">'[4]CHITIET VL-NC-TT -1p'!#REF!</definedName>
    <definedName name="TD1pvl">'[4]CHITIET VL-NC-TT -1p'!#REF!</definedName>
    <definedName name="td3p" localSheetId="0">#REF!</definedName>
    <definedName name="td3p">#REF!</definedName>
    <definedName name="tdc84nc" localSheetId="0">'[4]thao-go'!#REF!</definedName>
    <definedName name="tdc84nc">'[4]thao-go'!#REF!</definedName>
    <definedName name="tdcnc" localSheetId="0">'[4]thao-go'!#REF!</definedName>
    <definedName name="tdcnc">'[4]thao-go'!#REF!</definedName>
    <definedName name="tdgnc" localSheetId="0">'[4]lam-moi'!#REF!</definedName>
    <definedName name="tdgnc">'[4]lam-moi'!#REF!</definedName>
    <definedName name="tdgvl" localSheetId="0">'[4]lam-moi'!#REF!</definedName>
    <definedName name="tdgvl">'[4]lam-moi'!#REF!</definedName>
    <definedName name="tdhtnc" localSheetId="0">'[4]lam-moi'!#REF!</definedName>
    <definedName name="tdhtnc">'[4]lam-moi'!#REF!</definedName>
    <definedName name="tdhtvl" localSheetId="0">'[4]lam-moi'!#REF!</definedName>
    <definedName name="tdhtvl">'[4]lam-moi'!#REF!</definedName>
    <definedName name="tdnc" localSheetId="0">[4]gtrinh!#REF!</definedName>
    <definedName name="tdnc">[4]gtrinh!#REF!</definedName>
    <definedName name="tdnc1p" localSheetId="0">#REF!</definedName>
    <definedName name="tdnc1p">#REF!</definedName>
    <definedName name="tdnc3p">'[4]CHITIET VL-NC'!$G$28</definedName>
    <definedName name="tdt1pnc" localSheetId="0">[4]gtrinh!#REF!</definedName>
    <definedName name="tdt1pnc">[4]gtrinh!#REF!</definedName>
    <definedName name="tdt1pvl" localSheetId="0">[4]gtrinh!#REF!</definedName>
    <definedName name="tdt1pvl">[4]gtrinh!#REF!</definedName>
    <definedName name="tdt2cnc" localSheetId="0">'[4]lam-moi'!#REF!</definedName>
    <definedName name="tdt2cnc">'[4]lam-moi'!#REF!</definedName>
    <definedName name="tdt2cvl" localSheetId="0">[4]chitiet!#REF!</definedName>
    <definedName name="tdt2cvl">[4]chitiet!#REF!</definedName>
    <definedName name="tdtr2cnc" localSheetId="0">#REF!</definedName>
    <definedName name="tdtr2cnc">#REF!</definedName>
    <definedName name="tdtr2cvl" localSheetId="0">#REF!</definedName>
    <definedName name="tdtr2cvl">#REF!</definedName>
    <definedName name="tdtrnc" localSheetId="0">[4]gtrinh!#REF!</definedName>
    <definedName name="tdtrnc">[4]gtrinh!#REF!</definedName>
    <definedName name="tdtrvl" localSheetId="0">[4]gtrinh!#REF!</definedName>
    <definedName name="tdtrvl">[4]gtrinh!#REF!</definedName>
    <definedName name="tdvl" localSheetId="0">[4]gtrinh!#REF!</definedName>
    <definedName name="tdvl">[4]gtrinh!#REF!</definedName>
    <definedName name="tdvl1p" localSheetId="0">#REF!</definedName>
    <definedName name="tdvl1p">#REF!</definedName>
    <definedName name="tdvl3p">'[4]CHITIET VL-NC'!$G$23</definedName>
    <definedName name="TechBulan">'[35]AHS - Personel'!$F$15</definedName>
    <definedName name="TechHari">'[35]AHS - Personel'!$G$15</definedName>
    <definedName name="teer" localSheetId="0">#REF!</definedName>
    <definedName name="teer">#REF!</definedName>
    <definedName name="tegel.PC" localSheetId="0">#REF!</definedName>
    <definedName name="tegel.PC">#REF!</definedName>
    <definedName name="TELKOM" localSheetId="0">#REF!</definedName>
    <definedName name="TELKOM">#REF!</definedName>
    <definedName name="TELKOM_BUNGO" localSheetId="0" hidden="1">[15]PkRp!#REF!</definedName>
    <definedName name="TELKOM_BUNGO" hidden="1">[15]PkRp!#REF!</definedName>
    <definedName name="TERIMA" localSheetId="0">#REF!</definedName>
    <definedName name="TERIMA">#REF!</definedName>
    <definedName name="TERJELEK" localSheetId="0" hidden="1">{#N/A,#N/A,FALSE,"M.32"}</definedName>
    <definedName name="TERJELEK" hidden="1">{#N/A,#N/A,FALSE,"M.32"}</definedName>
    <definedName name="TERJELEK_10" localSheetId="0" hidden="1">{#N/A,#N/A,FALSE,"M.01";#N/A,#N/A,FALSE,"M.01"}</definedName>
    <definedName name="TERJELEK_10" hidden="1">{#N/A,#N/A,FALSE,"M.01";#N/A,#N/A,FALSE,"M.01"}</definedName>
    <definedName name="Terpasang" localSheetId="0">#REF!</definedName>
    <definedName name="Terpasang">#REF!</definedName>
    <definedName name="tes" localSheetId="0">#REF!</definedName>
    <definedName name="tes">#REF!</definedName>
    <definedName name="tesssssss" localSheetId="0" hidden="1">{#N/A,#N/A,FALSE,"M.34"}</definedName>
    <definedName name="tesssssss" hidden="1">{#N/A,#N/A,FALSE,"M.34"}</definedName>
    <definedName name="TESTBAT">'[16]HARGA SATUAN'!$B$20</definedName>
    <definedName name="TesterHari">'[35]AHS - Personel'!$G$14</definedName>
    <definedName name="testrelay">'[7]HARGA SATUAN'!$B$41</definedName>
    <definedName name="TETEN" localSheetId="0">#REF!</definedName>
    <definedName name="TETEN">#REF!</definedName>
    <definedName name="TextRefCopy1">'[153]01 A'!$K$19</definedName>
    <definedName name="TextRefCopyRangeCount" hidden="1">1</definedName>
    <definedName name="TF">'[58]Calc Inst'!$AI$73</definedName>
    <definedName name="tgl" localSheetId="0">#REF!</definedName>
    <definedName name="tgl">#REF!</definedName>
    <definedName name="TGLLAP" localSheetId="0">#REF!</definedName>
    <definedName name="TGLLAP">#REF!</definedName>
    <definedName name="TGLLAP2" localSheetId="0">#REF!</definedName>
    <definedName name="TGLLAP2">#REF!</definedName>
    <definedName name="TGLREKAP" localSheetId="0">#REF!</definedName>
    <definedName name="TGLREKAP">#REF!</definedName>
    <definedName name="TGT" localSheetId="0" hidden="1">{#N/A,#N/A,FALSE,"M.31"}</definedName>
    <definedName name="TGT" hidden="1">{#N/A,#N/A,FALSE,"M.31"}</definedName>
    <definedName name="TH" localSheetId="0">#REF!</definedName>
    <definedName name="TH">#REF!</definedName>
    <definedName name="th3x15" localSheetId="0">[4]giathanh1!#REF!</definedName>
    <definedName name="th3x15">[4]giathanh1!#REF!</definedName>
    <definedName name="ThanhXuan110" localSheetId="0">'[154]KH-Q1,Q2,01'!#REF!</definedName>
    <definedName name="ThanhXuan110">'[154]KH-Q1,Q2,01'!#REF!</definedName>
    <definedName name="THGO1pnc" localSheetId="0">#REF!</definedName>
    <definedName name="THGO1pnc">#REF!</definedName>
    <definedName name="thht" localSheetId="0">#REF!</definedName>
    <definedName name="thht">#REF!</definedName>
    <definedName name="THKP160" localSheetId="0">'[4]dongia (2)'!#REF!</definedName>
    <definedName name="THKP160">'[4]dongia (2)'!#REF!</definedName>
    <definedName name="thkp3" localSheetId="0">#REF!</definedName>
    <definedName name="thkp3">#REF!</definedName>
    <definedName name="THR" localSheetId="0">#REF!</definedName>
    <definedName name="THR">#REF!</definedName>
    <definedName name="thtr15" localSheetId="0">[4]giathanh1!#REF!</definedName>
    <definedName name="thtr15">[4]giathanh1!#REF!</definedName>
    <definedName name="thtt" localSheetId="0">#REF!</definedName>
    <definedName name="thtt">#REF!</definedName>
    <definedName name="Tiepdia">[4]Tiepdia!$A:$IV</definedName>
    <definedName name="Tiket">'[35]AHS - Non Personel'!$D$7</definedName>
    <definedName name="TJHYTJYJKJY" localSheetId="0" hidden="1">{#N/A,#N/A,FALSE,"M.42"}</definedName>
    <definedName name="TJHYTJYJKJY" hidden="1">{#N/A,#N/A,FALSE,"M.42"}</definedName>
    <definedName name="TJK" localSheetId="0">#REF!</definedName>
    <definedName name="TJK">#REF!</definedName>
    <definedName name="TJP" localSheetId="0">#REF!</definedName>
    <definedName name="TJP">#REF!</definedName>
    <definedName name="TJVHFG" localSheetId="0" hidden="1">{#N/A,#N/A,FALSE,"M.42"}</definedName>
    <definedName name="TJVHFG" hidden="1">{#N/A,#N/A,FALSE,"M.42"}</definedName>
    <definedName name="tk.batu" localSheetId="0">#REF!</definedName>
    <definedName name="tk.batu">#REF!</definedName>
    <definedName name="tk.besi" localSheetId="0">#REF!</definedName>
    <definedName name="tk.besi">#REF!</definedName>
    <definedName name="tk.cat" localSheetId="0">#REF!</definedName>
    <definedName name="tk.cat">#REF!</definedName>
    <definedName name="tk.kayu" localSheetId="0">#REF!</definedName>
    <definedName name="tk.kayu">#REF!</definedName>
    <definedName name="TKWH" localSheetId="0">#REF!</definedName>
    <definedName name="TKWH">#REF!</definedName>
    <definedName name="TKWH1" localSheetId="0">#REF!</definedName>
    <definedName name="TKWH1">#REF!</definedName>
    <definedName name="tl.220" localSheetId="0">#REF!</definedName>
    <definedName name="tl.220">#REF!</definedName>
    <definedName name="tl.240" localSheetId="0">#REF!</definedName>
    <definedName name="tl.240">#REF!</definedName>
    <definedName name="TLAC120" localSheetId="0">#REF!</definedName>
    <definedName name="TLAC120">#REF!</definedName>
    <definedName name="TLAC35" localSheetId="0">#REF!</definedName>
    <definedName name="TLAC35">#REF!</definedName>
    <definedName name="TLAC50" localSheetId="0">#REF!</definedName>
    <definedName name="TLAC50">#REF!</definedName>
    <definedName name="TLAC70" localSheetId="0">#REF!</definedName>
    <definedName name="TLAC70">#REF!</definedName>
    <definedName name="TLAC95" localSheetId="0">#REF!</definedName>
    <definedName name="TLAC95">#REF!</definedName>
    <definedName name="tn1pinnc" localSheetId="0">'[4]thao-go'!#REF!</definedName>
    <definedName name="tn1pinnc">'[4]thao-go'!#REF!</definedName>
    <definedName name="tn2mhnnc" localSheetId="0">'[4]thao-go'!#REF!</definedName>
    <definedName name="tn2mhnnc">'[4]thao-go'!#REF!</definedName>
    <definedName name="TNCM" localSheetId="0">'[4]CHITIET VL-NC-TT-3p'!#REF!</definedName>
    <definedName name="TNCM">'[4]CHITIET VL-NC-TT-3p'!#REF!</definedName>
    <definedName name="tnhnnc" localSheetId="0">'[4]thao-go'!#REF!</definedName>
    <definedName name="tnhnnc">'[4]thao-go'!#REF!</definedName>
    <definedName name="tnignc" localSheetId="0">'[4]thao-go'!#REF!</definedName>
    <definedName name="tnignc">'[4]thao-go'!#REF!</definedName>
    <definedName name="tnin190nc" localSheetId="0">'[4]thao-go'!#REF!</definedName>
    <definedName name="tnin190nc">'[4]thao-go'!#REF!</definedName>
    <definedName name="tnlnc" localSheetId="0">'[4]thao-go'!#REF!</definedName>
    <definedName name="tnlnc">'[4]thao-go'!#REF!</definedName>
    <definedName name="tnnnc" localSheetId="0">'[4]thao-go'!#REF!</definedName>
    <definedName name="tnnnc">'[4]thao-go'!#REF!</definedName>
    <definedName name="TOOLS" localSheetId="0">#REF!</definedName>
    <definedName name="TOOLS">#REF!</definedName>
    <definedName name="ToolsMigrasi" localSheetId="0">'[35]Analisa Struktur Data'!#REF!</definedName>
    <definedName name="ToolsMigrasi">'[35]Analisa Struktur Data'!#REF!</definedName>
    <definedName name="TOT" localSheetId="0">#REF!</definedName>
    <definedName name="TOT">#REF!</definedName>
    <definedName name="Total" localSheetId="0">'[102]D-2'!#REF!</definedName>
    <definedName name="Total">'[102]D-2'!#REF!</definedName>
    <definedName name="TotalkVarhEx" localSheetId="0">'[102]D-2'!#REF!</definedName>
    <definedName name="TotalkVarhEx">'[102]D-2'!#REF!</definedName>
    <definedName name="TotalkVarhIm" localSheetId="0">'[102]D-2'!#REF!</definedName>
    <definedName name="TotalkVarhIm">'[102]D-2'!#REF!</definedName>
    <definedName name="TotalkWhEx">[155]Download_Data!$K$1494</definedName>
    <definedName name="TotalkWhIm">[155]Download_Data!$M$1494</definedName>
    <definedName name="TPLG" localSheetId="0">#REF!</definedName>
    <definedName name="TPLG">#REF!</definedName>
    <definedName name="TPLG1" localSheetId="0">#REF!</definedName>
    <definedName name="TPLG1">#REF!</definedName>
    <definedName name="TR15HT" localSheetId="0">'[4]TONGKE-HT'!#REF!</definedName>
    <definedName name="TR15HT">'[4]TONGKE-HT'!#REF!</definedName>
    <definedName name="TR16HT" localSheetId="0">'[4]TONGKE-HT'!#REF!</definedName>
    <definedName name="TR16HT">'[4]TONGKE-HT'!#REF!</definedName>
    <definedName name="TR19HT" localSheetId="0">'[4]TONGKE-HT'!#REF!</definedName>
    <definedName name="TR19HT">'[4]TONGKE-HT'!#REF!</definedName>
    <definedName name="tr1x15" localSheetId="0">[4]giathanh1!#REF!</definedName>
    <definedName name="tr1x15">[4]giathanh1!#REF!</definedName>
    <definedName name="TR20HT" localSheetId="0">'[4]TONGKE-HT'!#REF!</definedName>
    <definedName name="TR20HT">'[4]TONGKE-HT'!#REF!</definedName>
    <definedName name="tr3x100" localSheetId="0">'[4]dongia (2)'!#REF!</definedName>
    <definedName name="tr3x100">'[4]dongia (2)'!#REF!</definedName>
    <definedName name="tram100" localSheetId="0">'[4]dongia (2)'!#REF!</definedName>
    <definedName name="tram100">'[4]dongia (2)'!#REF!</definedName>
    <definedName name="tram1x25" localSheetId="0">'[4]dongia (2)'!#REF!</definedName>
    <definedName name="tram1x25">'[4]dongia (2)'!#REF!</definedName>
    <definedName name="translate" localSheetId="0">#REF!</definedName>
    <definedName name="translate">#REF!</definedName>
    <definedName name="Tren" localSheetId="0" hidden="1">{#N/A,#N/A,FALSE,"M.42"}</definedName>
    <definedName name="Tren" hidden="1">{#N/A,#N/A,FALSE,"M.42"}</definedName>
    <definedName name="TRGT" localSheetId="0">#REF!</definedName>
    <definedName name="TRGT">#REF!</definedName>
    <definedName name="TRP" localSheetId="0">#REF!</definedName>
    <definedName name="TRP">#REF!</definedName>
    <definedName name="tru10mtc" localSheetId="0">'[4]t-h HA THE'!#REF!</definedName>
    <definedName name="tru10mtc">'[4]t-h HA THE'!#REF!</definedName>
    <definedName name="tru8mtc" localSheetId="0">'[4]t-h HA THE'!#REF!</definedName>
    <definedName name="tru8mtc">'[4]t-h HA THE'!#REF!</definedName>
    <definedName name="TRWE" localSheetId="0">#REF!</definedName>
    <definedName name="TRWE">#REF!</definedName>
    <definedName name="tsa" localSheetId="0">#REF!</definedName>
    <definedName name="tsa">#REF!</definedName>
    <definedName name="tt" localSheetId="0">#REF!</definedName>
    <definedName name="tt">#REF!</definedName>
    <definedName name="TT_1P" localSheetId="0">#REF!</definedName>
    <definedName name="TT_1P">#REF!</definedName>
    <definedName name="TT_3p" localSheetId="0">#REF!</definedName>
    <definedName name="TT_3p">#REF!</definedName>
    <definedName name="tt1pnc" localSheetId="0">'[4]lam-moi'!#REF!</definedName>
    <definedName name="tt1pnc">'[4]lam-moi'!#REF!</definedName>
    <definedName name="tt1pvl" localSheetId="0">'[4]lam-moi'!#REF!</definedName>
    <definedName name="tt1pvl">'[4]lam-moi'!#REF!</definedName>
    <definedName name="tt3pnc" localSheetId="0">'[4]lam-moi'!#REF!</definedName>
    <definedName name="tt3pnc">'[4]lam-moi'!#REF!</definedName>
    <definedName name="tt3pvl" localSheetId="0">'[4]lam-moi'!#REF!</definedName>
    <definedName name="tt3pvl">'[4]lam-moi'!#REF!</definedName>
    <definedName name="TTD" localSheetId="0" hidden="1">{#N/A,#N/A,FALSE,"M.43"}</definedName>
    <definedName name="TTD" hidden="1">{#N/A,#N/A,FALSE,"M.43"}</definedName>
    <definedName name="TTDD">[4]TDTKP!$E$44+[4]TDTKP!$F$44+[4]TDTKP!$G$44</definedName>
    <definedName name="TTDD3P" localSheetId="0">[4]TDTKP1!#REF!</definedName>
    <definedName name="TTDD3P">[4]TDTKP1!#REF!</definedName>
    <definedName name="TTDDCT3p" localSheetId="0">[4]TDTKP1!#REF!</definedName>
    <definedName name="TTDDCT3p">[4]TDTKP1!#REF!</definedName>
    <definedName name="TTK3p">'[4]TONGKE3p '!$C$295</definedName>
    <definedName name="TTP" localSheetId="0">#REF!</definedName>
    <definedName name="TTP">#REF!</definedName>
    <definedName name="ttronmk" localSheetId="0">#REF!</definedName>
    <definedName name="ttronmk">#REF!</definedName>
    <definedName name="ttsec1" localSheetId="0">#REF!</definedName>
    <definedName name="ttsec1">#REF!</definedName>
    <definedName name="ttsec2" localSheetId="0">#REF!</definedName>
    <definedName name="ttsec2">#REF!</definedName>
    <definedName name="tu" localSheetId="0">#REF!</definedName>
    <definedName name="tu">#REF!</definedName>
    <definedName name="TUL_TU_RD" localSheetId="0">#REF!</definedName>
    <definedName name="TUL_TU_RD">#REF!</definedName>
    <definedName name="tumbuh" localSheetId="0">#REF!</definedName>
    <definedName name="tumbuh">#REF!</definedName>
    <definedName name="tv75nc" localSheetId="0">#REF!</definedName>
    <definedName name="tv75nc">#REF!</definedName>
    <definedName name="tv75vl" localSheetId="0">#REF!</definedName>
    <definedName name="tv75vl">#REF!</definedName>
    <definedName name="TVA" localSheetId="0">#REF!</definedName>
    <definedName name="TVA">#REF!</definedName>
    <definedName name="TVCRCT" localSheetId="0" hidden="1">{#N/A,#N/A,FALSE,"M.41"}</definedName>
    <definedName name="TVCRCT" hidden="1">{#N/A,#N/A,FALSE,"M.41"}</definedName>
    <definedName name="tws">'[16]HARGA SATUAN'!$B$42</definedName>
    <definedName name="tx1pignc" localSheetId="0">'[4]thao-go'!#REF!</definedName>
    <definedName name="tx1pignc">'[4]thao-go'!#REF!</definedName>
    <definedName name="tx1pindnc" localSheetId="0">'[4]thao-go'!#REF!</definedName>
    <definedName name="tx1pindnc">'[4]thao-go'!#REF!</definedName>
    <definedName name="tx1pingnc" localSheetId="0">'[4]thao-go'!#REF!</definedName>
    <definedName name="tx1pingnc">'[4]thao-go'!#REF!</definedName>
    <definedName name="tx1pintnc" localSheetId="0">'[4]thao-go'!#REF!</definedName>
    <definedName name="tx1pintnc">'[4]thao-go'!#REF!</definedName>
    <definedName name="tx1pitnc" localSheetId="0">'[4]thao-go'!#REF!</definedName>
    <definedName name="tx1pitnc">'[4]thao-go'!#REF!</definedName>
    <definedName name="tx2mhnnc" localSheetId="0">'[4]thao-go'!#REF!</definedName>
    <definedName name="tx2mhnnc">'[4]thao-go'!#REF!</definedName>
    <definedName name="tx2mitnc" localSheetId="0">'[4]thao-go'!#REF!</definedName>
    <definedName name="tx2mitnc">'[4]thao-go'!#REF!</definedName>
    <definedName name="txhnnc" localSheetId="0">'[4]thao-go'!#REF!</definedName>
    <definedName name="txhnnc">'[4]thao-go'!#REF!</definedName>
    <definedName name="txig1nc" localSheetId="0">'[4]thao-go'!#REF!</definedName>
    <definedName name="txig1nc">'[4]thao-go'!#REF!</definedName>
    <definedName name="txin190nc" localSheetId="0">'[4]thao-go'!#REF!</definedName>
    <definedName name="txin190nc">'[4]thao-go'!#REF!</definedName>
    <definedName name="txinnc" localSheetId="0">'[4]thao-go'!#REF!</definedName>
    <definedName name="txinnc">'[4]thao-go'!#REF!</definedName>
    <definedName name="txit1nc" localSheetId="0">'[4]thao-go'!#REF!</definedName>
    <definedName name="txit1nc">'[4]thao-go'!#REF!</definedName>
    <definedName name="TYPE" localSheetId="0">#REF!</definedName>
    <definedName name="TYPE">#REF!</definedName>
    <definedName name="U" localSheetId="0">#REF!</definedName>
    <definedName name="U">#REF!</definedName>
    <definedName name="U4____OPAL" localSheetId="0">#REF!</definedName>
    <definedName name="U4____OPAL">#REF!</definedName>
    <definedName name="udin" localSheetId="0">#REF!</definedName>
    <definedName name="udin">#REF!</definedName>
    <definedName name="ui" localSheetId="0" hidden="1">{#N/A,#N/A,FALSE,"M.41"}</definedName>
    <definedName name="ui" hidden="1">{#N/A,#N/A,FALSE,"M.41"}</definedName>
    <definedName name="ujkmhhgvfcdx" localSheetId="0" hidden="1">{#N/A,#N/A,FALSE,"M.41"}</definedName>
    <definedName name="ujkmhhgvfcdx" hidden="1">{#N/A,#N/A,FALSE,"M.41"}</definedName>
    <definedName name="ujl" localSheetId="0">#REF!</definedName>
    <definedName name="ujl">#REF!</definedName>
    <definedName name="UKA" localSheetId="0" hidden="1">{#N/A,#N/A,FALSE,"M.43"}</definedName>
    <definedName name="UKA" hidden="1">{#N/A,#N/A,FALSE,"M.43"}</definedName>
    <definedName name="ULANG" localSheetId="0">#REF!</definedName>
    <definedName name="ULANG">#REF!</definedName>
    <definedName name="UNIT" localSheetId="0">#REF!</definedName>
    <definedName name="UNIT">#REF!</definedName>
    <definedName name="UNIT_OPR" localSheetId="0" hidden="1">{#N/A,#N/A,FALSE,"M.33"}</definedName>
    <definedName name="UNIT_OPR" hidden="1">{#N/A,#N/A,FALSE,"M.33"}</definedName>
    <definedName name="UNIT_PENGATUR_DISTRIBUSI" localSheetId="0">#REF!</definedName>
    <definedName name="UNIT_PENGATUR_DISTRIBUSI">#REF!</definedName>
    <definedName name="unit1" localSheetId="0" hidden="1">{#N/A,#N/A,FALSE,"M.01"}</definedName>
    <definedName name="unit1" hidden="1">{#N/A,#N/A,FALSE,"M.01"}</definedName>
    <definedName name="UnitAdm">[49]List!$A$2:$A$36</definedName>
    <definedName name="UNITBB" localSheetId="0">#REF!</definedName>
    <definedName name="UNITBB">#REF!</definedName>
    <definedName name="UnitBina">[156]Kamus!$L$1</definedName>
    <definedName name="UNITRH" localSheetId="0">#REF!</definedName>
    <definedName name="UNITRH">#REF!</definedName>
    <definedName name="UNITS">'[66]Harga BBM Indonesia'!$B$6:$D$6</definedName>
    <definedName name="UNITWW" localSheetId="0">#REF!</definedName>
    <definedName name="UNITWW">#REF!</definedName>
    <definedName name="up" localSheetId="0">'[131]SISTEM SUMBAGSEL'!#REF!</definedName>
    <definedName name="up">'[131]SISTEM SUMBAGSEL'!#REF!</definedName>
    <definedName name="UP1_F12Feb" localSheetId="0">[157]FEB!#REF!</definedName>
    <definedName name="UP1_F12Feb">[157]FEB!#REF!</definedName>
    <definedName name="UP1_F12Jan" localSheetId="0">[157]JAN!#REF!</definedName>
    <definedName name="UP1_F12Jan">[157]JAN!#REF!</definedName>
    <definedName name="UP1_F12Mar" localSheetId="0">[157]MAR!#REF!</definedName>
    <definedName name="UP1_F12Mar">[157]MAR!#REF!</definedName>
    <definedName name="UP1_F13Feb" localSheetId="0">[157]FEB!#REF!</definedName>
    <definedName name="UP1_F13Feb">[157]FEB!#REF!</definedName>
    <definedName name="UP1_F13Jan" localSheetId="0">[157]JAN!#REF!</definedName>
    <definedName name="UP1_F13Jan">[157]JAN!#REF!</definedName>
    <definedName name="UP1_F13Mar" localSheetId="0">[157]MAR!#REF!</definedName>
    <definedName name="UP1_F13Mar">[157]MAR!#REF!</definedName>
    <definedName name="UP1_F14Feb" localSheetId="0">[157]FEB!#REF!</definedName>
    <definedName name="UP1_F14Feb">[157]FEB!#REF!</definedName>
    <definedName name="UP1_F14Jan" localSheetId="0">[157]JAN!#REF!</definedName>
    <definedName name="UP1_F14Jan">[157]JAN!#REF!</definedName>
    <definedName name="UP1_F14Mar" localSheetId="0">[157]MAR!#REF!</definedName>
    <definedName name="UP1_F14Mar">[157]MAR!#REF!</definedName>
    <definedName name="Upah">[158]JASA!$B$2:$Z$108</definedName>
    <definedName name="UPB" localSheetId="0" hidden="1">{#N/A,#N/A,FALSE,"M.01";#N/A,#N/A,FALSE,"M.01"}</definedName>
    <definedName name="UPB" hidden="1">{#N/A,#N/A,FALSE,"M.01";#N/A,#N/A,FALSE,"M.01"}</definedName>
    <definedName name="UPC">[159]Kamus!$D$2:$D$136</definedName>
    <definedName name="UPD" localSheetId="0">#REF!</definedName>
    <definedName name="UPD">#REF!</definedName>
    <definedName name="UPI">[159]Kamus!$A$2:$A$35</definedName>
    <definedName name="UPRP" localSheetId="0">#REF!</definedName>
    <definedName name="UPRP">#REF!</definedName>
    <definedName name="UPT" localSheetId="0" hidden="1">{#N/A,#N/A,FALSE,"M.43"}</definedName>
    <definedName name="UPT" hidden="1">{#N/A,#N/A,FALSE,"M.43"}</definedName>
    <definedName name="uraian_bji">'[87]FORM A12 BJI'!$D$14:$D$412</definedName>
    <definedName name="uraian_PSP">'[87]FORM A12PSP'!$D$14:$D$269</definedName>
    <definedName name="URAIAN101" localSheetId="0">'[160]Land Clearing-pnw'!#REF!</definedName>
    <definedName name="URAIAN101">'[160]Land Clearing-pnw'!#REF!</definedName>
    <definedName name="URAIAN1021" localSheetId="0">'[160]Land Clearing-pnw'!#REF!</definedName>
    <definedName name="URAIAN1021">'[160]Land Clearing-pnw'!#REF!</definedName>
    <definedName name="URAIAN1022" localSheetId="0">'[160]Land Clearing-pnw'!#REF!</definedName>
    <definedName name="URAIAN1022">'[160]Land Clearing-pnw'!#REF!</definedName>
    <definedName name="URAIAN1031" localSheetId="0">'[160]Land Clearing-pnw'!#REF!</definedName>
    <definedName name="URAIAN1031">'[160]Land Clearing-pnw'!#REF!</definedName>
    <definedName name="URAIAN1032" localSheetId="0">'[160]Land Clearing-pnw'!#REF!</definedName>
    <definedName name="URAIAN1032">'[160]Land Clearing-pnw'!#REF!</definedName>
    <definedName name="URAIAN1041" localSheetId="0">'[160]Land Clearing-pnw'!#REF!</definedName>
    <definedName name="URAIAN1041">'[160]Land Clearing-pnw'!#REF!</definedName>
    <definedName name="URAIAN1042" localSheetId="0">'[160]Land Clearing-pnw'!#REF!</definedName>
    <definedName name="URAIAN1042">'[160]Land Clearing-pnw'!#REF!</definedName>
    <definedName name="uraianmdn">'[87]FORM A12MED'!$D$12:$D$507</definedName>
    <definedName name="uraianPKM">'[87]FORM A12PKM'!$E$13:$E$858</definedName>
    <definedName name="uraianpms">'[87]FORM A12PMS 2011'!$D$17:$D$631</definedName>
    <definedName name="uraianSBG">'[87]FORM A12 SBG'!$D$13:$D$729</definedName>
    <definedName name="urg.pasir">[81]analis!$K$39</definedName>
    <definedName name="urg.t.kemb">[81]analis!$K$28</definedName>
    <definedName name="urg.t.padat" localSheetId="0">#REF!</definedName>
    <definedName name="urg.t.padat">#REF!</definedName>
    <definedName name="urin" localSheetId="0">#REF!</definedName>
    <definedName name="urin">#REF!</definedName>
    <definedName name="Urut" localSheetId="0">#REF!</definedName>
    <definedName name="Urut">#REF!</definedName>
    <definedName name="Urutan_Score" localSheetId="0">#REF!</definedName>
    <definedName name="Urutan_Score">#REF!</definedName>
    <definedName name="USAHA" localSheetId="0">#REF!</definedName>
    <definedName name="USAHA">#REF!</definedName>
    <definedName name="USD">[41]L20Keu!$O$10</definedName>
    <definedName name="usuk.reng" localSheetId="0">#REF!</definedName>
    <definedName name="usuk.reng">#REF!</definedName>
    <definedName name="UTYUE" localSheetId="0">#REF!</definedName>
    <definedName name="UTYUE">#REF!</definedName>
    <definedName name="uu" localSheetId="0">#REF!</definedName>
    <definedName name="uu">#REF!</definedName>
    <definedName name="UUUU" localSheetId="0" hidden="1">{#N/A,#N/A,FALSE,"M.01"}</definedName>
    <definedName name="UUUU" hidden="1">{#N/A,#N/A,FALSE,"M.01"}</definedName>
    <definedName name="VA" localSheetId="0" hidden="1">{#N/A,#N/A,FALSE,"M.33"}</definedName>
    <definedName name="VA" hidden="1">{#N/A,#N/A,FALSE,"M.33"}</definedName>
    <definedName name="value" localSheetId="0">#REF!</definedName>
    <definedName name="value">#REF!</definedName>
    <definedName name="VB" localSheetId="0">#REF!</definedName>
    <definedName name="VB">#REF!</definedName>
    <definedName name="VCDD3p" localSheetId="0">'[4]KPVC-BD '!#REF!</definedName>
    <definedName name="VCDD3p">'[4]KPVC-BD '!#REF!</definedName>
    <definedName name="VCHT" localSheetId="0">#REF!</definedName>
    <definedName name="VCHT">#REF!</definedName>
    <definedName name="VCTT" localSheetId="0">#REF!</definedName>
    <definedName name="VCTT">#REF!</definedName>
    <definedName name="VCVBT1">'[4]VCV-BE-TONG'!$G$11</definedName>
    <definedName name="VCVBT2">'[4]VCV-BE-TONG'!$G$17</definedName>
    <definedName name="vd3p" localSheetId="0">#REF!</definedName>
    <definedName name="vd3p">#REF!</definedName>
    <definedName name="ver" localSheetId="0">#REF!</definedName>
    <definedName name="ver">#REF!</definedName>
    <definedName name="vgggj" localSheetId="0">#REF!</definedName>
    <definedName name="vgggj">#REF!</definedName>
    <definedName name="vk" localSheetId="0">#REF!</definedName>
    <definedName name="vk">#REF!</definedName>
    <definedName name="vl1p" localSheetId="0">#REF!</definedName>
    <definedName name="vl1p">#REF!</definedName>
    <definedName name="vl3p" localSheetId="0">#REF!</definedName>
    <definedName name="vl3p">#REF!</definedName>
    <definedName name="vldd" localSheetId="0">'[4]TH XL'!#REF!</definedName>
    <definedName name="vldd">'[4]TH XL'!#REF!</definedName>
    <definedName name="vldn400" localSheetId="0">#REF!</definedName>
    <definedName name="vldn400">#REF!</definedName>
    <definedName name="vldn600" localSheetId="0">#REF!</definedName>
    <definedName name="vldn600">#REF!</definedName>
    <definedName name="VLHC">[4]TNHCHINH!$I$38</definedName>
    <definedName name="vltr" localSheetId="0">'[4]TH XL'!#REF!</definedName>
    <definedName name="vltr">'[4]TH XL'!#REF!</definedName>
    <definedName name="vltram" localSheetId="0">#REF!</definedName>
    <definedName name="vltram">#REF!</definedName>
    <definedName name="vm" localSheetId="0">#REF!</definedName>
    <definedName name="vm">#REF!</definedName>
    <definedName name="vr3p" localSheetId="0">#REF!</definedName>
    <definedName name="vr3p">#REF!</definedName>
    <definedName name="vs" localSheetId="0">#REF!</definedName>
    <definedName name="vs">#REF!</definedName>
    <definedName name="vt1pbs" localSheetId="0">'[4]lam-moi'!#REF!</definedName>
    <definedName name="vt1pbs">'[4]lam-moi'!#REF!</definedName>
    <definedName name="vtbs" localSheetId="0">'[4]lam-moi'!#REF!</definedName>
    <definedName name="vtbs">'[4]lam-moi'!#REF!</definedName>
    <definedName name="w" localSheetId="0">#REF!</definedName>
    <definedName name="w">#REF!</definedName>
    <definedName name="WAI" localSheetId="0">[21]prod03!#REF!</definedName>
    <definedName name="WAI">[21]prod03!#REF!</definedName>
    <definedName name="WAR" localSheetId="0">#REF!</definedName>
    <definedName name="WAR">#REF!</definedName>
    <definedName name="wastab" localSheetId="0">#REF!</definedName>
    <definedName name="wastab">#REF!</definedName>
    <definedName name="wastaf" localSheetId="0">#REF!</definedName>
    <definedName name="wastaf">#REF!</definedName>
    <definedName name="wastafel" localSheetId="0">#REF!</definedName>
    <definedName name="wastafel">#REF!</definedName>
    <definedName name="WD" localSheetId="0" hidden="1">{#N/A,#N/A,FALSE,"M.34"}</definedName>
    <definedName name="WD" hidden="1">{#N/A,#N/A,FALSE,"M.34"}</definedName>
    <definedName name="WE" localSheetId="0" hidden="1">{#N/A,#N/A,FALSE,"M.42"}</definedName>
    <definedName name="WE" hidden="1">{#N/A,#N/A,FALSE,"M.42"}</definedName>
    <definedName name="wee" localSheetId="0" hidden="1">{#N/A,#N/A,FALSE,"M.41"}</definedName>
    <definedName name="wee" hidden="1">{#N/A,#N/A,FALSE,"M.41"}</definedName>
    <definedName name="wer" localSheetId="0" hidden="1">{#N/A,#N/A,FALSE,"M.31"}</definedName>
    <definedName name="wer" hidden="1">{#N/A,#N/A,FALSE,"M.31"}</definedName>
    <definedName name="WET" localSheetId="0">#REF!</definedName>
    <definedName name="WET">#REF!</definedName>
    <definedName name="WEWE" localSheetId="0">#REF!</definedName>
    <definedName name="WEWE">#REF!</definedName>
    <definedName name="WFSGSA" localSheetId="0" hidden="1">{#N/A,#N/A,FALSE,"M.41"}</definedName>
    <definedName name="WFSGSA" hidden="1">{#N/A,#N/A,FALSE,"M.41"}</definedName>
    <definedName name="WIL" localSheetId="0">#REF!</definedName>
    <definedName name="WIL">#REF!</definedName>
    <definedName name="WILAYAH">[161]Listing!$A$2:$A$33</definedName>
    <definedName name="WILP" localSheetId="0">#REF!</definedName>
    <definedName name="WILP">#REF!</definedName>
    <definedName name="WINDUAN_KE">[60]ACUAN!$L$3</definedName>
    <definedName name="wit">'[152]Dasar Pemadaman'!$A$2012:$H$2012</definedName>
    <definedName name="wnn" localSheetId="0" hidden="1">{#N/A,#N/A,FALSE,"M.02"}</definedName>
    <definedName name="wnn" hidden="1">{#N/A,#N/A,FALSE,"M.02"}</definedName>
    <definedName name="WORKSHOP" localSheetId="0">#REF!</definedName>
    <definedName name="WORKSHOP">#REF!</definedName>
    <definedName name="WR" localSheetId="0" hidden="1">{#N/A,#N/A,FALSE,"M.42"}</definedName>
    <definedName name="WR" hidden="1">{#N/A,#N/A,FALSE,"M.42"}</definedName>
    <definedName name="WRM" localSheetId="0" hidden="1">{#N/A,#N/A,FALSE,"M.01"}</definedName>
    <definedName name="WRM" hidden="1">{#N/A,#N/A,FALSE,"M.01"}</definedName>
    <definedName name="wrm.M.02" localSheetId="0" hidden="1">{#N/A,#N/A,FALSE,"M.01"}</definedName>
    <definedName name="wrm.M.02" hidden="1">{#N/A,#N/A,FALSE,"M.01"}</definedName>
    <definedName name="wrn" localSheetId="0" hidden="1">{#N/A,#N/A,FALSE,"M.32"}</definedName>
    <definedName name="wrn" hidden="1">{#N/A,#N/A,FALSE,"M.32"}</definedName>
    <definedName name="wrn.1" localSheetId="0" hidden="1">{#N/A,#N/A,FALSE,"M.42"}</definedName>
    <definedName name="wrn.1" hidden="1">{#N/A,#N/A,FALSE,"M.42"}</definedName>
    <definedName name="wrn.10" localSheetId="0" hidden="1">{#N/A,#N/A,FALSE,"M.01"}</definedName>
    <definedName name="wrn.10" hidden="1">{#N/A,#N/A,FALSE,"M.01"}</definedName>
    <definedName name="WRN.3" localSheetId="0" hidden="1">{#N/A,#N/A,FALSE,"M.41"}</definedName>
    <definedName name="WRN.3" hidden="1">{#N/A,#N/A,FALSE,"M.41"}</definedName>
    <definedName name="WRN.9" localSheetId="0" hidden="1">{#N/A,#N/A,FALSE,"M.43"}</definedName>
    <definedName name="WRN.9" hidden="1">{#N/A,#N/A,FALSE,"M.43"}</definedName>
    <definedName name="wrn.chi._.tiÆt." localSheetId="0" hidden="1">{#N/A,#N/A,FALSE,"Chi tiÆt"}</definedName>
    <definedName name="wrn.chi._.tiÆt." hidden="1">{#N/A,#N/A,FALSE,"Chi tiÆt"}</definedName>
    <definedName name="WRN.M" localSheetId="0" hidden="1">{#N/A,#N/A,FALSE,"M.33"}</definedName>
    <definedName name="WRN.M" hidden="1">{#N/A,#N/A,FALSE,"M.33"}</definedName>
    <definedName name="wrn.m.01" localSheetId="0" hidden="1">{#N/A,#N/A,FALSE,"M.01"}</definedName>
    <definedName name="wrn.m.01" hidden="1">{#N/A,#N/A,FALSE,"M.01"}</definedName>
    <definedName name="wrn.M.01." localSheetId="0" hidden="1">{#N/A,#N/A,FALSE,"M.01"}</definedName>
    <definedName name="wrn.M.01." hidden="1">{#N/A,#N/A,FALSE,"M.01"}</definedName>
    <definedName name="wrn.M.01D." localSheetId="0" hidden="1">{#N/A,#N/A,FALSE,"M.01";#N/A,#N/A,FALSE,"M.01"}</definedName>
    <definedName name="wrn.M.01D." hidden="1">{#N/A,#N/A,FALSE,"M.01";#N/A,#N/A,FALSE,"M.01"}</definedName>
    <definedName name="wrn.m.01D.1" localSheetId="0" hidden="1">{#N/A,#N/A,FALSE,"M.01";#N/A,#N/A,FALSE,"M.01"}</definedName>
    <definedName name="wrn.m.01D.1" hidden="1">{#N/A,#N/A,FALSE,"M.01";#N/A,#N/A,FALSE,"M.01"}</definedName>
    <definedName name="wrn.M.01e" localSheetId="0" hidden="1">{#N/A,#N/A,FALSE,"M.01";#N/A,#N/A,FALSE,"M.01"}</definedName>
    <definedName name="wrn.M.01e" hidden="1">{#N/A,#N/A,FALSE,"M.01";#N/A,#N/A,FALSE,"M.01"}</definedName>
    <definedName name="wrn.M.02" localSheetId="0" hidden="1">{#N/A,#N/A,FALSE,"M.01"}</definedName>
    <definedName name="wrn.M.02" hidden="1">{#N/A,#N/A,FALSE,"M.01"}</definedName>
    <definedName name="wrn.M.02." localSheetId="0" hidden="1">{#N/A,#N/A,FALSE,"M.02"}</definedName>
    <definedName name="wrn.M.02." hidden="1">{#N/A,#N/A,FALSE,"M.02"}</definedName>
    <definedName name="wrn.M.07." localSheetId="0" hidden="1">{#N/A,#N/A,FALSE,"M.01"}</definedName>
    <definedName name="wrn.M.07." hidden="1">{#N/A,#N/A,FALSE,"M.01"}</definedName>
    <definedName name="wrn.m.31" localSheetId="0" hidden="1">{#N/A,#N/A,FALSE,"M.31"}</definedName>
    <definedName name="wrn.m.31" hidden="1">{#N/A,#N/A,FALSE,"M.31"}</definedName>
    <definedName name="wrn.M.31." localSheetId="0" hidden="1">{#N/A,#N/A,FALSE,"M.31"}</definedName>
    <definedName name="wrn.M.31." hidden="1">{#N/A,#N/A,FALSE,"M.31"}</definedName>
    <definedName name="wrn.M.32" localSheetId="0" hidden="1">{#N/A,#N/A,FALSE,"M.31"}</definedName>
    <definedName name="wrn.M.32" hidden="1">{#N/A,#N/A,FALSE,"M.31"}</definedName>
    <definedName name="wrn.M.32." localSheetId="0" hidden="1">{#N/A,#N/A,FALSE,"M.32"}</definedName>
    <definedName name="wrn.M.32." hidden="1">{#N/A,#N/A,FALSE,"M.32"}</definedName>
    <definedName name="wrn.M.32.1" localSheetId="0" hidden="1">{#N/A,#N/A,FALSE,"M.32"}</definedName>
    <definedName name="wrn.M.32.1" hidden="1">{#N/A,#N/A,FALSE,"M.32"}</definedName>
    <definedName name="wrn.M.33" localSheetId="0" hidden="1">{#N/A,#N/A,FALSE,"M.33"}</definedName>
    <definedName name="wrn.M.33" hidden="1">{#N/A,#N/A,FALSE,"M.33"}</definedName>
    <definedName name="wrn.M.33." localSheetId="0" hidden="1">{#N/A,#N/A,FALSE,"M.33"}</definedName>
    <definedName name="wrn.M.33." hidden="1">{#N/A,#N/A,FALSE,"M.33"}</definedName>
    <definedName name="wrn.M.333" localSheetId="0" hidden="1">{#N/A,#N/A,FALSE,"M.32"}</definedName>
    <definedName name="wrn.M.333" hidden="1">{#N/A,#N/A,FALSE,"M.32"}</definedName>
    <definedName name="WRN.M.34" localSheetId="0" hidden="1">{#N/A,#N/A,FALSE,"M.34"}</definedName>
    <definedName name="WRN.M.34" hidden="1">{#N/A,#N/A,FALSE,"M.34"}</definedName>
    <definedName name="wrn.M.34." localSheetId="0" hidden="1">{#N/A,#N/A,FALSE,"M.34"}</definedName>
    <definedName name="wrn.M.34." hidden="1">{#N/A,#N/A,FALSE,"M.34"}</definedName>
    <definedName name="wrn.M.34.1" localSheetId="0" hidden="1">{#N/A,#N/A,FALSE,"M.34"}</definedName>
    <definedName name="wrn.M.34.1" hidden="1">{#N/A,#N/A,FALSE,"M.34"}</definedName>
    <definedName name="wrn.m.35." localSheetId="0" hidden="1">{#N/A,#N/A,FALSE,"M.34"}</definedName>
    <definedName name="wrn.m.35." hidden="1">{#N/A,#N/A,FALSE,"M.34"}</definedName>
    <definedName name="wrn.M.4." localSheetId="0" hidden="1">{#N/A,#N/A,FALSE,"M.42"}</definedName>
    <definedName name="wrn.M.4." hidden="1">{#N/A,#N/A,FALSE,"M.42"}</definedName>
    <definedName name="wrn.M.41" localSheetId="0" hidden="1">{#N/A,#N/A,FALSE,"M.41"}</definedName>
    <definedName name="wrn.M.41" hidden="1">{#N/A,#N/A,FALSE,"M.41"}</definedName>
    <definedName name="wrn.M.41." localSheetId="0" hidden="1">{#N/A,#N/A,FALSE,"M.41"}</definedName>
    <definedName name="wrn.M.41." hidden="1">{#N/A,#N/A,FALSE,"M.41"}</definedName>
    <definedName name="wrn.M.42" localSheetId="0" hidden="1">{#N/A,#N/A,FALSE,"M.41"}</definedName>
    <definedName name="wrn.M.42" hidden="1">{#N/A,#N/A,FALSE,"M.41"}</definedName>
    <definedName name="wrn.M.42." localSheetId="0" hidden="1">{#N/A,#N/A,FALSE,"M.42"}</definedName>
    <definedName name="wrn.M.42." hidden="1">{#N/A,#N/A,FALSE,"M.42"}</definedName>
    <definedName name="WRN.M.43" localSheetId="0" hidden="1">{#N/A,#N/A,FALSE,"M.43"}</definedName>
    <definedName name="WRN.M.43" hidden="1">{#N/A,#N/A,FALSE,"M.43"}</definedName>
    <definedName name="wrn.M.43." localSheetId="0" hidden="1">{#N/A,#N/A,FALSE,"M.43"}</definedName>
    <definedName name="wrn.M.43." hidden="1">{#N/A,#N/A,FALSE,"M.43"}</definedName>
    <definedName name="WRN.M41." localSheetId="0" hidden="1">{#N/A,#N/A,FALSE,"M.41"}</definedName>
    <definedName name="WRN.M41." hidden="1">{#N/A,#N/A,FALSE,"M.41"}</definedName>
    <definedName name="WRN.M42" localSheetId="0" hidden="1">{#N/A,#N/A,FALSE,"M.41"}</definedName>
    <definedName name="WRN.M42" hidden="1">{#N/A,#N/A,FALSE,"M.41"}</definedName>
    <definedName name="wrn.n.99" localSheetId="0" hidden="1">{#N/A,#N/A,FALSE,"M.43"}</definedName>
    <definedName name="wrn.n.99" hidden="1">{#N/A,#N/A,FALSE,"M.43"}</definedName>
    <definedName name="wrn.REP67." localSheetId="0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1" localSheetId="0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1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8." localSheetId="0" hidden="1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wrn.REP678." hidden="1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wrna.m.01" localSheetId="0" hidden="1">{#N/A,#N/A,FALSE,"M.01"}</definedName>
    <definedName name="wrna.m.01" hidden="1">{#N/A,#N/A,FALSE,"M.01"}</definedName>
    <definedName name="WRNM" localSheetId="0" hidden="1">{#N/A,#N/A,FALSE,"M.02"}</definedName>
    <definedName name="WRNM" hidden="1">{#N/A,#N/A,FALSE,"M.02"}</definedName>
    <definedName name="WRV.M" localSheetId="0" hidden="1">{#N/A,#N/A,FALSE,"M.34"}</definedName>
    <definedName name="WRV.M" hidden="1">{#N/A,#N/A,FALSE,"M.34"}</definedName>
    <definedName name="WS" localSheetId="0">#REF!</definedName>
    <definedName name="WS">#REF!</definedName>
    <definedName name="WW" localSheetId="0" hidden="1">{#N/A,#N/A,FALSE,"M.01"}</definedName>
    <definedName name="WW" hidden="1">{#N/A,#N/A,FALSE,"M.01"}</definedName>
    <definedName name="WWW" localSheetId="0" hidden="1">{#N/A,#N/A,FALSE,"M.42"}</definedName>
    <definedName name="WWW" hidden="1">{#N/A,#N/A,FALSE,"M.42"}</definedName>
    <definedName name="WWWW" localSheetId="0" hidden="1">{#N/A,#N/A,FALSE,"M.42"}</definedName>
    <definedName name="WWWW" hidden="1">{#N/A,#N/A,FALSE,"M.42"}</definedName>
    <definedName name="WWWWWW" localSheetId="0">#REF!</definedName>
    <definedName name="WWWWWW">#REF!</definedName>
    <definedName name="x" localSheetId="0" hidden="1">{#N/A,#N/A,FALSE,"M.42"}</definedName>
    <definedName name="x" hidden="1">{#N/A,#N/A,FALSE,"M.42"}</definedName>
    <definedName name="x17dnc" localSheetId="0">[4]chitiet!#REF!</definedName>
    <definedName name="x17dnc">[4]chitiet!#REF!</definedName>
    <definedName name="x17dvl" localSheetId="0">[4]chitiet!#REF!</definedName>
    <definedName name="x17dvl">[4]chitiet!#REF!</definedName>
    <definedName name="x17knc" localSheetId="0">[4]chitiet!#REF!</definedName>
    <definedName name="x17knc">[4]chitiet!#REF!</definedName>
    <definedName name="x17kvl" localSheetId="0">[4]chitiet!#REF!</definedName>
    <definedName name="x17kvl">[4]chitiet!#REF!</definedName>
    <definedName name="X1pFCOnc" localSheetId="0">'[4]CHITIET VL-NC-TT -1p'!#REF!</definedName>
    <definedName name="X1pFCOnc">'[4]CHITIET VL-NC-TT -1p'!#REF!</definedName>
    <definedName name="X1pFCOvc" localSheetId="0">'[4]CHITIET VL-NC-TT -1p'!#REF!</definedName>
    <definedName name="X1pFCOvc">'[4]CHITIET VL-NC-TT -1p'!#REF!</definedName>
    <definedName name="X1pFCOvl" localSheetId="0">'[4]CHITIET VL-NC-TT -1p'!#REF!</definedName>
    <definedName name="X1pFCOvl">'[4]CHITIET VL-NC-TT -1p'!#REF!</definedName>
    <definedName name="x1pignc" localSheetId="0">'[4]lam-moi'!#REF!</definedName>
    <definedName name="x1pignc">'[4]lam-moi'!#REF!</definedName>
    <definedName name="X1pIGvc" localSheetId="0">'[4]CHITIET VL-NC-TT -1p'!#REF!</definedName>
    <definedName name="X1pIGvc">'[4]CHITIET VL-NC-TT -1p'!#REF!</definedName>
    <definedName name="x1pigvl" localSheetId="0">'[4]lam-moi'!#REF!</definedName>
    <definedName name="x1pigvl">'[4]lam-moi'!#REF!</definedName>
    <definedName name="x1pind" localSheetId="0">#REF!</definedName>
    <definedName name="x1pind">#REF!</definedName>
    <definedName name="x1pindnc" localSheetId="0">'[4]lam-moi'!#REF!</definedName>
    <definedName name="x1pindnc">'[4]lam-moi'!#REF!</definedName>
    <definedName name="x1pindvl" localSheetId="0">'[4]lam-moi'!#REF!</definedName>
    <definedName name="x1pindvl">'[4]lam-moi'!#REF!</definedName>
    <definedName name="x1ping" localSheetId="0">#REF!</definedName>
    <definedName name="x1ping">#REF!</definedName>
    <definedName name="x1pingnc" localSheetId="0">'[4]lam-moi'!#REF!</definedName>
    <definedName name="x1pingnc">'[4]lam-moi'!#REF!</definedName>
    <definedName name="x1pingvl" localSheetId="0">'[4]lam-moi'!#REF!</definedName>
    <definedName name="x1pingvl">'[4]lam-moi'!#REF!</definedName>
    <definedName name="x1pint" localSheetId="0">#REF!</definedName>
    <definedName name="x1pint">#REF!</definedName>
    <definedName name="x1pintnc" localSheetId="0">'[4]lam-moi'!#REF!</definedName>
    <definedName name="x1pintnc">'[4]lam-moi'!#REF!</definedName>
    <definedName name="X1pINTvc" localSheetId="0">'[4]CHITIET VL-NC-TT -1p'!#REF!</definedName>
    <definedName name="X1pINTvc">'[4]CHITIET VL-NC-TT -1p'!#REF!</definedName>
    <definedName name="x1pintvl" localSheetId="0">'[4]lam-moi'!#REF!</definedName>
    <definedName name="x1pintvl">'[4]lam-moi'!#REF!</definedName>
    <definedName name="x1pitnc" localSheetId="0">'[4]lam-moi'!#REF!</definedName>
    <definedName name="x1pitnc">'[4]lam-moi'!#REF!</definedName>
    <definedName name="X1pITvc" localSheetId="0">'[4]CHITIET VL-NC-TT -1p'!#REF!</definedName>
    <definedName name="X1pITvc">'[4]CHITIET VL-NC-TT -1p'!#REF!</definedName>
    <definedName name="x1pitvl" localSheetId="0">'[4]lam-moi'!#REF!</definedName>
    <definedName name="x1pitvl">'[4]lam-moi'!#REF!</definedName>
    <definedName name="x20knc" localSheetId="0">[4]chitiet!#REF!</definedName>
    <definedName name="x20knc">[4]chitiet!#REF!</definedName>
    <definedName name="x20kvl" localSheetId="0">[4]chitiet!#REF!</definedName>
    <definedName name="x20kvl">[4]chitiet!#REF!</definedName>
    <definedName name="x22knc" localSheetId="0">[4]chitiet!#REF!</definedName>
    <definedName name="x22knc">[4]chitiet!#REF!</definedName>
    <definedName name="x22kvl" localSheetId="0">[4]chitiet!#REF!</definedName>
    <definedName name="x22kvl">[4]chitiet!#REF!</definedName>
    <definedName name="x2mig1nc" localSheetId="0">'[4]lam-moi'!#REF!</definedName>
    <definedName name="x2mig1nc">'[4]lam-moi'!#REF!</definedName>
    <definedName name="x2mig1vl" localSheetId="0">'[4]lam-moi'!#REF!</definedName>
    <definedName name="x2mig1vl">'[4]lam-moi'!#REF!</definedName>
    <definedName name="x2min1nc" localSheetId="0">'[4]lam-moi'!#REF!</definedName>
    <definedName name="x2min1nc">'[4]lam-moi'!#REF!</definedName>
    <definedName name="x2min1vl" localSheetId="0">'[4]lam-moi'!#REF!</definedName>
    <definedName name="x2min1vl">'[4]lam-moi'!#REF!</definedName>
    <definedName name="x2mit1vl" localSheetId="0">'[4]lam-moi'!#REF!</definedName>
    <definedName name="x2mit1vl">'[4]lam-moi'!#REF!</definedName>
    <definedName name="x2mitnc" localSheetId="0">'[4]lam-moi'!#REF!</definedName>
    <definedName name="x2mitnc">'[4]lam-moi'!#REF!</definedName>
    <definedName name="XCCT">0.5</definedName>
    <definedName name="xdsnc" localSheetId="0">[4]gtrinh!#REF!</definedName>
    <definedName name="xdsnc">[4]gtrinh!#REF!</definedName>
    <definedName name="xdsvl" localSheetId="0">[4]gtrinh!#REF!</definedName>
    <definedName name="xdsvl">[4]gtrinh!#REF!</definedName>
    <definedName name="xfco" localSheetId="0">#REF!</definedName>
    <definedName name="xfco">#REF!</definedName>
    <definedName name="xfco3p" localSheetId="0">#REF!</definedName>
    <definedName name="xfco3p">#REF!</definedName>
    <definedName name="xfconc" localSheetId="0">'[4]lam-moi'!#REF!</definedName>
    <definedName name="xfconc">'[4]lam-moi'!#REF!</definedName>
    <definedName name="xfconc3p">'[4]CHITIET VL-NC'!$G$94</definedName>
    <definedName name="xfcotnc" localSheetId="0">#REF!</definedName>
    <definedName name="xfcotnc">#REF!</definedName>
    <definedName name="xfcotvl" localSheetId="0">#REF!</definedName>
    <definedName name="xfcotvl">#REF!</definedName>
    <definedName name="xfcovl" localSheetId="0">'[4]lam-moi'!#REF!</definedName>
    <definedName name="xfcovl">'[4]lam-moi'!#REF!</definedName>
    <definedName name="xfcovl3p">'[4]CHITIET VL-NC'!$G$90</definedName>
    <definedName name="XFf" localSheetId="0" hidden="1">{#N/A,#N/A,FALSE,"M.01";#N/A,#N/A,FALSE,"M.01"}</definedName>
    <definedName name="XFf" hidden="1">{#N/A,#N/A,FALSE,"M.01";#N/A,#N/A,FALSE,"M.01"}</definedName>
    <definedName name="XFFFA" localSheetId="0" hidden="1">{#N/A,#N/A,FALSE,"M.01"}</definedName>
    <definedName name="XFFFA" hidden="1">{#N/A,#N/A,FALSE,"M.01"}</definedName>
    <definedName name="xfnc" localSheetId="0">'[4]lam-moi'!#REF!</definedName>
    <definedName name="xfnc">'[4]lam-moi'!#REF!</definedName>
    <definedName name="xfvl" localSheetId="0">'[4]lam-moi'!#REF!</definedName>
    <definedName name="xfvl">'[4]lam-moi'!#REF!</definedName>
    <definedName name="xhn" localSheetId="0">#REF!</definedName>
    <definedName name="xhn">#REF!</definedName>
    <definedName name="xhnnc" localSheetId="0">'[4]lam-moi'!#REF!</definedName>
    <definedName name="xhnnc">'[4]lam-moi'!#REF!</definedName>
    <definedName name="xhnvl" localSheetId="0">'[4]lam-moi'!#REF!</definedName>
    <definedName name="xhnvl">'[4]lam-moi'!#REF!</definedName>
    <definedName name="xig" localSheetId="0">#REF!</definedName>
    <definedName name="xig">#REF!</definedName>
    <definedName name="xig1" localSheetId="0">#REF!</definedName>
    <definedName name="xig1">#REF!</definedName>
    <definedName name="xig1nc" localSheetId="0">'[4]lam-moi'!#REF!</definedName>
    <definedName name="xig1nc">'[4]lam-moi'!#REF!</definedName>
    <definedName name="xig1p" localSheetId="0">#REF!</definedName>
    <definedName name="xig1p">#REF!</definedName>
    <definedName name="xig1pnc" localSheetId="0">'[4]lam-moi'!#REF!</definedName>
    <definedName name="xig1pnc">'[4]lam-moi'!#REF!</definedName>
    <definedName name="xig1pvl" localSheetId="0">'[4]lam-moi'!#REF!</definedName>
    <definedName name="xig1pvl">'[4]lam-moi'!#REF!</definedName>
    <definedName name="xig1vl" localSheetId="0">'[4]lam-moi'!#REF!</definedName>
    <definedName name="xig1vl">'[4]lam-moi'!#REF!</definedName>
    <definedName name="xig2nc" localSheetId="0">'[4]lam-moi'!#REF!</definedName>
    <definedName name="xig2nc">'[4]lam-moi'!#REF!</definedName>
    <definedName name="xig2vl" localSheetId="0">'[4]lam-moi'!#REF!</definedName>
    <definedName name="xig2vl">'[4]lam-moi'!#REF!</definedName>
    <definedName name="xig3p" localSheetId="0">#REF!</definedName>
    <definedName name="xig3p">#REF!</definedName>
    <definedName name="xiggnc">'[4]CHITIET VL-NC'!$G$57</definedName>
    <definedName name="xiggvl">'[4]CHITIET VL-NC'!$G$53</definedName>
    <definedName name="xignc" localSheetId="0">'[4]lam-moi'!#REF!</definedName>
    <definedName name="xignc">'[4]lam-moi'!#REF!</definedName>
    <definedName name="xignc3p" localSheetId="0">#REF!</definedName>
    <definedName name="xignc3p">#REF!</definedName>
    <definedName name="xigvl" localSheetId="0">'[4]lam-moi'!#REF!</definedName>
    <definedName name="xigvl">'[4]lam-moi'!#REF!</definedName>
    <definedName name="xigvl3p" localSheetId="0">#REF!</definedName>
    <definedName name="xigvl3p">#REF!</definedName>
    <definedName name="xin" localSheetId="0">#REF!</definedName>
    <definedName name="xin">#REF!</definedName>
    <definedName name="xin190" localSheetId="0">#REF!</definedName>
    <definedName name="xin190">#REF!</definedName>
    <definedName name="xin1903p" localSheetId="0">#REF!</definedName>
    <definedName name="xin1903p">#REF!</definedName>
    <definedName name="xin190nc" localSheetId="0">'[4]lam-moi'!#REF!</definedName>
    <definedName name="xin190nc">'[4]lam-moi'!#REF!</definedName>
    <definedName name="xin190nc3p">'[4]CHITIET VL-NC'!$G$76</definedName>
    <definedName name="xin190vl" localSheetId="0">'[4]lam-moi'!#REF!</definedName>
    <definedName name="xin190vl">'[4]lam-moi'!#REF!</definedName>
    <definedName name="xin190vl3p">'[4]CHITIET VL-NC'!$G$72</definedName>
    <definedName name="xin2903p" localSheetId="0">#REF!</definedName>
    <definedName name="xin2903p">#REF!</definedName>
    <definedName name="xin290nc3p" localSheetId="0">#REF!</definedName>
    <definedName name="xin290nc3p">#REF!</definedName>
    <definedName name="xin290vl3p" localSheetId="0">#REF!</definedName>
    <definedName name="xin290vl3p">#REF!</definedName>
    <definedName name="xin3p" localSheetId="0">#REF!</definedName>
    <definedName name="xin3p">#REF!</definedName>
    <definedName name="xin901nc" localSheetId="0">'[4]lam-moi'!#REF!</definedName>
    <definedName name="xin901nc">'[4]lam-moi'!#REF!</definedName>
    <definedName name="xin901vl" localSheetId="0">'[4]lam-moi'!#REF!</definedName>
    <definedName name="xin901vl">'[4]lam-moi'!#REF!</definedName>
    <definedName name="xind" localSheetId="0">#REF!</definedName>
    <definedName name="xind">#REF!</definedName>
    <definedName name="xind1p" localSheetId="0">#REF!</definedName>
    <definedName name="xind1p">#REF!</definedName>
    <definedName name="xind1pnc" localSheetId="0">'[4]lam-moi'!#REF!</definedName>
    <definedName name="xind1pnc">'[4]lam-moi'!#REF!</definedName>
    <definedName name="xind1pvl" localSheetId="0">'[4]lam-moi'!#REF!</definedName>
    <definedName name="xind1pvl">'[4]lam-moi'!#REF!</definedName>
    <definedName name="xind3p" localSheetId="0">#REF!</definedName>
    <definedName name="xind3p">#REF!</definedName>
    <definedName name="xindnc" localSheetId="0">'[4]lam-moi'!#REF!</definedName>
    <definedName name="xindnc">'[4]lam-moi'!#REF!</definedName>
    <definedName name="xindnc1p" localSheetId="0">#REF!</definedName>
    <definedName name="xindnc1p">#REF!</definedName>
    <definedName name="xindnc3p">'[4]CHITIET VL-NC'!$G$85</definedName>
    <definedName name="xindvl" localSheetId="0">'[4]lam-moi'!#REF!</definedName>
    <definedName name="xindvl">'[4]lam-moi'!#REF!</definedName>
    <definedName name="xindvl1p" localSheetId="0">#REF!</definedName>
    <definedName name="xindvl1p">#REF!</definedName>
    <definedName name="xindvl3p">'[4]CHITIET VL-NC'!$G$80</definedName>
    <definedName name="xing1p" localSheetId="0">#REF!</definedName>
    <definedName name="xing1p">#REF!</definedName>
    <definedName name="xing1pnc" localSheetId="0">'[4]lam-moi'!#REF!</definedName>
    <definedName name="xing1pnc">'[4]lam-moi'!#REF!</definedName>
    <definedName name="xing1pvl" localSheetId="0">'[4]lam-moi'!#REF!</definedName>
    <definedName name="xing1pvl">'[4]lam-moi'!#REF!</definedName>
    <definedName name="xingnc1p" localSheetId="0">#REF!</definedName>
    <definedName name="xingnc1p">#REF!</definedName>
    <definedName name="xingvl1p" localSheetId="0">#REF!</definedName>
    <definedName name="xingvl1p">#REF!</definedName>
    <definedName name="xinnc" localSheetId="0">'[4]lam-moi'!#REF!</definedName>
    <definedName name="xinnc">'[4]lam-moi'!#REF!</definedName>
    <definedName name="xinnc3p" localSheetId="0">#REF!</definedName>
    <definedName name="xinnc3p">#REF!</definedName>
    <definedName name="xint1p" localSheetId="0">#REF!</definedName>
    <definedName name="xint1p">#REF!</definedName>
    <definedName name="xinvl" localSheetId="0">'[4]lam-moi'!#REF!</definedName>
    <definedName name="xinvl">'[4]lam-moi'!#REF!</definedName>
    <definedName name="xinvl3p" localSheetId="0">#REF!</definedName>
    <definedName name="xinvl3p">#REF!</definedName>
    <definedName name="xit" localSheetId="0">#REF!</definedName>
    <definedName name="xit">#REF!</definedName>
    <definedName name="xit1" localSheetId="0">#REF!</definedName>
    <definedName name="xit1">#REF!</definedName>
    <definedName name="xit1nc" localSheetId="0">'[4]lam-moi'!#REF!</definedName>
    <definedName name="xit1nc">'[4]lam-moi'!#REF!</definedName>
    <definedName name="xit1p" localSheetId="0">#REF!</definedName>
    <definedName name="xit1p">#REF!</definedName>
    <definedName name="xit1pnc" localSheetId="0">'[4]lam-moi'!#REF!</definedName>
    <definedName name="xit1pnc">'[4]lam-moi'!#REF!</definedName>
    <definedName name="xit1pvl" localSheetId="0">'[4]lam-moi'!#REF!</definedName>
    <definedName name="xit1pvl">'[4]lam-moi'!#REF!</definedName>
    <definedName name="xit1vl" localSheetId="0">'[4]lam-moi'!#REF!</definedName>
    <definedName name="xit1vl">'[4]lam-moi'!#REF!</definedName>
    <definedName name="xit2nc" localSheetId="0">'[4]lam-moi'!#REF!</definedName>
    <definedName name="xit2nc">'[4]lam-moi'!#REF!</definedName>
    <definedName name="xit2nc3p" localSheetId="0">#REF!</definedName>
    <definedName name="xit2nc3p">#REF!</definedName>
    <definedName name="xit2vl" localSheetId="0">'[4]lam-moi'!#REF!</definedName>
    <definedName name="xit2vl">'[4]lam-moi'!#REF!</definedName>
    <definedName name="xit2vl3p" localSheetId="0">#REF!</definedName>
    <definedName name="xit2vl3p">#REF!</definedName>
    <definedName name="xit3p" localSheetId="0">#REF!</definedName>
    <definedName name="xit3p">#REF!</definedName>
    <definedName name="xitnc" localSheetId="0">'[4]lam-moi'!#REF!</definedName>
    <definedName name="xitnc">'[4]lam-moi'!#REF!</definedName>
    <definedName name="xitnc3p" localSheetId="0">#REF!</definedName>
    <definedName name="xitnc3p">#REF!</definedName>
    <definedName name="xittnc">'[4]CHITIET VL-NC'!$G$48</definedName>
    <definedName name="xittvl">'[4]CHITIET VL-NC'!$G$44</definedName>
    <definedName name="xitvl" localSheetId="0">'[4]lam-moi'!#REF!</definedName>
    <definedName name="xitvl">'[4]lam-moi'!#REF!</definedName>
    <definedName name="xitvl3p" localSheetId="0">#REF!</definedName>
    <definedName name="xitvl3p">#REF!</definedName>
    <definedName name="xm">[61]gvl!$N$16</definedName>
    <definedName name="xr1nc" localSheetId="0">'[4]lam-moi'!#REF!</definedName>
    <definedName name="xr1nc">'[4]lam-moi'!#REF!</definedName>
    <definedName name="xr1vl" localSheetId="0">'[4]lam-moi'!#REF!</definedName>
    <definedName name="xr1vl">'[4]lam-moi'!#REF!</definedName>
    <definedName name="XRVTG" localSheetId="0" hidden="1">{#N/A,#N/A,FALSE,"M.34"}</definedName>
    <definedName name="XRVTG" hidden="1">{#N/A,#N/A,FALSE,"M.34"}</definedName>
    <definedName name="xtr3pnc" localSheetId="0">[4]gtrinh!#REF!</definedName>
    <definedName name="xtr3pnc">[4]gtrinh!#REF!</definedName>
    <definedName name="xtr3pvl" localSheetId="0">[4]gtrinh!#REF!</definedName>
    <definedName name="xtr3pvl">[4]gtrinh!#REF!</definedName>
    <definedName name="xxx" localSheetId="0" hidden="1">{#N/A,#N/A,FALSE,"M.42"}</definedName>
    <definedName name="xxx" hidden="1">{#N/A,#N/A,FALSE,"M.42"}</definedName>
    <definedName name="XXXX" localSheetId="0" hidden="1">{#N/A,#N/A,FALSE,"M.42"}</definedName>
    <definedName name="XXXX" hidden="1">{#N/A,#N/A,FALSE,"M.42"}</definedName>
    <definedName name="XZSXZX" localSheetId="0" hidden="1">{#N/A,#N/A,FALSE,"M.42"}</definedName>
    <definedName name="XZSXZX" hidden="1">{#N/A,#N/A,FALSE,"M.42"}</definedName>
    <definedName name="Y" localSheetId="0">#REF!</definedName>
    <definedName name="Y">#REF!</definedName>
    <definedName name="YERYY" localSheetId="0">#REF!</definedName>
    <definedName name="YERYY">#REF!</definedName>
    <definedName name="yhgb" localSheetId="0">#REF!</definedName>
    <definedName name="yhgb">#REF!</definedName>
    <definedName name="yy" localSheetId="0">#REF!</definedName>
    <definedName name="yy">#REF!</definedName>
    <definedName name="yyyyy" localSheetId="0" hidden="1">{#N/A,#N/A,FALSE,"M.43"}</definedName>
    <definedName name="yyyyy" hidden="1">{#N/A,#N/A,FALSE,"M.43"}</definedName>
    <definedName name="Z" localSheetId="0">#REF!</definedName>
    <definedName name="Z">#REF!</definedName>
    <definedName name="zCADSAFChg" localSheetId="0" hidden="1">{#N/A,#N/A,FALSE,"M.43"}</definedName>
    <definedName name="zCADSAFChg" hidden="1">{#N/A,#N/A,FALSE,"M.43"}</definedName>
    <definedName name="Zip" localSheetId="0">#REF!</definedName>
    <definedName name="Zip">#REF!</definedName>
    <definedName name="ZXCZ" localSheetId="0" hidden="1">{#N/A,#N/A,FALSE,"M.31"}</definedName>
    <definedName name="ZXCZ" hidden="1">{#N/A,#N/A,FALSE,"M.31"}</definedName>
    <definedName name="zz" localSheetId="0">#REF!</definedName>
    <definedName name="zz">#REF!</definedName>
    <definedName name="zzz">[122]aruskas!$A$110:$T$180</definedName>
    <definedName name="ZZZZ" localSheetId="0">#REF!</definedName>
    <definedName name="Z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C861" i="1" l="1"/>
  <c r="BC860" i="1"/>
  <c r="BC859" i="1"/>
  <c r="BC858" i="1"/>
  <c r="BC857" i="1"/>
  <c r="BC856" i="1"/>
  <c r="BC855" i="1"/>
  <c r="BC854" i="1"/>
  <c r="BC853" i="1"/>
  <c r="BC852" i="1"/>
  <c r="BC862" i="1" s="1"/>
  <c r="BC847" i="1"/>
  <c r="BC846" i="1"/>
  <c r="BC848" i="1" s="1"/>
  <c r="BC845" i="1"/>
  <c r="BC844" i="1"/>
  <c r="BC843" i="1"/>
  <c r="BC842" i="1"/>
  <c r="BC841" i="1"/>
  <c r="BC840" i="1"/>
  <c r="D839" i="1"/>
  <c r="BC838" i="1"/>
  <c r="D838" i="1"/>
  <c r="BC837" i="1"/>
  <c r="D837" i="1"/>
  <c r="D836" i="1"/>
  <c r="D835" i="1"/>
  <c r="D834" i="1"/>
  <c r="D833" i="1"/>
  <c r="BC832" i="1"/>
  <c r="D832" i="1"/>
  <c r="BC831" i="1"/>
  <c r="D831" i="1"/>
  <c r="BC830" i="1"/>
  <c r="D830" i="1"/>
  <c r="BC829" i="1"/>
  <c r="D829" i="1"/>
  <c r="BC828" i="1"/>
  <c r="D828" i="1"/>
  <c r="BC827" i="1"/>
  <c r="D827" i="1"/>
  <c r="BC826" i="1"/>
  <c r="D826" i="1"/>
  <c r="BC825" i="1"/>
  <c r="D825" i="1"/>
  <c r="BC824" i="1"/>
  <c r="D824" i="1"/>
  <c r="BC823" i="1"/>
  <c r="D823" i="1"/>
  <c r="D822" i="1"/>
  <c r="D821" i="1"/>
  <c r="D820" i="1"/>
  <c r="BC819" i="1"/>
  <c r="D819" i="1"/>
  <c r="BC818" i="1"/>
  <c r="O818" i="1"/>
  <c r="N818" i="1"/>
  <c r="D818" i="1"/>
  <c r="BC817" i="1"/>
  <c r="D817" i="1"/>
  <c r="BC816" i="1"/>
  <c r="D816" i="1"/>
  <c r="BC815" i="1"/>
  <c r="K815" i="1"/>
  <c r="D815" i="1"/>
  <c r="BC814" i="1"/>
  <c r="N814" i="1"/>
  <c r="O814" i="1" s="1"/>
  <c r="K814" i="1"/>
  <c r="D814" i="1"/>
  <c r="BC813" i="1"/>
  <c r="N813" i="1"/>
  <c r="O813" i="1" s="1"/>
  <c r="K813" i="1"/>
  <c r="D813" i="1"/>
  <c r="BC812" i="1"/>
  <c r="N812" i="1"/>
  <c r="O812" i="1" s="1"/>
  <c r="K812" i="1"/>
  <c r="D812" i="1"/>
  <c r="BC811" i="1"/>
  <c r="N811" i="1"/>
  <c r="O811" i="1" s="1"/>
  <c r="K811" i="1"/>
  <c r="D811" i="1"/>
  <c r="BC810" i="1"/>
  <c r="N810" i="1"/>
  <c r="O810" i="1" s="1"/>
  <c r="K810" i="1"/>
  <c r="D810" i="1"/>
  <c r="BC809" i="1"/>
  <c r="R809" i="1"/>
  <c r="O809" i="1"/>
  <c r="N809" i="1"/>
  <c r="K809" i="1"/>
  <c r="D809" i="1"/>
  <c r="R808" i="1"/>
  <c r="N808" i="1"/>
  <c r="O808" i="1" s="1"/>
  <c r="K808" i="1"/>
  <c r="D808" i="1"/>
  <c r="R807" i="1"/>
  <c r="N807" i="1"/>
  <c r="O807" i="1" s="1"/>
  <c r="K807" i="1"/>
  <c r="H807" i="1"/>
  <c r="D807" i="1"/>
  <c r="D840" i="1" s="1"/>
  <c r="R806" i="1"/>
  <c r="N806" i="1"/>
  <c r="O806" i="1" s="1"/>
  <c r="K806" i="1"/>
  <c r="H806" i="1"/>
  <c r="D806" i="1"/>
  <c r="R805" i="1"/>
  <c r="N805" i="1"/>
  <c r="O805" i="1" s="1"/>
  <c r="K805" i="1"/>
  <c r="H805" i="1"/>
  <c r="D805" i="1"/>
  <c r="BC804" i="1"/>
  <c r="BC803" i="1"/>
  <c r="BC802" i="1"/>
  <c r="BC800" i="1"/>
  <c r="AC800" i="1"/>
  <c r="BC799" i="1"/>
  <c r="AC799" i="1"/>
  <c r="BC798" i="1"/>
  <c r="AC798" i="1"/>
  <c r="BC797" i="1"/>
  <c r="AC797" i="1"/>
  <c r="BC796" i="1"/>
  <c r="AC796" i="1"/>
  <c r="BC795" i="1"/>
  <c r="AC795" i="1"/>
  <c r="BC794" i="1"/>
  <c r="AC794" i="1"/>
  <c r="AC793" i="1"/>
  <c r="AC792" i="1"/>
  <c r="AC784" i="1"/>
  <c r="AC783" i="1"/>
  <c r="AC782" i="1"/>
  <c r="AC779" i="1"/>
  <c r="AC778" i="1"/>
  <c r="AC777" i="1"/>
  <c r="AC776" i="1"/>
  <c r="AC775" i="1"/>
  <c r="AC774" i="1"/>
  <c r="AC773" i="1"/>
  <c r="AC772" i="1"/>
  <c r="AC771" i="1"/>
  <c r="AC770" i="1"/>
  <c r="AC769" i="1"/>
  <c r="AC768" i="1"/>
  <c r="AC765" i="1"/>
  <c r="AC764" i="1"/>
  <c r="AC763" i="1"/>
  <c r="AC762" i="1"/>
  <c r="AC761" i="1"/>
  <c r="AC760" i="1"/>
  <c r="AC759" i="1"/>
  <c r="AC758" i="1"/>
  <c r="AC757" i="1"/>
  <c r="AC755" i="1"/>
  <c r="AC754" i="1"/>
  <c r="AC753" i="1"/>
  <c r="AC752" i="1"/>
  <c r="AC751" i="1"/>
  <c r="AC750" i="1"/>
  <c r="AC749" i="1"/>
  <c r="AC748" i="1"/>
  <c r="AC744" i="1"/>
  <c r="AC743" i="1"/>
  <c r="AC742" i="1"/>
  <c r="AC741" i="1"/>
  <c r="AC740" i="1"/>
  <c r="AC739" i="1"/>
  <c r="AC738" i="1"/>
  <c r="AC737" i="1"/>
  <c r="AC736" i="1"/>
  <c r="AC735" i="1"/>
  <c r="AC734" i="1"/>
  <c r="AC733" i="1"/>
  <c r="AC732" i="1"/>
  <c r="AC731" i="1"/>
  <c r="AC730" i="1"/>
  <c r="AC729" i="1"/>
  <c r="AC728" i="1"/>
  <c r="AC727" i="1"/>
  <c r="AC726" i="1"/>
  <c r="AC723" i="1"/>
  <c r="AC722" i="1"/>
  <c r="AC721" i="1"/>
  <c r="AC718" i="1"/>
  <c r="AC717" i="1"/>
  <c r="AC716" i="1"/>
  <c r="AC715" i="1"/>
  <c r="AC714" i="1"/>
  <c r="AC713" i="1"/>
  <c r="AC712" i="1"/>
  <c r="AC711" i="1"/>
  <c r="AC710" i="1"/>
  <c r="AC709" i="1"/>
  <c r="AC708" i="1"/>
  <c r="R708" i="1"/>
  <c r="AC707" i="1"/>
  <c r="R707" i="1"/>
  <c r="AC706" i="1"/>
  <c r="AC705" i="1"/>
  <c r="AC704" i="1"/>
  <c r="AC703" i="1"/>
  <c r="AC702" i="1"/>
  <c r="AC701" i="1"/>
  <c r="AC700" i="1"/>
  <c r="AC699" i="1"/>
  <c r="AC698" i="1"/>
  <c r="AC697" i="1"/>
  <c r="R694" i="1"/>
  <c r="AC693" i="1"/>
  <c r="AC692" i="1"/>
  <c r="AC691" i="1"/>
  <c r="AC690" i="1"/>
  <c r="AC689" i="1"/>
  <c r="AC688" i="1"/>
  <c r="R688" i="1"/>
  <c r="AC687" i="1"/>
  <c r="AC685" i="1"/>
  <c r="R685" i="1"/>
  <c r="AC684" i="1"/>
  <c r="R684" i="1"/>
  <c r="AC683" i="1"/>
  <c r="R683" i="1"/>
  <c r="AC682" i="1"/>
  <c r="AC681" i="1"/>
  <c r="AC680" i="1"/>
  <c r="R680" i="1"/>
  <c r="AC679" i="1"/>
  <c r="AC678" i="1"/>
  <c r="AC676" i="1"/>
  <c r="AC675" i="1"/>
  <c r="AC674" i="1"/>
  <c r="AC673" i="1"/>
  <c r="AC672" i="1"/>
  <c r="AC671" i="1"/>
  <c r="AC670" i="1"/>
  <c r="AC669" i="1"/>
  <c r="R667" i="1"/>
  <c r="AC666" i="1"/>
  <c r="AC665" i="1"/>
  <c r="AC664" i="1"/>
  <c r="R664" i="1"/>
  <c r="AC662" i="1"/>
  <c r="AC658" i="1"/>
  <c r="AC657" i="1"/>
  <c r="AC656" i="1"/>
  <c r="R656" i="1"/>
  <c r="AC655" i="1"/>
  <c r="AC654" i="1"/>
  <c r="AC653" i="1"/>
  <c r="AC652" i="1"/>
  <c r="AC651" i="1"/>
  <c r="AC649" i="1"/>
  <c r="AC648" i="1"/>
  <c r="AC647" i="1"/>
  <c r="AC646" i="1"/>
  <c r="AC645" i="1"/>
  <c r="AC644" i="1"/>
  <c r="AC643" i="1"/>
  <c r="AC642" i="1"/>
  <c r="AC641" i="1"/>
  <c r="AC640" i="1"/>
  <c r="AC639" i="1"/>
  <c r="AC638" i="1"/>
  <c r="AC637" i="1"/>
  <c r="AC636" i="1"/>
  <c r="AC635" i="1"/>
  <c r="AC634" i="1"/>
  <c r="AC633" i="1"/>
  <c r="AC632" i="1"/>
  <c r="AC631" i="1"/>
  <c r="R631" i="1"/>
  <c r="AC630" i="1"/>
  <c r="AC629" i="1"/>
  <c r="AC627" i="1"/>
  <c r="AC626" i="1"/>
  <c r="AC625" i="1"/>
  <c r="AC624" i="1"/>
  <c r="AC623" i="1"/>
  <c r="AC622" i="1"/>
  <c r="AC621" i="1"/>
  <c r="AC620" i="1"/>
  <c r="AC619" i="1"/>
  <c r="AC618" i="1"/>
  <c r="AC617" i="1"/>
  <c r="AC616" i="1"/>
  <c r="AC615" i="1"/>
  <c r="AC614" i="1"/>
  <c r="AC613" i="1"/>
  <c r="AC612" i="1"/>
  <c r="AC611" i="1"/>
  <c r="AC610" i="1"/>
  <c r="AC609" i="1"/>
  <c r="AC608" i="1"/>
  <c r="AC607" i="1"/>
  <c r="AC606" i="1"/>
  <c r="AC605" i="1"/>
  <c r="AC604" i="1"/>
  <c r="AC602" i="1"/>
  <c r="AC601" i="1"/>
  <c r="AC599" i="1"/>
  <c r="R599" i="1"/>
  <c r="AC598" i="1"/>
  <c r="AC597" i="1"/>
  <c r="AC596" i="1"/>
  <c r="AC595" i="1"/>
  <c r="AC594" i="1"/>
  <c r="AC593" i="1"/>
  <c r="AC592" i="1"/>
  <c r="AC591" i="1"/>
  <c r="AC590" i="1"/>
  <c r="AC589" i="1"/>
  <c r="AC588" i="1"/>
  <c r="AC587" i="1"/>
  <c r="AC586" i="1"/>
  <c r="AC585" i="1"/>
  <c r="AC584" i="1"/>
  <c r="AC583" i="1"/>
  <c r="AC582" i="1"/>
  <c r="AC581" i="1"/>
  <c r="AC580" i="1"/>
  <c r="AC579" i="1"/>
  <c r="AC578" i="1"/>
  <c r="AC577" i="1"/>
  <c r="AC576" i="1"/>
  <c r="AC575" i="1"/>
  <c r="AC574" i="1"/>
  <c r="AC573" i="1"/>
  <c r="AC572" i="1"/>
  <c r="AC571" i="1"/>
  <c r="AC570" i="1"/>
  <c r="AC569" i="1"/>
  <c r="AC568" i="1"/>
  <c r="AC567" i="1"/>
  <c r="AC566" i="1"/>
  <c r="AC565" i="1"/>
  <c r="AC564" i="1"/>
  <c r="AC563" i="1"/>
  <c r="AC562" i="1"/>
  <c r="AC559" i="1"/>
  <c r="AC558" i="1"/>
  <c r="AC557" i="1"/>
  <c r="AC556" i="1"/>
  <c r="AC555" i="1"/>
  <c r="AC554" i="1"/>
  <c r="AC553" i="1"/>
  <c r="AC552" i="1"/>
  <c r="AC551" i="1"/>
  <c r="AC550" i="1"/>
  <c r="AC549" i="1"/>
  <c r="AC548" i="1"/>
  <c r="AC547" i="1"/>
  <c r="AC546" i="1"/>
  <c r="AC545" i="1"/>
  <c r="AC544" i="1"/>
  <c r="AC543" i="1"/>
  <c r="AC542" i="1"/>
  <c r="AC541" i="1"/>
  <c r="AC539" i="1"/>
  <c r="AC538" i="1"/>
  <c r="AC537" i="1"/>
  <c r="AC536" i="1"/>
  <c r="AC534" i="1"/>
  <c r="AC533" i="1"/>
  <c r="AC532" i="1"/>
  <c r="AC531" i="1"/>
  <c r="AC530" i="1"/>
  <c r="AC529" i="1"/>
  <c r="AC528" i="1"/>
  <c r="AC527" i="1"/>
  <c r="AC526" i="1"/>
  <c r="R526" i="1"/>
  <c r="AC525" i="1"/>
  <c r="AC524" i="1"/>
  <c r="AC523" i="1"/>
  <c r="R523" i="1"/>
  <c r="AC522" i="1"/>
  <c r="AC521" i="1"/>
  <c r="AC520" i="1"/>
  <c r="AC519" i="1"/>
  <c r="AC518" i="1"/>
  <c r="R518" i="1"/>
  <c r="AC517" i="1"/>
  <c r="AC516" i="1"/>
  <c r="AC515" i="1"/>
  <c r="AC512" i="1"/>
  <c r="R512" i="1"/>
  <c r="AC511" i="1"/>
  <c r="AC510" i="1"/>
  <c r="R510" i="1"/>
  <c r="AC509" i="1"/>
  <c r="R509" i="1"/>
  <c r="AC508" i="1"/>
  <c r="AC507" i="1"/>
  <c r="AC506" i="1"/>
  <c r="AC505" i="1"/>
  <c r="AC504" i="1"/>
  <c r="AC503" i="1"/>
  <c r="AC502" i="1"/>
  <c r="AC501" i="1"/>
  <c r="AC500" i="1"/>
  <c r="AC499" i="1"/>
  <c r="AC498" i="1"/>
  <c r="R498" i="1"/>
  <c r="AC497" i="1"/>
  <c r="AC496" i="1"/>
  <c r="AC495" i="1"/>
  <c r="AC494" i="1"/>
  <c r="AC492" i="1"/>
  <c r="AC490" i="1"/>
  <c r="AC489" i="1"/>
  <c r="AC488" i="1"/>
  <c r="AC487" i="1"/>
  <c r="AC486" i="1"/>
  <c r="AC485" i="1"/>
  <c r="R485" i="1"/>
  <c r="AC484" i="1"/>
  <c r="R484" i="1"/>
  <c r="AC483" i="1"/>
  <c r="AC482" i="1"/>
  <c r="AC479" i="1"/>
  <c r="AC478" i="1"/>
  <c r="AC477" i="1"/>
  <c r="AC476" i="1"/>
  <c r="AC475" i="1"/>
  <c r="AC474" i="1"/>
  <c r="AC473" i="1"/>
  <c r="AC472" i="1"/>
  <c r="AC471" i="1"/>
  <c r="AC470" i="1"/>
  <c r="AC469" i="1"/>
  <c r="AC468" i="1"/>
  <c r="AC467" i="1"/>
  <c r="AC466" i="1"/>
  <c r="AC465" i="1"/>
  <c r="AC464" i="1"/>
  <c r="AC463" i="1"/>
  <c r="AC462" i="1"/>
  <c r="AC461" i="1"/>
  <c r="AC460" i="1"/>
  <c r="AC459" i="1"/>
  <c r="AC458" i="1"/>
  <c r="AC457" i="1"/>
  <c r="AC456" i="1"/>
  <c r="AC455" i="1"/>
  <c r="AC454" i="1"/>
  <c r="AC453" i="1"/>
  <c r="AC452" i="1"/>
  <c r="AC451" i="1"/>
  <c r="AC450" i="1"/>
  <c r="AC449" i="1"/>
  <c r="AC448" i="1"/>
  <c r="AC447" i="1"/>
  <c r="AC446" i="1"/>
  <c r="AC445" i="1"/>
  <c r="AC444" i="1"/>
  <c r="AC443" i="1"/>
  <c r="AC442" i="1"/>
  <c r="AC440" i="1"/>
  <c r="AC439" i="1"/>
  <c r="AC438" i="1"/>
  <c r="AC437" i="1"/>
  <c r="AC436" i="1"/>
  <c r="AC435" i="1"/>
  <c r="AC434" i="1"/>
  <c r="AC431" i="1"/>
  <c r="AC430" i="1"/>
  <c r="AC429" i="1"/>
  <c r="AC428" i="1"/>
  <c r="AC427" i="1"/>
  <c r="AC426" i="1"/>
  <c r="AC425" i="1"/>
  <c r="AC424" i="1"/>
  <c r="AC423" i="1"/>
  <c r="AC422" i="1"/>
  <c r="AC421" i="1"/>
  <c r="AC420" i="1"/>
  <c r="AC419" i="1"/>
  <c r="AC418" i="1"/>
  <c r="AC417" i="1"/>
  <c r="AC416" i="1"/>
  <c r="AC415" i="1"/>
  <c r="AC414" i="1"/>
  <c r="R414" i="1"/>
  <c r="AC413" i="1"/>
  <c r="R413" i="1"/>
  <c r="AC412" i="1"/>
  <c r="AC411" i="1"/>
  <c r="AC410" i="1"/>
  <c r="R410" i="1"/>
  <c r="AC409" i="1"/>
  <c r="AC408" i="1"/>
  <c r="AC407" i="1"/>
  <c r="AC406" i="1"/>
  <c r="AC405" i="1"/>
  <c r="AC404" i="1"/>
  <c r="AC403" i="1"/>
  <c r="AC402" i="1"/>
  <c r="AC401" i="1"/>
  <c r="AC400" i="1"/>
  <c r="AC399" i="1"/>
  <c r="AC398" i="1"/>
  <c r="AC397" i="1"/>
  <c r="AC396" i="1"/>
  <c r="AC395" i="1"/>
  <c r="AC394" i="1"/>
  <c r="AC393" i="1"/>
  <c r="AC392" i="1"/>
  <c r="AC391" i="1"/>
  <c r="AC390" i="1"/>
  <c r="AC389" i="1"/>
  <c r="AC388" i="1"/>
  <c r="AC387" i="1"/>
  <c r="AC386" i="1"/>
  <c r="AC385" i="1"/>
  <c r="AC384" i="1"/>
  <c r="AC383" i="1"/>
  <c r="AC381" i="1"/>
  <c r="AC380" i="1"/>
  <c r="AC379" i="1"/>
  <c r="AC378" i="1"/>
  <c r="AC377" i="1"/>
  <c r="AC375" i="1"/>
  <c r="AC374" i="1"/>
  <c r="AC373" i="1"/>
  <c r="AC372" i="1"/>
  <c r="AC371" i="1"/>
  <c r="AC370" i="1"/>
  <c r="AC369" i="1"/>
  <c r="AC368" i="1"/>
  <c r="AC367" i="1"/>
  <c r="AC366" i="1"/>
  <c r="AC365" i="1"/>
  <c r="AC364" i="1"/>
  <c r="AC363" i="1"/>
  <c r="AC362" i="1"/>
  <c r="AC361" i="1"/>
  <c r="AC360" i="1"/>
  <c r="AC359" i="1"/>
  <c r="AC358" i="1"/>
  <c r="AC357" i="1"/>
  <c r="AC356" i="1"/>
  <c r="AC355" i="1"/>
  <c r="AC354" i="1"/>
  <c r="AC353" i="1"/>
  <c r="AC352" i="1"/>
  <c r="AC351" i="1"/>
  <c r="AC350" i="1"/>
  <c r="AC349" i="1"/>
  <c r="AC348" i="1"/>
  <c r="AC347" i="1"/>
  <c r="AC346" i="1"/>
  <c r="AC345" i="1"/>
  <c r="AC344" i="1"/>
  <c r="AC343" i="1"/>
  <c r="AC342" i="1"/>
  <c r="AC341" i="1"/>
  <c r="AC340" i="1"/>
  <c r="AC339" i="1"/>
  <c r="AC338" i="1"/>
  <c r="AC337" i="1"/>
  <c r="AC336" i="1"/>
  <c r="AC335" i="1"/>
  <c r="AC334" i="1"/>
  <c r="AC330" i="1"/>
  <c r="R330" i="1"/>
  <c r="AC329" i="1"/>
  <c r="A329" i="1"/>
  <c r="A330" i="1" s="1"/>
  <c r="AC328" i="1"/>
  <c r="A328" i="1"/>
  <c r="AC327" i="1"/>
  <c r="A327" i="1"/>
  <c r="AC326" i="1"/>
  <c r="A326" i="1"/>
  <c r="AC324" i="1"/>
  <c r="AC323" i="1"/>
  <c r="AC322" i="1"/>
  <c r="AC320" i="1"/>
  <c r="AC319" i="1"/>
  <c r="AC318" i="1"/>
  <c r="AC317" i="1"/>
  <c r="AC316" i="1"/>
  <c r="AC314" i="1"/>
  <c r="AC313" i="1"/>
  <c r="AC312" i="1"/>
  <c r="AC311" i="1"/>
  <c r="R311" i="1"/>
  <c r="AC310" i="1"/>
  <c r="AC309" i="1"/>
  <c r="AC308" i="1"/>
  <c r="AC307" i="1"/>
  <c r="AC300" i="1"/>
  <c r="R300" i="1"/>
  <c r="AC299" i="1"/>
  <c r="R299" i="1"/>
  <c r="AC298" i="1"/>
  <c r="AC297" i="1"/>
  <c r="AC295" i="1"/>
  <c r="AC292" i="1"/>
  <c r="AC291" i="1"/>
  <c r="AC289" i="1"/>
  <c r="AC288" i="1"/>
  <c r="AC287" i="1"/>
  <c r="AC286" i="1"/>
  <c r="AC285" i="1"/>
  <c r="AC284" i="1"/>
  <c r="AC283" i="1"/>
  <c r="AC282" i="1"/>
  <c r="AC281" i="1"/>
  <c r="AC280" i="1"/>
  <c r="AC279" i="1"/>
  <c r="AC278" i="1"/>
  <c r="R278" i="1"/>
  <c r="AC277" i="1"/>
  <c r="R277" i="1"/>
  <c r="AC276" i="1"/>
  <c r="AC275" i="1"/>
  <c r="AC274" i="1"/>
  <c r="R274" i="1"/>
  <c r="AC273" i="1"/>
  <c r="R273" i="1"/>
  <c r="AC272" i="1"/>
  <c r="R272" i="1"/>
  <c r="AC271" i="1"/>
  <c r="AC270" i="1"/>
  <c r="R270" i="1"/>
  <c r="AC268" i="1"/>
  <c r="R268" i="1"/>
  <c r="AC267" i="1"/>
  <c r="AC266" i="1"/>
  <c r="R266" i="1"/>
  <c r="AC265" i="1"/>
  <c r="AC264" i="1"/>
  <c r="AC263" i="1"/>
  <c r="AC262" i="1"/>
  <c r="AC261" i="1"/>
  <c r="AC260" i="1"/>
  <c r="AC259" i="1"/>
  <c r="AC258" i="1"/>
  <c r="AC257" i="1"/>
  <c r="AC256" i="1"/>
  <c r="AC255" i="1"/>
  <c r="AC254" i="1"/>
  <c r="AC253" i="1"/>
  <c r="R253" i="1"/>
  <c r="AC252" i="1"/>
  <c r="R252" i="1"/>
  <c r="AC251" i="1"/>
  <c r="AC250" i="1"/>
  <c r="AC249" i="1"/>
  <c r="AC247" i="1"/>
  <c r="R247" i="1"/>
  <c r="AC246" i="1"/>
  <c r="AC245" i="1"/>
  <c r="AC244" i="1"/>
  <c r="AC243" i="1"/>
  <c r="AC242" i="1"/>
  <c r="AC241" i="1"/>
  <c r="R241" i="1"/>
  <c r="AC240" i="1"/>
  <c r="AC239" i="1"/>
  <c r="AC238" i="1"/>
  <c r="AC234" i="1"/>
  <c r="AC233" i="1"/>
  <c r="AC232" i="1"/>
  <c r="AC231" i="1"/>
  <c r="AC230" i="1"/>
  <c r="AC229" i="1"/>
  <c r="AC228" i="1"/>
  <c r="AC227" i="1"/>
  <c r="AC226" i="1"/>
  <c r="AC225" i="1"/>
  <c r="AC224" i="1"/>
  <c r="AC223" i="1"/>
  <c r="AC222" i="1"/>
  <c r="AC221" i="1"/>
  <c r="AC220" i="1"/>
  <c r="AC219" i="1"/>
  <c r="AC218" i="1"/>
  <c r="AC217" i="1"/>
  <c r="AC216" i="1"/>
  <c r="R216" i="1"/>
  <c r="AC215" i="1"/>
  <c r="AC214" i="1"/>
  <c r="AC213" i="1"/>
  <c r="AC212" i="1"/>
  <c r="AC211" i="1"/>
  <c r="AC210" i="1"/>
  <c r="AC209" i="1"/>
  <c r="AC208" i="1"/>
  <c r="AC207" i="1"/>
  <c r="AC206" i="1"/>
  <c r="AC205" i="1"/>
  <c r="AC204" i="1"/>
  <c r="AC203" i="1"/>
  <c r="AC202" i="1"/>
  <c r="AC201" i="1"/>
  <c r="AC200" i="1"/>
  <c r="AC199" i="1"/>
  <c r="AC198" i="1"/>
  <c r="AC197" i="1"/>
  <c r="AC196" i="1"/>
  <c r="A196" i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C195" i="1"/>
  <c r="A195" i="1"/>
  <c r="AC194" i="1"/>
  <c r="A194" i="1"/>
  <c r="AC193" i="1"/>
  <c r="A193" i="1"/>
  <c r="AC192" i="1"/>
  <c r="AC190" i="1"/>
  <c r="AC189" i="1"/>
  <c r="AC188" i="1"/>
  <c r="AC187" i="1"/>
  <c r="AC186" i="1"/>
  <c r="AC185" i="1"/>
  <c r="AC184" i="1"/>
  <c r="AC183" i="1"/>
  <c r="AC182" i="1"/>
  <c r="AC181" i="1"/>
  <c r="AC180" i="1"/>
  <c r="R180" i="1"/>
  <c r="AC179" i="1"/>
  <c r="AC178" i="1"/>
  <c r="AC177" i="1"/>
  <c r="AC176" i="1"/>
  <c r="AC175" i="1"/>
  <c r="AC174" i="1"/>
  <c r="AC173" i="1"/>
  <c r="AC172" i="1"/>
  <c r="AC171" i="1"/>
  <c r="AC170" i="1"/>
  <c r="AC169" i="1"/>
  <c r="R169" i="1"/>
  <c r="AC168" i="1"/>
  <c r="AC167" i="1"/>
  <c r="AC166" i="1"/>
  <c r="AC165" i="1"/>
  <c r="AC164" i="1"/>
  <c r="AC163" i="1"/>
  <c r="AC162" i="1"/>
  <c r="AC161" i="1"/>
  <c r="AC160" i="1"/>
  <c r="R160" i="1"/>
  <c r="AC158" i="1"/>
  <c r="AC157" i="1"/>
  <c r="AC156" i="1"/>
  <c r="R156" i="1"/>
  <c r="AC155" i="1"/>
  <c r="AC154" i="1"/>
  <c r="AC153" i="1"/>
  <c r="AC152" i="1"/>
  <c r="R152" i="1"/>
  <c r="AC150" i="1"/>
  <c r="R150" i="1"/>
  <c r="AC149" i="1"/>
  <c r="AC148" i="1"/>
  <c r="R148" i="1"/>
  <c r="AC147" i="1"/>
  <c r="AC146" i="1"/>
  <c r="R146" i="1"/>
  <c r="AC145" i="1"/>
  <c r="R145" i="1"/>
  <c r="AC144" i="1"/>
  <c r="R144" i="1"/>
  <c r="AC143" i="1"/>
  <c r="R143" i="1"/>
  <c r="AC142" i="1"/>
  <c r="R142" i="1"/>
  <c r="A142" i="1"/>
  <c r="A143" i="1" s="1"/>
  <c r="A144" i="1" s="1"/>
  <c r="A145" i="1" s="1"/>
  <c r="A146" i="1" s="1"/>
  <c r="A147" i="1" s="1"/>
  <c r="A148" i="1" s="1"/>
  <c r="A149" i="1" s="1"/>
  <c r="A150" i="1" s="1"/>
  <c r="A152" i="1" s="1"/>
  <c r="A153" i="1" s="1"/>
  <c r="A154" i="1" s="1"/>
  <c r="A155" i="1" s="1"/>
  <c r="A156" i="1" s="1"/>
  <c r="AC140" i="1"/>
  <c r="AC139" i="1"/>
  <c r="AC138" i="1"/>
  <c r="AC137" i="1"/>
  <c r="AC136" i="1"/>
  <c r="AC135" i="1"/>
  <c r="AC134" i="1"/>
  <c r="AC133" i="1"/>
  <c r="AC132" i="1"/>
  <c r="AC131" i="1"/>
  <c r="AC130" i="1"/>
  <c r="R130" i="1"/>
  <c r="AC129" i="1"/>
  <c r="R129" i="1"/>
  <c r="AC128" i="1"/>
  <c r="AC127" i="1"/>
  <c r="AC126" i="1"/>
  <c r="AC125" i="1"/>
  <c r="AC124" i="1"/>
  <c r="R124" i="1"/>
  <c r="AC123" i="1"/>
  <c r="AC122" i="1"/>
  <c r="R122" i="1"/>
  <c r="AC121" i="1"/>
  <c r="R121" i="1"/>
  <c r="AC120" i="1"/>
  <c r="AC119" i="1"/>
  <c r="AC118" i="1"/>
  <c r="AC117" i="1"/>
  <c r="AC116" i="1"/>
  <c r="AC114" i="1"/>
  <c r="AC113" i="1"/>
  <c r="AC112" i="1"/>
  <c r="AC111" i="1"/>
  <c r="AC110" i="1"/>
  <c r="AC109" i="1"/>
  <c r="AC106" i="1"/>
  <c r="AC105" i="1"/>
  <c r="AC104" i="1"/>
  <c r="A104" i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C103" i="1"/>
  <c r="R103" i="1"/>
  <c r="AC102" i="1"/>
  <c r="AC101" i="1"/>
  <c r="AC100" i="1"/>
  <c r="AC99" i="1"/>
  <c r="R99" i="1"/>
  <c r="AC98" i="1"/>
  <c r="R98" i="1"/>
  <c r="A96" i="1"/>
  <c r="AC95" i="1"/>
  <c r="AC94" i="1"/>
  <c r="AC93" i="1"/>
  <c r="AC92" i="1"/>
  <c r="AC91" i="1"/>
  <c r="AC90" i="1"/>
  <c r="AC89" i="1"/>
  <c r="A89" i="1"/>
  <c r="A90" i="1" s="1"/>
  <c r="A91" i="1" s="1"/>
  <c r="A92" i="1" s="1"/>
  <c r="A93" i="1" s="1"/>
  <c r="A94" i="1" s="1"/>
  <c r="A95" i="1" s="1"/>
  <c r="A97" i="1" s="1"/>
  <c r="A98" i="1" s="1"/>
  <c r="A99" i="1" s="1"/>
  <c r="A100" i="1" s="1"/>
  <c r="A101" i="1" s="1"/>
  <c r="A102" i="1" s="1"/>
  <c r="A103" i="1" s="1"/>
  <c r="AC88" i="1"/>
  <c r="AC87" i="1"/>
  <c r="AC84" i="1"/>
  <c r="A84" i="1"/>
  <c r="A85" i="1" s="1"/>
  <c r="A86" i="1" s="1"/>
  <c r="AC83" i="1"/>
  <c r="AC82" i="1"/>
  <c r="AC81" i="1"/>
  <c r="A81" i="1"/>
  <c r="A82" i="1" s="1"/>
  <c r="A83" i="1" s="1"/>
  <c r="AC80" i="1"/>
  <c r="AC79" i="1"/>
  <c r="R79" i="1"/>
  <c r="A79" i="1"/>
  <c r="AC78" i="1"/>
  <c r="AC77" i="1"/>
  <c r="AC76" i="1"/>
  <c r="AC75" i="1"/>
  <c r="AC74" i="1"/>
  <c r="AC73" i="1"/>
  <c r="AC72" i="1"/>
  <c r="AC71" i="1"/>
  <c r="R71" i="1"/>
  <c r="AC70" i="1"/>
  <c r="AC69" i="1"/>
  <c r="AC68" i="1"/>
  <c r="AC67" i="1"/>
  <c r="AC66" i="1"/>
  <c r="AC65" i="1"/>
  <c r="A63" i="1"/>
  <c r="A64" i="1" s="1"/>
  <c r="A65" i="1" s="1"/>
  <c r="A68" i="1" s="1"/>
  <c r="A69" i="1" s="1"/>
  <c r="A70" i="1" s="1"/>
  <c r="A71" i="1" s="1"/>
  <c r="A72" i="1" s="1"/>
  <c r="A73" i="1" s="1"/>
  <c r="A75" i="1" s="1"/>
  <c r="AC62" i="1"/>
  <c r="A62" i="1"/>
  <c r="AC61" i="1"/>
  <c r="AC60" i="1"/>
  <c r="AC59" i="1"/>
  <c r="AC58" i="1"/>
  <c r="AC57" i="1"/>
  <c r="AC56" i="1"/>
  <c r="AC55" i="1"/>
  <c r="AC54" i="1"/>
  <c r="A54" i="1"/>
  <c r="A55" i="1" s="1"/>
  <c r="A56" i="1" s="1"/>
  <c r="A57" i="1" s="1"/>
  <c r="A59" i="1" s="1"/>
  <c r="A60" i="1" s="1"/>
  <c r="AC53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4" i="1"/>
  <c r="AC13" i="1"/>
  <c r="AC12" i="1"/>
  <c r="A12" i="1"/>
  <c r="A13" i="1" s="1"/>
  <c r="A14" i="1" s="1"/>
  <c r="A16" i="1" s="1"/>
  <c r="A17" i="1" s="1"/>
  <c r="A18" i="1" s="1"/>
  <c r="A19" i="1" s="1"/>
  <c r="A20" i="1" s="1"/>
  <c r="A21" i="1" s="1"/>
  <c r="A22" i="1" s="1"/>
  <c r="A23" i="1" s="1"/>
  <c r="AC11" i="1"/>
  <c r="AC10" i="1"/>
  <c r="R10" i="1"/>
  <c r="AC9" i="1"/>
  <c r="A9" i="1"/>
  <c r="A10" i="1" s="1"/>
  <c r="A11" i="1" s="1"/>
  <c r="AC8" i="1"/>
  <c r="A222" i="1" l="1"/>
  <c r="A221" i="1"/>
  <c r="A223" i="1" s="1"/>
  <c r="A122" i="1"/>
  <c r="A121" i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25" i="1"/>
  <c r="A24" i="1"/>
  <c r="A26" i="1" s="1"/>
  <c r="A27" i="1" s="1"/>
  <c r="A28" i="1" s="1"/>
  <c r="A29" i="1" s="1"/>
  <c r="A30" i="1" s="1"/>
  <c r="A31" i="1" s="1"/>
  <c r="A32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158" i="1"/>
  <c r="A157" i="1"/>
  <c r="A160" i="1" s="1"/>
  <c r="A161" i="1" s="1"/>
  <c r="A162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332" i="1"/>
  <c r="A331" i="1"/>
  <c r="A333" i="1" s="1"/>
  <c r="O815" i="1"/>
  <c r="A67" i="1"/>
  <c r="N815" i="1"/>
  <c r="N820" i="1" s="1"/>
  <c r="BC833" i="1"/>
  <c r="H808" i="1"/>
  <c r="R810" i="1"/>
  <c r="BC805" i="1"/>
  <c r="A334" i="1" l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9" i="1" s="1"/>
  <c r="A380" i="1" s="1"/>
  <c r="A381" i="1" s="1"/>
  <c r="A382" i="1" s="1"/>
  <c r="A335" i="1"/>
  <c r="A135" i="1"/>
  <c r="A133" i="1"/>
  <c r="A225" i="1"/>
  <c r="A224" i="1"/>
  <c r="A226" i="1" s="1"/>
  <c r="A227" i="1" s="1"/>
  <c r="A228" i="1" s="1"/>
  <c r="A229" i="1" s="1"/>
  <c r="A230" i="1" s="1"/>
  <c r="A232" i="1" l="1"/>
  <c r="A231" i="1"/>
  <c r="A233" i="1" s="1"/>
  <c r="A234" i="1" s="1"/>
  <c r="A136" i="1"/>
  <c r="A134" i="1"/>
  <c r="A384" i="1"/>
  <c r="A383" i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50" i="1" l="1"/>
  <c r="A449" i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137" i="1"/>
  <c r="A139" i="1" s="1"/>
  <c r="A138" i="1"/>
  <c r="A235" i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36" i="1"/>
  <c r="A249" i="1" l="1"/>
  <c r="A247" i="1"/>
  <c r="A473" i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474" i="1"/>
  <c r="A514" i="1" l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13" i="1"/>
  <c r="A248" i="1"/>
  <c r="A251" i="1" s="1"/>
  <c r="A252" i="1" s="1"/>
  <c r="A253" i="1" s="1"/>
  <c r="A254" i="1" s="1"/>
  <c r="A255" i="1" s="1"/>
  <c r="A250" i="1"/>
  <c r="A257" i="1" l="1"/>
  <c r="A256" i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559" i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60" i="1"/>
  <c r="A573" i="1" l="1"/>
  <c r="A572" i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301" i="1"/>
  <c r="A299" i="1"/>
  <c r="A302" i="1" l="1"/>
  <c r="A300" i="1"/>
  <c r="A303" i="1" s="1"/>
  <c r="A304" i="1" s="1"/>
  <c r="A305" i="1" s="1"/>
  <c r="A306" i="1" s="1"/>
  <c r="A307" i="1" s="1"/>
  <c r="A308" i="1" s="1"/>
  <c r="A309" i="1" s="1"/>
  <c r="A310" i="1" s="1"/>
  <c r="A606" i="1"/>
  <c r="A608" i="1" s="1"/>
  <c r="A609" i="1" s="1"/>
  <c r="A610" i="1" s="1"/>
  <c r="A611" i="1" s="1"/>
  <c r="A612" i="1" s="1"/>
  <c r="A613" i="1" s="1"/>
  <c r="A614" i="1" s="1"/>
  <c r="A607" i="1"/>
  <c r="A616" i="1" l="1"/>
  <c r="A615" i="1"/>
  <c r="A311" i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13" i="1"/>
  <c r="A312" i="1"/>
  <c r="A617" i="1" l="1"/>
  <c r="A620" i="1"/>
  <c r="A621" i="1" l="1"/>
  <c r="A618" i="1"/>
  <c r="A622" i="1" l="1"/>
  <c r="A619" i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6" i="1" l="1"/>
  <c r="A638" i="1" s="1"/>
  <c r="A635" i="1"/>
  <c r="A637" i="1" s="1"/>
  <c r="A639" i="1" s="1"/>
  <c r="A640" i="1" s="1"/>
  <c r="A642" i="1" l="1"/>
  <c r="A641" i="1"/>
  <c r="A644" i="1" l="1"/>
  <c r="A643" i="1"/>
  <c r="A645" i="1" s="1"/>
  <c r="A647" i="1" l="1"/>
  <c r="A646" i="1"/>
  <c r="A648" i="1" s="1"/>
  <c r="A649" i="1" s="1"/>
  <c r="A651" i="1" l="1"/>
  <c r="A650" i="1"/>
  <c r="A652" i="1" l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53" i="1"/>
  <c r="A682" i="1" l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683" i="1"/>
  <c r="A708" i="1" l="1"/>
  <c r="A710" i="1" s="1"/>
  <c r="A711" i="1" s="1"/>
  <c r="A709" i="1"/>
  <c r="A712" i="1" l="1"/>
  <c r="A714" i="1" s="1"/>
  <c r="A715" i="1" s="1"/>
  <c r="A716" i="1" s="1"/>
  <c r="A717" i="1" s="1"/>
  <c r="A718" i="1" s="1"/>
  <c r="A719" i="1" s="1"/>
  <c r="A720" i="1" s="1"/>
  <c r="A721" i="1" s="1"/>
  <c r="A722" i="1" s="1"/>
  <c r="A713" i="1"/>
  <c r="A723" i="1" l="1"/>
  <c r="A725" i="1" s="1"/>
  <c r="A726" i="1" s="1"/>
  <c r="A724" i="1"/>
  <c r="A728" i="1" l="1"/>
  <c r="A727" i="1"/>
  <c r="A729" i="1" l="1"/>
  <c r="A731" i="1" s="1"/>
  <c r="A732" i="1" s="1"/>
  <c r="A733" i="1" s="1"/>
  <c r="A734" i="1" s="1"/>
  <c r="A730" i="1"/>
  <c r="A735" i="1" l="1"/>
  <c r="A737" i="1"/>
  <c r="A738" i="1" l="1"/>
  <c r="A736" i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50" i="1" l="1"/>
  <c r="A749" i="1"/>
  <c r="A752" i="1" l="1"/>
  <c r="A751" i="1"/>
  <c r="A753" i="1" s="1"/>
  <c r="A754" i="1" s="1"/>
  <c r="A755" i="1" s="1"/>
  <c r="A756" i="1" s="1"/>
  <c r="A757" i="1" s="1"/>
  <c r="A759" i="1" l="1"/>
  <c r="A758" i="1"/>
  <c r="A760" i="1" s="1"/>
  <c r="A761" i="1" s="1"/>
  <c r="A762" i="1" s="1"/>
  <c r="A763" i="1" s="1"/>
  <c r="A764" i="1" s="1"/>
  <c r="A765" i="1" s="1"/>
  <c r="A766" i="1" s="1"/>
  <c r="A767" i="1" s="1"/>
  <c r="A769" i="1" l="1"/>
  <c r="A768" i="1"/>
  <c r="A770" i="1" s="1"/>
  <c r="A771" i="1" s="1"/>
  <c r="A772" i="1" s="1"/>
  <c r="A773" i="1" s="1"/>
  <c r="A774" i="1" s="1"/>
  <c r="A775" i="1" s="1"/>
  <c r="A776" i="1" s="1"/>
  <c r="A778" i="1" l="1"/>
  <c r="A777" i="1"/>
  <c r="A779" i="1" s="1"/>
  <c r="A780" i="1" s="1"/>
  <c r="A781" i="1" s="1"/>
  <c r="A782" i="1" s="1"/>
  <c r="A783" i="1" s="1"/>
  <c r="A784" i="1" s="1"/>
  <c r="A785" i="1" s="1"/>
  <c r="A786" i="1" s="1"/>
  <c r="A788" i="1" l="1"/>
  <c r="A787" i="1"/>
  <c r="A790" i="1" s="1"/>
  <c r="A791" i="1" s="1"/>
  <c r="A792" i="1" s="1"/>
  <c r="A789" i="1"/>
  <c r="A794" i="1" l="1"/>
  <c r="A793" i="1"/>
  <c r="A795" i="1" s="1"/>
  <c r="A796" i="1" s="1"/>
  <c r="A797" i="1" s="1"/>
  <c r="A798" i="1" s="1"/>
  <c r="A799" i="1" s="1"/>
  <c r="A80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Imam</author>
    <author>cimahi</author>
    <author>Tehnik</author>
    <author>Hrkon-Opdist</author>
    <author>SEPTI</author>
  </authors>
  <commentList>
    <comment ref="J72" authorId="0" shapeId="0" xr:uid="{6F5E26AB-A932-4081-819E-EF68D9E4E59F}">
      <text>
        <r>
          <rPr>
            <b/>
            <sz val="9"/>
            <rFont val="Tahoma"/>
            <family val="2"/>
          </rPr>
          <t>1283</t>
        </r>
      </text>
    </comment>
    <comment ref="N72" authorId="1" shapeId="0" xr:uid="{272FB5A1-0066-4DDA-8CB5-B0A114AFE810}">
      <text>
        <r>
          <rPr>
            <b/>
            <sz val="9"/>
            <rFont val="Tahoma"/>
            <family val="2"/>
          </rPr>
          <t>SCHNEIDER</t>
        </r>
      </text>
    </comment>
    <comment ref="O72" authorId="1" shapeId="0" xr:uid="{F08EEACD-44C7-4484-931E-469C293266DD}">
      <text>
        <r>
          <rPr>
            <b/>
            <sz val="9"/>
            <rFont val="Tahoma"/>
            <family val="2"/>
          </rPr>
          <t>33171350050</t>
        </r>
      </text>
    </comment>
    <comment ref="P72" authorId="1" shapeId="0" xr:uid="{7BBF3AAD-518A-4A1F-BA2B-6AD9900D969B}">
      <text>
        <r>
          <rPr>
            <b/>
            <sz val="9"/>
            <rFont val="Tahoma"/>
            <family val="2"/>
          </rPr>
          <t>2017</t>
        </r>
      </text>
    </comment>
    <comment ref="L127" authorId="2" shapeId="0" xr:uid="{1B79DCB3-F054-4AC4-A5D8-D9B3EF2B95B7}">
      <text>
        <r>
          <rPr>
            <b/>
            <sz val="9"/>
            <rFont val="Tahoma"/>
            <family val="2"/>
          </rPr>
          <t>400</t>
        </r>
        <r>
          <rPr>
            <sz val="9"/>
            <rFont val="Tahoma"/>
            <family val="2"/>
          </rPr>
          <t xml:space="preserve">
</t>
        </r>
      </text>
    </comment>
    <comment ref="L165" authorId="2" shapeId="0" xr:uid="{4654D262-4161-48A2-9429-D64B12308A7F}">
      <text>
        <r>
          <rPr>
            <b/>
            <sz val="9"/>
            <rFont val="Tahoma"/>
            <family val="2"/>
          </rPr>
          <t>250</t>
        </r>
      </text>
    </comment>
    <comment ref="N165" authorId="2" shapeId="0" xr:uid="{89EB44E8-2AF5-4468-81A7-98D73594FB15}">
      <text>
        <r>
          <rPr>
            <b/>
            <sz val="9"/>
            <rFont val="Tahoma"/>
            <family val="2"/>
          </rPr>
          <t>UNINDO</t>
        </r>
      </text>
    </comment>
    <comment ref="O165" authorId="2" shapeId="0" xr:uid="{FAFF04B7-72C6-4E8C-9385-6F8A0087D2B5}">
      <text>
        <r>
          <rPr>
            <b/>
            <sz val="9"/>
            <rFont val="Tahoma"/>
            <family val="2"/>
          </rPr>
          <t>17376</t>
        </r>
      </text>
    </comment>
    <comment ref="P165" authorId="2" shapeId="0" xr:uid="{308BD553-EE4F-4FF4-8FB3-2AD79E57BF75}">
      <text>
        <r>
          <rPr>
            <b/>
            <sz val="9"/>
            <rFont val="Tahoma"/>
            <family val="2"/>
          </rPr>
          <t>1982</t>
        </r>
        <r>
          <rPr>
            <sz val="9"/>
            <rFont val="Tahoma"/>
            <family val="2"/>
          </rPr>
          <t xml:space="preserve">
</t>
        </r>
      </text>
    </comment>
    <comment ref="P227" authorId="1" shapeId="0" xr:uid="{A3849F34-F017-4344-ADB2-60CD6DA95940}">
      <text>
        <r>
          <rPr>
            <b/>
            <sz val="9"/>
            <rFont val="Tahoma"/>
            <family val="2"/>
          </rPr>
          <t>1984</t>
        </r>
      </text>
    </comment>
    <comment ref="L228" authorId="1" shapeId="0" xr:uid="{934BD2CE-1425-43F9-95B1-F19653A2F893}">
      <text>
        <r>
          <rPr>
            <b/>
            <sz val="9"/>
            <rFont val="Tahoma"/>
            <family val="2"/>
          </rPr>
          <t>400</t>
        </r>
      </text>
    </comment>
    <comment ref="N228" authorId="1" shapeId="0" xr:uid="{92114817-7BFA-4DC9-A238-C6975CF27605}">
      <text>
        <r>
          <rPr>
            <b/>
            <sz val="9"/>
            <rFont val="Tahoma"/>
            <family val="2"/>
          </rPr>
          <t>B &amp; D</t>
        </r>
      </text>
    </comment>
    <comment ref="O228" authorId="1" shapeId="0" xr:uid="{003A4DC3-842C-4AD3-961B-FE3924B85D71}">
      <text>
        <r>
          <rPr>
            <b/>
            <sz val="9"/>
            <rFont val="Tahoma"/>
            <family val="2"/>
          </rPr>
          <t>1602962</t>
        </r>
      </text>
    </comment>
    <comment ref="P228" authorId="1" shapeId="0" xr:uid="{AC9601D4-5934-4223-8C0A-AD704DB15090}">
      <text>
        <r>
          <rPr>
            <b/>
            <sz val="9"/>
            <rFont val="Tahoma"/>
            <family val="2"/>
          </rPr>
          <t>2018</t>
        </r>
      </text>
    </comment>
    <comment ref="L240" authorId="0" shapeId="0" xr:uid="{31A7CDA9-A0EF-445D-8237-BA29E316505A}">
      <text>
        <r>
          <rPr>
            <b/>
            <sz val="9"/>
            <rFont val="Tahoma"/>
            <family val="2"/>
          </rPr>
          <t>160</t>
        </r>
      </text>
    </comment>
    <comment ref="N240" authorId="0" shapeId="0" xr:uid="{985677AD-B4A9-4261-B57C-05C727B4DC91}">
      <text>
        <r>
          <rPr>
            <b/>
            <sz val="9"/>
            <rFont val="Tahoma"/>
            <family val="2"/>
          </rPr>
          <t>TRAFINDO</t>
        </r>
      </text>
    </comment>
    <comment ref="O240" authorId="0" shapeId="0" xr:uid="{2C30D64D-8058-4B4A-95FC-92D3DFB72458}">
      <text>
        <r>
          <rPr>
            <b/>
            <sz val="9"/>
            <rFont val="Tahoma"/>
            <family val="2"/>
          </rPr>
          <t>09133120</t>
        </r>
      </text>
    </comment>
    <comment ref="P240" authorId="0" shapeId="0" xr:uid="{68E9ECC1-920B-4993-8348-119380FA1B22}">
      <text>
        <r>
          <rPr>
            <b/>
            <sz val="9"/>
            <rFont val="Tahoma"/>
            <family val="2"/>
          </rPr>
          <t>2009</t>
        </r>
      </text>
    </comment>
    <comment ref="P249" authorId="1" shapeId="0" xr:uid="{A313131E-5D87-44B8-A370-A20F1E58B909}">
      <text>
        <r>
          <rPr>
            <b/>
            <sz val="9"/>
            <rFont val="Tahoma"/>
            <family val="2"/>
          </rPr>
          <t>2006</t>
        </r>
      </text>
    </comment>
    <comment ref="P250" authorId="1" shapeId="0" xr:uid="{CC8E2C68-6EB2-4C9C-BAFA-7ACB5F798DE9}">
      <text>
        <r>
          <rPr>
            <b/>
            <sz val="9"/>
            <rFont val="Tahoma"/>
            <family val="2"/>
          </rPr>
          <t>2006</t>
        </r>
      </text>
    </comment>
    <comment ref="P251" authorId="1" shapeId="0" xr:uid="{F5A5D703-1E05-4DD3-8702-7A6C7BA32FCD}">
      <text>
        <r>
          <rPr>
            <b/>
            <sz val="9"/>
            <rFont val="Tahoma"/>
            <family val="2"/>
          </rPr>
          <t>2006</t>
        </r>
      </text>
    </comment>
    <comment ref="L268" authorId="0" shapeId="0" xr:uid="{927F7DC2-0CE7-472D-A0A3-BA0728B06354}">
      <text>
        <r>
          <rPr>
            <b/>
            <sz val="9"/>
            <rFont val="Tahoma"/>
            <family val="2"/>
          </rPr>
          <t>50</t>
        </r>
      </text>
    </comment>
    <comment ref="N268" authorId="0" shapeId="0" xr:uid="{8AE3814C-4ABC-4CEE-9C4F-62EFDE9F9D35}">
      <text>
        <r>
          <rPr>
            <b/>
            <sz val="9"/>
            <rFont val="Tahoma"/>
            <family val="2"/>
          </rPr>
          <t>MASTERGREEN</t>
        </r>
        <r>
          <rPr>
            <sz val="9"/>
            <rFont val="Tahoma"/>
            <family val="2"/>
          </rPr>
          <t xml:space="preserve">
</t>
        </r>
      </text>
    </comment>
    <comment ref="O268" authorId="0" shapeId="0" xr:uid="{C5C20BBA-8224-42E6-8187-BA8FC49DA4D4}">
      <text>
        <r>
          <rPr>
            <b/>
            <sz val="9"/>
            <rFont val="Tahoma"/>
            <family val="2"/>
          </rPr>
          <t>1605030696</t>
        </r>
      </text>
    </comment>
    <comment ref="P268" authorId="0" shapeId="0" xr:uid="{73DD91D1-531D-447E-BD17-C92C1E267EE7}">
      <text>
        <r>
          <rPr>
            <b/>
            <sz val="9"/>
            <rFont val="Tahoma"/>
            <family val="2"/>
          </rPr>
          <t>2016</t>
        </r>
      </text>
    </comment>
    <comment ref="O272" authorId="2" shapeId="0" xr:uid="{0AEC5ECD-1180-482E-AC66-AC4D7F25BF3A}">
      <text>
        <r>
          <rPr>
            <b/>
            <sz val="9"/>
            <rFont val="Tahoma"/>
            <family val="2"/>
          </rPr>
          <t>Tehnik:</t>
        </r>
        <r>
          <rPr>
            <sz val="9"/>
            <rFont val="Tahoma"/>
            <family val="2"/>
          </rPr>
          <t xml:space="preserve">
9205912</t>
        </r>
      </text>
    </comment>
    <comment ref="L276" authorId="1" shapeId="0" xr:uid="{A37BF1DC-9192-48A5-BC24-44D759B6D40A}">
      <text>
        <r>
          <rPr>
            <b/>
            <sz val="9"/>
            <rFont val="Tahoma"/>
            <family val="2"/>
          </rPr>
          <t>50</t>
        </r>
      </text>
    </comment>
    <comment ref="P276" authorId="1" shapeId="0" xr:uid="{EAE9C588-5509-486D-89AB-6FEC5BFD3449}">
      <text>
        <r>
          <rPr>
            <b/>
            <sz val="9"/>
            <rFont val="Tahoma"/>
            <family val="2"/>
          </rPr>
          <t xml:space="preserve">2017
</t>
        </r>
      </text>
    </comment>
    <comment ref="N279" authorId="1" shapeId="0" xr:uid="{3C20D18F-E46C-4BE2-A669-E5A00455FC0E}">
      <text>
        <r>
          <rPr>
            <b/>
            <sz val="9"/>
            <rFont val="Tahoma"/>
            <family val="2"/>
          </rPr>
          <t>UNINDO</t>
        </r>
      </text>
    </comment>
    <comment ref="O279" authorId="1" shapeId="0" xr:uid="{F47F6D7F-9FB1-436C-A255-E373F77B97EE}">
      <text>
        <r>
          <rPr>
            <b/>
            <sz val="9"/>
            <rFont val="Tahoma"/>
            <family val="2"/>
          </rPr>
          <t>80050</t>
        </r>
      </text>
    </comment>
    <comment ref="P279" authorId="1" shapeId="0" xr:uid="{1BD62761-0FF1-433A-A2A0-33D75066570F}">
      <text>
        <r>
          <rPr>
            <b/>
            <sz val="9"/>
            <rFont val="Tahoma"/>
            <family val="2"/>
          </rPr>
          <t>2005</t>
        </r>
      </text>
    </comment>
    <comment ref="L286" authorId="1" shapeId="0" xr:uid="{D0E7A830-3318-4CB7-A5F4-883C9BD14966}">
      <text>
        <r>
          <rPr>
            <b/>
            <sz val="9"/>
            <rFont val="Tahoma"/>
            <family val="2"/>
          </rPr>
          <t xml:space="preserve">250
</t>
        </r>
      </text>
    </comment>
    <comment ref="N286" authorId="1" shapeId="0" xr:uid="{902D4308-924D-487A-ABD4-E5D4C31C4558}">
      <text>
        <r>
          <rPr>
            <b/>
            <sz val="9"/>
            <rFont val="Tahoma"/>
            <family val="2"/>
          </rPr>
          <t>SINTRA</t>
        </r>
      </text>
    </comment>
    <comment ref="O286" authorId="1" shapeId="0" xr:uid="{305F31C0-4401-44F1-81DB-B62E736B3850}">
      <text>
        <r>
          <rPr>
            <b/>
            <sz val="9"/>
            <rFont val="Tahoma"/>
            <family val="2"/>
          </rPr>
          <t>08141511</t>
        </r>
      </text>
    </comment>
    <comment ref="P286" authorId="1" shapeId="0" xr:uid="{F98F44CE-71EE-47BA-B9CF-383C3C609567}">
      <text>
        <r>
          <rPr>
            <b/>
            <sz val="9"/>
            <rFont val="Tahoma"/>
            <family val="2"/>
          </rPr>
          <t>2018</t>
        </r>
      </text>
    </comment>
    <comment ref="L289" authorId="2" shapeId="0" xr:uid="{89945DEC-48C1-449D-96B1-C2A7B04C928D}">
      <text>
        <r>
          <rPr>
            <b/>
            <sz val="9"/>
            <rFont val="Tahoma"/>
            <family val="2"/>
          </rPr>
          <t>250</t>
        </r>
        <r>
          <rPr>
            <sz val="9"/>
            <rFont val="Tahoma"/>
            <family val="2"/>
          </rPr>
          <t xml:space="preserve">
</t>
        </r>
      </text>
    </comment>
    <comment ref="N289" authorId="2" shapeId="0" xr:uid="{60B55EFD-A3B1-4868-8215-7EF00DD7D614}">
      <text>
        <r>
          <rPr>
            <b/>
            <sz val="9"/>
            <rFont val="Tahoma"/>
            <family val="2"/>
          </rPr>
          <t>UNINDO</t>
        </r>
        <r>
          <rPr>
            <sz val="9"/>
            <rFont val="Tahoma"/>
            <family val="2"/>
          </rPr>
          <t xml:space="preserve">
</t>
        </r>
      </text>
    </comment>
    <comment ref="O289" authorId="2" shapeId="0" xr:uid="{9F3D843B-5947-4241-A9A3-778C9F0E6FF7}">
      <text>
        <r>
          <rPr>
            <b/>
            <sz val="9"/>
            <rFont val="Tahoma"/>
            <family val="2"/>
          </rPr>
          <t>Tehnik:</t>
        </r>
        <r>
          <rPr>
            <sz val="9"/>
            <rFont val="Tahoma"/>
            <family val="2"/>
          </rPr>
          <t xml:space="preserve">
</t>
        </r>
      </text>
    </comment>
    <comment ref="J304" authorId="0" shapeId="0" xr:uid="{C8E55741-6B7D-4FB2-BD4D-107170AC3491}">
      <text>
        <r>
          <rPr>
            <b/>
            <sz val="9"/>
            <rFont val="Tahoma"/>
            <family val="2"/>
          </rPr>
          <t>1289</t>
        </r>
      </text>
    </comment>
    <comment ref="J305" authorId="0" shapeId="0" xr:uid="{5D2AC3C2-6820-4EE1-86A6-43F2E4D131F8}">
      <text>
        <r>
          <rPr>
            <b/>
            <sz val="9"/>
            <rFont val="Tahoma"/>
            <family val="2"/>
          </rPr>
          <t>1290</t>
        </r>
      </text>
    </comment>
    <comment ref="L312" authorId="0" shapeId="0" xr:uid="{04831742-E40C-430E-81A3-0A7C863BCBFD}">
      <text>
        <r>
          <rPr>
            <b/>
            <sz val="9"/>
            <rFont val="Tahoma"/>
            <family val="2"/>
          </rPr>
          <t>160</t>
        </r>
        <r>
          <rPr>
            <sz val="9"/>
            <rFont val="Tahoma"/>
            <family val="2"/>
          </rPr>
          <t xml:space="preserve">
</t>
        </r>
      </text>
    </comment>
    <comment ref="L316" authorId="0" shapeId="0" xr:uid="{6FD9988C-CF6B-4B66-92BE-40B4D7CB6400}">
      <text>
        <r>
          <rPr>
            <b/>
            <sz val="9"/>
            <rFont val="Tahoma"/>
            <family val="2"/>
          </rPr>
          <t>400</t>
        </r>
      </text>
    </comment>
    <comment ref="N316" authorId="0" shapeId="0" xr:uid="{BEFA0714-EFB2-454D-AC8C-85860C5767D1}">
      <text>
        <r>
          <rPr>
            <b/>
            <sz val="9"/>
            <rFont val="Tahoma"/>
            <family val="2"/>
          </rPr>
          <t>B&amp;D</t>
        </r>
      </text>
    </comment>
    <comment ref="O316" authorId="0" shapeId="0" xr:uid="{76419B04-807C-499E-A95A-8CDC72A6EA8D}">
      <text>
        <r>
          <rPr>
            <b/>
            <sz val="9"/>
            <rFont val="Tahoma"/>
            <family val="2"/>
          </rPr>
          <t>1602962</t>
        </r>
      </text>
    </comment>
    <comment ref="P316" authorId="0" shapeId="0" xr:uid="{651BE5A9-34D6-4680-8E03-509B0D270F60}">
      <text>
        <r>
          <rPr>
            <b/>
            <sz val="9"/>
            <rFont val="Tahoma"/>
            <family val="2"/>
          </rPr>
          <t>2016</t>
        </r>
      </text>
    </comment>
    <comment ref="N317" authorId="0" shapeId="0" xr:uid="{FF007417-A688-43C7-AA19-4CE6644A79F6}">
      <text>
        <r>
          <rPr>
            <b/>
            <sz val="9"/>
            <rFont val="Tahoma"/>
            <family val="2"/>
          </rPr>
          <t>UNINDO</t>
        </r>
      </text>
    </comment>
    <comment ref="L322" authorId="0" shapeId="0" xr:uid="{DA99E72D-A092-4959-A5D5-89F1D5CE12E4}">
      <text>
        <r>
          <rPr>
            <b/>
            <sz val="9"/>
            <rFont val="Tahoma"/>
            <family val="2"/>
          </rPr>
          <t>160</t>
        </r>
      </text>
    </comment>
    <comment ref="N322" authorId="0" shapeId="0" xr:uid="{DA673C0E-4E91-4413-8BC8-8129DED98152}">
      <text>
        <r>
          <rPr>
            <b/>
            <sz val="9"/>
            <rFont val="Tahoma"/>
            <family val="2"/>
          </rPr>
          <t>STARLITE</t>
        </r>
      </text>
    </comment>
    <comment ref="O322" authorId="0" shapeId="0" xr:uid="{4D617C4B-C495-4A08-830B-0852E7D7776D}">
      <text>
        <r>
          <rPr>
            <b/>
            <sz val="9"/>
            <rFont val="Tahoma"/>
            <family val="2"/>
          </rPr>
          <t>259056262</t>
        </r>
      </text>
    </comment>
    <comment ref="L324" authorId="1" shapeId="0" xr:uid="{F7D9C8DF-5463-4141-A43D-30F8D5B9280A}">
      <text>
        <r>
          <rPr>
            <b/>
            <sz val="9"/>
            <rFont val="Tahoma"/>
            <family val="2"/>
          </rPr>
          <t>160</t>
        </r>
      </text>
    </comment>
    <comment ref="O324" authorId="1" shapeId="0" xr:uid="{33E6455F-8FB0-41BF-998A-B1D8D0E85F8C}">
      <text>
        <r>
          <rPr>
            <b/>
            <sz val="9"/>
            <rFont val="Tahoma"/>
            <family val="2"/>
          </rPr>
          <t>16199</t>
        </r>
      </text>
    </comment>
    <comment ref="P324" authorId="1" shapeId="0" xr:uid="{12C5587F-7C17-4C2C-93B3-E223EEDC20F3}">
      <text>
        <r>
          <rPr>
            <b/>
            <sz val="9"/>
            <rFont val="Tahoma"/>
            <family val="2"/>
          </rPr>
          <t>1981</t>
        </r>
      </text>
    </comment>
    <comment ref="N351" authorId="2" shapeId="0" xr:uid="{6B9ECF66-953F-4A4D-96CB-1B8892F1E2AC}">
      <text>
        <r>
          <rPr>
            <b/>
            <sz val="9"/>
            <rFont val="Tahoma"/>
            <family val="2"/>
          </rPr>
          <t>B&amp;D</t>
        </r>
        <r>
          <rPr>
            <sz val="9"/>
            <rFont val="Tahoma"/>
            <family val="2"/>
          </rPr>
          <t xml:space="preserve">
</t>
        </r>
      </text>
    </comment>
    <comment ref="O351" authorId="2" shapeId="0" xr:uid="{C7C205C6-4D20-4513-A3F4-D15EC6BF5251}">
      <text>
        <r>
          <rPr>
            <b/>
            <sz val="9"/>
            <rFont val="Tahoma"/>
            <family val="2"/>
          </rPr>
          <t>915105</t>
        </r>
        <r>
          <rPr>
            <sz val="9"/>
            <rFont val="Tahoma"/>
            <family val="2"/>
          </rPr>
          <t xml:space="preserve">
</t>
        </r>
      </text>
    </comment>
    <comment ref="P351" authorId="2" shapeId="0" xr:uid="{52A95999-5E95-4E91-8AD7-5F2ABAA1082F}">
      <text>
        <r>
          <rPr>
            <b/>
            <sz val="9"/>
            <rFont val="Tahoma"/>
            <family val="2"/>
          </rPr>
          <t>1992</t>
        </r>
        <r>
          <rPr>
            <sz val="9"/>
            <rFont val="Tahoma"/>
            <family val="2"/>
          </rPr>
          <t xml:space="preserve">
</t>
        </r>
      </text>
    </comment>
    <comment ref="L363" authorId="2" shapeId="0" xr:uid="{4CB9D2EB-47F8-4BF4-B378-AA62E4AE411F}">
      <text>
        <r>
          <rPr>
            <b/>
            <sz val="9"/>
            <rFont val="Tahoma"/>
            <family val="2"/>
          </rPr>
          <t>160</t>
        </r>
        <r>
          <rPr>
            <sz val="9"/>
            <rFont val="Tahoma"/>
            <family val="2"/>
          </rPr>
          <t xml:space="preserve">
</t>
        </r>
      </text>
    </comment>
    <comment ref="N363" authorId="2" shapeId="0" xr:uid="{43EB81B6-C9B1-4915-9DA1-48A415E5EBDE}">
      <text>
        <r>
          <rPr>
            <b/>
            <sz val="9"/>
            <rFont val="Tahoma"/>
            <family val="2"/>
          </rPr>
          <t>UNINDO</t>
        </r>
        <r>
          <rPr>
            <sz val="9"/>
            <rFont val="Tahoma"/>
            <family val="2"/>
          </rPr>
          <t xml:space="preserve">
</t>
        </r>
      </text>
    </comment>
    <comment ref="O363" authorId="2" shapeId="0" xr:uid="{12AA484B-903D-4198-BE1A-03E8ACBA38CF}">
      <text>
        <r>
          <rPr>
            <b/>
            <sz val="9"/>
            <rFont val="Tahoma"/>
            <family val="2"/>
          </rPr>
          <t>77474</t>
        </r>
        <r>
          <rPr>
            <sz val="9"/>
            <rFont val="Tahoma"/>
            <family val="2"/>
          </rPr>
          <t xml:space="preserve">
</t>
        </r>
      </text>
    </comment>
    <comment ref="P363" authorId="2" shapeId="0" xr:uid="{AC7A58E4-4841-40C3-9007-BF9AA54652FD}">
      <text>
        <r>
          <rPr>
            <b/>
            <sz val="9"/>
            <rFont val="Tahoma"/>
            <family val="2"/>
          </rPr>
          <t>2004</t>
        </r>
      </text>
    </comment>
    <comment ref="L365" authorId="2" shapeId="0" xr:uid="{0F5ADCBE-636A-474D-AEB7-2DA91FEE2C3F}">
      <text>
        <r>
          <rPr>
            <b/>
            <sz val="9"/>
            <rFont val="Tahoma"/>
            <family val="2"/>
          </rPr>
          <t>100</t>
        </r>
        <r>
          <rPr>
            <sz val="9"/>
            <rFont val="Tahoma"/>
            <family val="2"/>
          </rPr>
          <t xml:space="preserve">
</t>
        </r>
      </text>
    </comment>
    <comment ref="N365" authorId="2" shapeId="0" xr:uid="{F8E4BF8B-9415-47E2-8BB7-9ED12E96C52D}">
      <text>
        <r>
          <rPr>
            <b/>
            <sz val="9"/>
            <rFont val="Tahoma"/>
            <family val="2"/>
          </rPr>
          <t>SINTRA</t>
        </r>
        <r>
          <rPr>
            <sz val="9"/>
            <rFont val="Tahoma"/>
            <family val="2"/>
          </rPr>
          <t xml:space="preserve">
</t>
        </r>
      </text>
    </comment>
    <comment ref="O365" authorId="2" shapeId="0" xr:uid="{36A2B298-2CC7-479D-9D71-8D02DFA38839}">
      <text>
        <r>
          <rPr>
            <b/>
            <sz val="9"/>
            <rFont val="Tahoma"/>
            <family val="2"/>
          </rPr>
          <t>7009650</t>
        </r>
        <r>
          <rPr>
            <sz val="9"/>
            <rFont val="Tahoma"/>
            <family val="2"/>
          </rPr>
          <t xml:space="preserve">
</t>
        </r>
      </text>
    </comment>
    <comment ref="P365" authorId="2" shapeId="0" xr:uid="{9FF7BE06-B9C1-4CF4-B6D0-59519959A928}">
      <text>
        <r>
          <rPr>
            <b/>
            <sz val="9"/>
            <rFont val="Tahoma"/>
            <family val="2"/>
          </rPr>
          <t>2007</t>
        </r>
        <r>
          <rPr>
            <sz val="9"/>
            <rFont val="Tahoma"/>
            <family val="2"/>
          </rPr>
          <t xml:space="preserve">
</t>
        </r>
      </text>
    </comment>
    <comment ref="L374" authorId="2" shapeId="0" xr:uid="{DB851160-7441-44C3-9BAE-74417088CF82}">
      <text>
        <r>
          <rPr>
            <b/>
            <sz val="9"/>
            <rFont val="Tahoma"/>
            <family val="2"/>
          </rPr>
          <t>Tehnik:</t>
        </r>
        <r>
          <rPr>
            <sz val="9"/>
            <rFont val="Tahoma"/>
            <family val="2"/>
          </rPr>
          <t xml:space="preserve">
160</t>
        </r>
      </text>
    </comment>
    <comment ref="N374" authorId="2" shapeId="0" xr:uid="{B650564F-204A-455F-8C61-FD7CCDA1CE5A}">
      <text>
        <r>
          <rPr>
            <b/>
            <sz val="9"/>
            <rFont val="Tahoma"/>
            <family val="2"/>
          </rPr>
          <t>Tehnik:</t>
        </r>
        <r>
          <rPr>
            <sz val="9"/>
            <rFont val="Tahoma"/>
            <family val="2"/>
          </rPr>
          <t xml:space="preserve">
STARLITE</t>
        </r>
      </text>
    </comment>
    <comment ref="O374" authorId="2" shapeId="0" xr:uid="{6B21A929-20B6-4799-BBE8-A2CADB59DD4A}">
      <text>
        <r>
          <rPr>
            <b/>
            <sz val="9"/>
            <rFont val="Tahoma"/>
            <family val="2"/>
          </rPr>
          <t>Tehnik:</t>
        </r>
        <r>
          <rPr>
            <sz val="9"/>
            <rFont val="Tahoma"/>
            <family val="2"/>
          </rPr>
          <t xml:space="preserve">
85111154</t>
        </r>
      </text>
    </comment>
    <comment ref="P374" authorId="2" shapeId="0" xr:uid="{DB97154A-B460-4876-8EE5-123617C2B602}">
      <text>
        <r>
          <rPr>
            <b/>
            <sz val="9"/>
            <rFont val="Tahoma"/>
            <family val="2"/>
          </rPr>
          <t>Tehnik:</t>
        </r>
        <r>
          <rPr>
            <sz val="9"/>
            <rFont val="Tahoma"/>
            <family val="2"/>
          </rPr>
          <t xml:space="preserve">
1986</t>
        </r>
      </text>
    </comment>
    <comment ref="L400" authorId="2" shapeId="0" xr:uid="{44621725-E375-44AE-A906-B12DDC0DFE22}">
      <text>
        <r>
          <rPr>
            <b/>
            <sz val="9"/>
            <rFont val="Tahoma"/>
            <family val="2"/>
          </rPr>
          <t>Tehnik:</t>
        </r>
        <r>
          <rPr>
            <sz val="9"/>
            <rFont val="Tahoma"/>
            <family val="2"/>
          </rPr>
          <t xml:space="preserve">
50</t>
        </r>
      </text>
    </comment>
    <comment ref="N400" authorId="2" shapeId="0" xr:uid="{79925612-603E-48BB-9A98-969019ACC832}">
      <text>
        <r>
          <rPr>
            <b/>
            <sz val="9"/>
            <rFont val="Tahoma"/>
            <family val="2"/>
          </rPr>
          <t>Tehnik:</t>
        </r>
        <r>
          <rPr>
            <sz val="9"/>
            <rFont val="Tahoma"/>
            <family val="2"/>
          </rPr>
          <t xml:space="preserve">
UNINDO</t>
        </r>
      </text>
    </comment>
    <comment ref="O400" authorId="2" shapeId="0" xr:uid="{E54B27A9-EF13-4D35-890B-E69CF9A4AC16}">
      <text>
        <r>
          <rPr>
            <b/>
            <sz val="9"/>
            <rFont val="Tahoma"/>
            <family val="2"/>
          </rPr>
          <t>Tehnik:</t>
        </r>
        <r>
          <rPr>
            <sz val="9"/>
            <rFont val="Tahoma"/>
            <family val="2"/>
          </rPr>
          <t xml:space="preserve">
35913</t>
        </r>
      </text>
    </comment>
    <comment ref="P400" authorId="2" shapeId="0" xr:uid="{DD0810EE-8EF7-4F94-BF52-271D92BDF9B5}">
      <text>
        <r>
          <rPr>
            <b/>
            <sz val="9"/>
            <rFont val="Tahoma"/>
            <family val="2"/>
          </rPr>
          <t>Tehnik:</t>
        </r>
        <r>
          <rPr>
            <sz val="9"/>
            <rFont val="Tahoma"/>
            <family val="2"/>
          </rPr>
          <t xml:space="preserve">
1987</t>
        </r>
      </text>
    </comment>
    <comment ref="L421" authorId="2" shapeId="0" xr:uid="{F793FFD6-C392-4A54-90DD-AE561C7E4102}">
      <text>
        <r>
          <rPr>
            <b/>
            <sz val="9"/>
            <rFont val="Tahoma"/>
            <family val="2"/>
          </rPr>
          <t>25</t>
        </r>
        <r>
          <rPr>
            <sz val="9"/>
            <rFont val="Tahoma"/>
            <family val="2"/>
          </rPr>
          <t xml:space="preserve">
</t>
        </r>
      </text>
    </comment>
    <comment ref="N421" authorId="2" shapeId="0" xr:uid="{8FDA8CCC-09F9-4993-A03C-584310AC8D6C}">
      <text>
        <r>
          <rPr>
            <b/>
            <sz val="9"/>
            <rFont val="Tahoma"/>
            <family val="2"/>
          </rPr>
          <t>B&amp;D</t>
        </r>
        <r>
          <rPr>
            <sz val="9"/>
            <rFont val="Tahoma"/>
            <family val="2"/>
          </rPr>
          <t xml:space="preserve">
</t>
        </r>
      </text>
    </comment>
    <comment ref="O421" authorId="2" shapeId="0" xr:uid="{3F4854DF-B313-41CE-8F35-991BF6B25A9C}">
      <text>
        <r>
          <rPr>
            <b/>
            <sz val="9"/>
            <rFont val="Tahoma"/>
            <family val="2"/>
          </rPr>
          <t>914884</t>
        </r>
        <r>
          <rPr>
            <sz val="9"/>
            <rFont val="Tahoma"/>
            <family val="2"/>
          </rPr>
          <t xml:space="preserve">
</t>
        </r>
      </text>
    </comment>
    <comment ref="P421" authorId="2" shapeId="0" xr:uid="{F579B17D-0A06-422A-9E25-7B78572F1242}">
      <text>
        <r>
          <rPr>
            <b/>
            <sz val="9"/>
            <rFont val="Tahoma"/>
            <family val="2"/>
          </rPr>
          <t>1992</t>
        </r>
        <r>
          <rPr>
            <sz val="9"/>
            <rFont val="Tahoma"/>
            <family val="2"/>
          </rPr>
          <t xml:space="preserve">
</t>
        </r>
      </text>
    </comment>
    <comment ref="J432" authorId="0" shapeId="0" xr:uid="{02684BD3-B757-4B47-BD7E-3BFD4E6A8C46}">
      <text>
        <r>
          <rPr>
            <b/>
            <sz val="9"/>
            <rFont val="Tahoma"/>
            <family val="2"/>
          </rPr>
          <t>1293</t>
        </r>
      </text>
    </comment>
    <comment ref="J441" authorId="0" shapeId="0" xr:uid="{DEC4F953-E372-4B4C-A247-A6C7F8728738}">
      <text>
        <r>
          <rPr>
            <b/>
            <sz val="9"/>
            <rFont val="Tahoma"/>
            <family val="2"/>
          </rPr>
          <t>1294</t>
        </r>
      </text>
    </comment>
    <comment ref="L442" authorId="1" shapeId="0" xr:uid="{8F56C5E0-BADA-4C99-B2EC-EF9E9DDBADA0}">
      <text>
        <r>
          <rPr>
            <b/>
            <sz val="9"/>
            <rFont val="Tahoma"/>
            <family val="2"/>
          </rPr>
          <t>50</t>
        </r>
      </text>
    </comment>
    <comment ref="N442" authorId="1" shapeId="0" xr:uid="{6DDC4D85-6E42-41B2-B0A0-D7758A72E470}">
      <text>
        <r>
          <rPr>
            <b/>
            <sz val="9"/>
            <rFont val="Tahoma"/>
            <family val="2"/>
          </rPr>
          <t>UNINDO</t>
        </r>
      </text>
    </comment>
    <comment ref="O442" authorId="1" shapeId="0" xr:uid="{F03C3B1E-4549-4C4B-B784-8759B7B3E1DD}">
      <text>
        <r>
          <rPr>
            <b/>
            <sz val="9"/>
            <rFont val="Tahoma"/>
            <family val="2"/>
          </rPr>
          <t>35896</t>
        </r>
      </text>
    </comment>
    <comment ref="P442" authorId="1" shapeId="0" xr:uid="{A5EA008F-96D9-445D-8222-288A50550F0E}">
      <text>
        <r>
          <rPr>
            <b/>
            <sz val="9"/>
            <rFont val="Tahoma"/>
            <family val="2"/>
          </rPr>
          <t>Kosong</t>
        </r>
      </text>
    </comment>
    <comment ref="L445" authorId="0" shapeId="0" xr:uid="{7C3ABE66-611F-426B-9972-2917B1EB260B}">
      <text>
        <r>
          <rPr>
            <b/>
            <sz val="9"/>
            <rFont val="Tahoma"/>
            <family val="2"/>
          </rPr>
          <t>50</t>
        </r>
      </text>
    </comment>
    <comment ref="N445" authorId="0" shapeId="0" xr:uid="{BD7E2EB4-0C9E-4EB4-96F5-19D40B32A706}">
      <text>
        <r>
          <rPr>
            <b/>
            <sz val="9"/>
            <rFont val="Tahoma"/>
            <family val="2"/>
          </rPr>
          <t>UNINDO</t>
        </r>
      </text>
    </comment>
    <comment ref="O445" authorId="0" shapeId="0" xr:uid="{7901A706-B45E-45B3-B4D5-843B3DE74B90}">
      <text>
        <r>
          <rPr>
            <b/>
            <sz val="9"/>
            <rFont val="Tahoma"/>
            <family val="2"/>
          </rPr>
          <t>36183</t>
        </r>
      </text>
    </comment>
    <comment ref="P445" authorId="0" shapeId="0" xr:uid="{D12D2A42-9CEF-44DC-BB29-83CA8861A792}">
      <text>
        <r>
          <rPr>
            <b/>
            <sz val="9"/>
            <rFont val="Tahoma"/>
            <family val="2"/>
          </rPr>
          <t>1988</t>
        </r>
      </text>
    </comment>
    <comment ref="L446" authorId="1" shapeId="0" xr:uid="{869509FC-FDC0-4840-8E68-2B02522CCBA5}">
      <text>
        <r>
          <rPr>
            <b/>
            <sz val="9"/>
            <rFont val="Tahoma"/>
            <family val="2"/>
          </rPr>
          <t>100</t>
        </r>
      </text>
    </comment>
    <comment ref="N446" authorId="1" shapeId="0" xr:uid="{19442D15-99E1-4E60-9F73-E28DE7C51D35}">
      <text>
        <r>
          <rPr>
            <b/>
            <sz val="9"/>
            <rFont val="Tahoma"/>
            <family val="2"/>
          </rPr>
          <t>B &amp; D</t>
        </r>
      </text>
    </comment>
    <comment ref="O446" authorId="1" shapeId="0" xr:uid="{218A47FA-B475-4514-AD8A-D1BCAE73BEF4}">
      <text>
        <r>
          <rPr>
            <b/>
            <sz val="9"/>
            <rFont val="Tahoma"/>
            <family val="2"/>
          </rPr>
          <t>20083459</t>
        </r>
      </text>
    </comment>
    <comment ref="P446" authorId="1" shapeId="0" xr:uid="{237939CD-B0ED-4E76-89FB-F4D29F88C064}">
      <text>
        <r>
          <rPr>
            <b/>
            <sz val="9"/>
            <rFont val="Tahoma"/>
            <family val="2"/>
          </rPr>
          <t xml:space="preserve">2008
</t>
        </r>
      </text>
    </comment>
    <comment ref="L447" authorId="1" shapeId="0" xr:uid="{5A94544A-9D75-48E8-98E5-CC7930BCE6D4}">
      <text>
        <r>
          <rPr>
            <b/>
            <sz val="9"/>
            <rFont val="Tahoma"/>
            <family val="2"/>
          </rPr>
          <t>100</t>
        </r>
      </text>
    </comment>
    <comment ref="N447" authorId="1" shapeId="0" xr:uid="{D4D9E27F-EAD6-4DD4-8940-B0F77D12869B}">
      <text>
        <r>
          <rPr>
            <b/>
            <sz val="9"/>
            <rFont val="Tahoma"/>
            <family val="2"/>
          </rPr>
          <t>SINTRA</t>
        </r>
      </text>
    </comment>
    <comment ref="O447" authorId="1" shapeId="0" xr:uid="{0296FC4B-0399-47A5-8640-C5F616DCF2AB}">
      <text>
        <r>
          <rPr>
            <b/>
            <sz val="9"/>
            <rFont val="Tahoma"/>
            <family val="2"/>
          </rPr>
          <t>7009854</t>
        </r>
      </text>
    </comment>
    <comment ref="P447" authorId="1" shapeId="0" xr:uid="{AB27DA6E-EA9D-403F-A38B-E8EF48913A64}">
      <text>
        <r>
          <rPr>
            <b/>
            <sz val="9"/>
            <rFont val="Tahoma"/>
            <family val="2"/>
          </rPr>
          <t xml:space="preserve">2007
</t>
        </r>
      </text>
    </comment>
    <comment ref="N454" authorId="2" shapeId="0" xr:uid="{49002706-44F8-47A1-98D9-F33C7074E29E}">
      <text>
        <r>
          <rPr>
            <b/>
            <sz val="9"/>
            <rFont val="Tahoma"/>
            <family val="2"/>
          </rPr>
          <t>STARLITE</t>
        </r>
        <r>
          <rPr>
            <sz val="9"/>
            <rFont val="Tahoma"/>
            <family val="2"/>
          </rPr>
          <t xml:space="preserve">
</t>
        </r>
      </text>
    </comment>
    <comment ref="O454" authorId="2" shapeId="0" xr:uid="{936D1D23-ED4C-4E74-85C9-4CACA30D33DF}">
      <text>
        <r>
          <rPr>
            <b/>
            <sz val="9"/>
            <rFont val="Tahoma"/>
            <family val="2"/>
          </rPr>
          <t>1600181021</t>
        </r>
        <r>
          <rPr>
            <sz val="9"/>
            <rFont val="Tahoma"/>
            <family val="2"/>
          </rPr>
          <t xml:space="preserve">
</t>
        </r>
      </text>
    </comment>
    <comment ref="P454" authorId="2" shapeId="0" xr:uid="{DB1D6104-7362-4946-B51B-7A17D213FDDD}">
      <text>
        <r>
          <rPr>
            <b/>
            <sz val="9"/>
            <rFont val="Tahoma"/>
            <family val="2"/>
          </rPr>
          <t>2016</t>
        </r>
        <r>
          <rPr>
            <sz val="9"/>
            <rFont val="Tahoma"/>
            <family val="2"/>
          </rPr>
          <t xml:space="preserve">
</t>
        </r>
      </text>
    </comment>
    <comment ref="L460" authorId="1" shapeId="0" xr:uid="{3CD7A015-DD60-4300-AEA9-2264E9549419}">
      <text>
        <r>
          <rPr>
            <b/>
            <sz val="9"/>
            <rFont val="Tahoma"/>
            <family val="2"/>
          </rPr>
          <t>100</t>
        </r>
      </text>
    </comment>
    <comment ref="N460" authorId="1" shapeId="0" xr:uid="{000D17EC-E4C2-41AB-BB1B-0118382FF269}">
      <text>
        <r>
          <rPr>
            <b/>
            <sz val="9"/>
            <rFont val="Tahoma"/>
            <family val="2"/>
          </rPr>
          <t>SINTRA</t>
        </r>
      </text>
    </comment>
    <comment ref="O460" authorId="1" shapeId="0" xr:uid="{E8B19AF4-3B2F-4649-B0F5-5E4AA1BBB98F}">
      <text>
        <r>
          <rPr>
            <b/>
            <sz val="9"/>
            <rFont val="Tahoma"/>
            <family val="2"/>
          </rPr>
          <t>7009854</t>
        </r>
      </text>
    </comment>
    <comment ref="P460" authorId="1" shapeId="0" xr:uid="{FBA1E4E5-FB15-4958-95F0-17701041229F}">
      <text>
        <r>
          <rPr>
            <b/>
            <sz val="9"/>
            <rFont val="Tahoma"/>
            <family val="2"/>
          </rPr>
          <t xml:space="preserve">2007
</t>
        </r>
      </text>
    </comment>
    <comment ref="N465" authorId="2" shapeId="0" xr:uid="{82A00D6F-D6E8-4780-BA4E-E8A78465CB2B}">
      <text>
        <r>
          <rPr>
            <b/>
            <sz val="9"/>
            <rFont val="Tahoma"/>
            <family val="2"/>
          </rPr>
          <t>SINTRA</t>
        </r>
        <r>
          <rPr>
            <sz val="9"/>
            <rFont val="Tahoma"/>
            <family val="2"/>
          </rPr>
          <t xml:space="preserve">
</t>
        </r>
      </text>
    </comment>
    <comment ref="O465" authorId="2" shapeId="0" xr:uid="{CB60A5E8-B1DD-4DDF-A82A-187427791240}">
      <text>
        <r>
          <rPr>
            <sz val="9"/>
            <rFont val="Tahoma"/>
            <family val="2"/>
          </rPr>
          <t xml:space="preserve">10009207
</t>
        </r>
      </text>
    </comment>
    <comment ref="P465" authorId="2" shapeId="0" xr:uid="{2992AA17-2437-4180-AE08-512104B241C8}">
      <text>
        <r>
          <rPr>
            <b/>
            <sz val="9"/>
            <rFont val="Tahoma"/>
            <family val="2"/>
          </rPr>
          <t>2010</t>
        </r>
        <r>
          <rPr>
            <sz val="9"/>
            <rFont val="Tahoma"/>
            <family val="2"/>
          </rPr>
          <t xml:space="preserve">
</t>
        </r>
      </text>
    </comment>
    <comment ref="L476" authorId="0" shapeId="0" xr:uid="{F1E8A930-31A6-4918-9C64-70A8CF91D0D9}">
      <text>
        <r>
          <rPr>
            <b/>
            <sz val="9"/>
            <rFont val="Tahoma"/>
            <family val="2"/>
          </rPr>
          <t>50</t>
        </r>
      </text>
    </comment>
    <comment ref="N476" authorId="0" shapeId="0" xr:uid="{6693205A-1A47-4542-89EE-B476650AD724}">
      <text>
        <r>
          <rPr>
            <b/>
            <sz val="9"/>
            <rFont val="Tahoma"/>
            <family val="2"/>
          </rPr>
          <t>SENYANG</t>
        </r>
        <r>
          <rPr>
            <sz val="9"/>
            <rFont val="Tahoma"/>
            <family val="2"/>
          </rPr>
          <t xml:space="preserve">
</t>
        </r>
      </text>
    </comment>
    <comment ref="O476" authorId="0" shapeId="0" xr:uid="{394AAE2E-810D-4D88-8A21-42BF8B77BC8C}">
      <text>
        <r>
          <rPr>
            <b/>
            <sz val="9"/>
            <rFont val="Tahoma"/>
            <family val="2"/>
          </rPr>
          <t>986511</t>
        </r>
      </text>
    </comment>
    <comment ref="P476" authorId="0" shapeId="0" xr:uid="{46A3917D-A1C3-4B3C-B06D-ABC299EAE575}">
      <text>
        <r>
          <rPr>
            <b/>
            <sz val="9"/>
            <rFont val="Tahoma"/>
            <family val="2"/>
          </rPr>
          <t>1998</t>
        </r>
      </text>
    </comment>
    <comment ref="L487" authorId="1" shapeId="0" xr:uid="{D177F31B-4D7D-45AC-8DFF-BE8EA3A66D6D}">
      <text>
        <r>
          <rPr>
            <b/>
            <sz val="9"/>
            <rFont val="Tahoma"/>
            <family val="2"/>
          </rPr>
          <t>25</t>
        </r>
      </text>
    </comment>
    <comment ref="L489" authorId="2" shapeId="0" xr:uid="{06A7EAF2-F3F6-49BE-8075-DDB1AF3B52A0}">
      <text>
        <r>
          <rPr>
            <b/>
            <sz val="9"/>
            <rFont val="Tahoma"/>
            <family val="2"/>
          </rPr>
          <t>Tehnik:</t>
        </r>
        <r>
          <rPr>
            <sz val="9"/>
            <rFont val="Tahoma"/>
            <family val="2"/>
          </rPr>
          <t xml:space="preserve">
50</t>
        </r>
      </text>
    </comment>
    <comment ref="N489" authorId="2" shapeId="0" xr:uid="{68F86B58-3201-47BC-A0AD-10222B8B37AC}">
      <text>
        <r>
          <rPr>
            <b/>
            <sz val="9"/>
            <rFont val="Tahoma"/>
            <family val="2"/>
          </rPr>
          <t>Tehnik:</t>
        </r>
        <r>
          <rPr>
            <sz val="9"/>
            <rFont val="Tahoma"/>
            <family val="2"/>
          </rPr>
          <t xml:space="preserve">
UNINDO</t>
        </r>
      </text>
    </comment>
    <comment ref="O489" authorId="2" shapeId="0" xr:uid="{ED2F899D-05F4-4034-990B-11751F389826}">
      <text>
        <r>
          <rPr>
            <b/>
            <sz val="9"/>
            <rFont val="Tahoma"/>
            <family val="2"/>
          </rPr>
          <t>Tehnik:</t>
        </r>
        <r>
          <rPr>
            <sz val="9"/>
            <rFont val="Tahoma"/>
            <family val="2"/>
          </rPr>
          <t xml:space="preserve">
86183</t>
        </r>
      </text>
    </comment>
    <comment ref="P489" authorId="2" shapeId="0" xr:uid="{FD6DE14F-D974-4D32-9135-53E3DE00F2ED}">
      <text>
        <r>
          <rPr>
            <b/>
            <sz val="9"/>
            <rFont val="Tahoma"/>
            <family val="2"/>
          </rPr>
          <t>Tehnik:</t>
        </r>
        <r>
          <rPr>
            <sz val="9"/>
            <rFont val="Tahoma"/>
            <family val="2"/>
          </rPr>
          <t xml:space="preserve">
1988</t>
        </r>
      </text>
    </comment>
    <comment ref="L490" authorId="1" shapeId="0" xr:uid="{7B0D3E05-C9E1-4EE5-BA80-7BCBD701427B}">
      <text>
        <r>
          <rPr>
            <b/>
            <sz val="9"/>
            <rFont val="Tahoma"/>
            <family val="2"/>
          </rPr>
          <t>100 kva</t>
        </r>
      </text>
    </comment>
    <comment ref="N490" authorId="1" shapeId="0" xr:uid="{87F6EFA9-8A24-426C-AA11-A1F3000D89AF}">
      <text>
        <r>
          <rPr>
            <b/>
            <sz val="9"/>
            <rFont val="Tahoma"/>
            <family val="2"/>
          </rPr>
          <t>UNINDO</t>
        </r>
      </text>
    </comment>
    <comment ref="P490" authorId="1" shapeId="0" xr:uid="{CD2051B1-62A8-4656-AB8A-B72420587E37}">
      <text>
        <r>
          <rPr>
            <b/>
            <sz val="9"/>
            <rFont val="Tahoma"/>
            <family val="2"/>
          </rPr>
          <t xml:space="preserve">1998
</t>
        </r>
      </text>
    </comment>
    <comment ref="N491" authorId="1" shapeId="0" xr:uid="{BA24C4E4-AA79-4F62-A00B-83F3C69AD69F}">
      <text>
        <r>
          <rPr>
            <b/>
            <sz val="9"/>
            <rFont val="Tahoma"/>
            <family val="2"/>
          </rPr>
          <t>UNINDO</t>
        </r>
      </text>
    </comment>
    <comment ref="P491" authorId="1" shapeId="0" xr:uid="{F0435E72-7F7E-4391-B866-BD334AFAE8C3}">
      <text>
        <r>
          <rPr>
            <b/>
            <sz val="9"/>
            <rFont val="Tahoma"/>
            <family val="2"/>
          </rPr>
          <t xml:space="preserve">1998
</t>
        </r>
      </text>
    </comment>
    <comment ref="L501" authorId="0" shapeId="0" xr:uid="{BE611553-4923-4299-9F05-350861A5E14A}">
      <text>
        <r>
          <rPr>
            <b/>
            <sz val="9"/>
            <rFont val="Tahoma"/>
            <family val="2"/>
          </rPr>
          <t>25</t>
        </r>
      </text>
    </comment>
    <comment ref="N501" authorId="0" shapeId="0" xr:uid="{87886223-2E95-4C3D-8009-1B8D655A13E2}">
      <text>
        <r>
          <rPr>
            <b/>
            <sz val="9"/>
            <rFont val="Tahoma"/>
            <family val="2"/>
          </rPr>
          <t>SINTRA</t>
        </r>
      </text>
    </comment>
    <comment ref="O501" authorId="0" shapeId="0" xr:uid="{1754F450-64D0-4286-9F15-1D6FD8B08A42}">
      <text>
        <r>
          <rPr>
            <b/>
            <sz val="9"/>
            <rFont val="Tahoma"/>
            <family val="2"/>
          </rPr>
          <t>04001215</t>
        </r>
      </text>
    </comment>
    <comment ref="P501" authorId="0" shapeId="0" xr:uid="{D1AF1DF7-C98F-4357-93CB-6D2AF56DD0CB}">
      <text>
        <r>
          <rPr>
            <b/>
            <sz val="9"/>
            <rFont val="Tahoma"/>
            <family val="2"/>
          </rPr>
          <t>2004</t>
        </r>
      </text>
    </comment>
    <comment ref="L508" authorId="1" shapeId="0" xr:uid="{5C8247E7-9EEA-46BC-B2AD-1B8E4C229A4A}">
      <text>
        <r>
          <rPr>
            <b/>
            <sz val="9"/>
            <rFont val="Tahoma"/>
            <family val="2"/>
          </rPr>
          <t>200</t>
        </r>
      </text>
    </comment>
    <comment ref="N508" authorId="1" shapeId="0" xr:uid="{DF7647BA-3B2C-41DF-B274-C1625FA9EDDE}">
      <text>
        <r>
          <rPr>
            <b/>
            <sz val="9"/>
            <rFont val="Tahoma"/>
            <family val="2"/>
          </rPr>
          <t>UNINDO</t>
        </r>
      </text>
    </comment>
    <comment ref="O508" authorId="1" shapeId="0" xr:uid="{B8A4B96C-06DB-410D-8E46-17C0D42AD96F}">
      <text>
        <r>
          <rPr>
            <b/>
            <sz val="9"/>
            <rFont val="Tahoma"/>
            <family val="2"/>
          </rPr>
          <t>25914</t>
        </r>
      </text>
    </comment>
    <comment ref="P508" authorId="1" shapeId="0" xr:uid="{795BEE46-2C01-4E54-88C1-8AD135701CE4}">
      <text>
        <r>
          <rPr>
            <b/>
            <sz val="9"/>
            <rFont val="Tahoma"/>
            <family val="2"/>
          </rPr>
          <t xml:space="preserve">1984
</t>
        </r>
      </text>
    </comment>
    <comment ref="L509" authorId="2" shapeId="0" xr:uid="{C79374BF-E7BA-4A74-81AC-6A8161EF86B6}">
      <text>
        <r>
          <rPr>
            <sz val="9"/>
            <rFont val="Tahoma"/>
            <family val="2"/>
          </rPr>
          <t xml:space="preserve">315
</t>
        </r>
      </text>
    </comment>
    <comment ref="N509" authorId="2" shapeId="0" xr:uid="{0675D460-F135-4894-AEA0-5EEBAFD29387}">
      <text>
        <r>
          <rPr>
            <b/>
            <sz val="9"/>
            <rFont val="Tahoma"/>
            <family val="2"/>
          </rPr>
          <t>TRAFINDO</t>
        </r>
        <r>
          <rPr>
            <sz val="9"/>
            <rFont val="Tahoma"/>
            <family val="2"/>
          </rPr>
          <t xml:space="preserve">
</t>
        </r>
      </text>
    </comment>
    <comment ref="O509" authorId="2" shapeId="0" xr:uid="{677E398A-DF97-4FFE-A5B6-9E1E67FC8E2F}">
      <text>
        <r>
          <rPr>
            <b/>
            <sz val="9"/>
            <rFont val="Tahoma"/>
            <family val="2"/>
          </rPr>
          <t>0231149</t>
        </r>
        <r>
          <rPr>
            <sz val="9"/>
            <rFont val="Tahoma"/>
            <family val="2"/>
          </rPr>
          <t xml:space="preserve">
</t>
        </r>
      </text>
    </comment>
    <comment ref="P509" authorId="2" shapeId="0" xr:uid="{59289924-521D-4307-9DCA-B1A0CAAC8F2D}">
      <text>
        <r>
          <rPr>
            <b/>
            <sz val="9"/>
            <rFont val="Tahoma"/>
            <family val="2"/>
          </rPr>
          <t>2002</t>
        </r>
        <r>
          <rPr>
            <sz val="9"/>
            <rFont val="Tahoma"/>
            <family val="2"/>
          </rPr>
          <t xml:space="preserve">
</t>
        </r>
      </text>
    </comment>
    <comment ref="J513" authorId="0" shapeId="0" xr:uid="{BBE2CF49-1997-47BF-B442-6DF181AA4CFF}">
      <text>
        <r>
          <rPr>
            <b/>
            <sz val="9"/>
            <rFont val="Tahoma"/>
            <family val="2"/>
          </rPr>
          <t>1292</t>
        </r>
      </text>
    </comment>
    <comment ref="J514" authorId="0" shapeId="0" xr:uid="{B068D6C9-55BC-41E4-8927-0D23EBC13333}">
      <text>
        <r>
          <rPr>
            <b/>
            <sz val="9"/>
            <rFont val="Tahoma"/>
            <family val="2"/>
          </rPr>
          <t>1292</t>
        </r>
      </text>
    </comment>
    <comment ref="L515" authorId="2" shapeId="0" xr:uid="{579A009B-AECB-41F2-B5D8-5BE542E4B53D}">
      <text>
        <r>
          <rPr>
            <b/>
            <sz val="9"/>
            <rFont val="Tahoma"/>
            <family val="2"/>
          </rPr>
          <t>25</t>
        </r>
      </text>
    </comment>
    <comment ref="O515" authorId="2" shapeId="0" xr:uid="{571D05D3-3EFF-47C6-9A70-F61C97F54840}">
      <text>
        <r>
          <rPr>
            <b/>
            <sz val="9"/>
            <rFont val="Tahoma"/>
            <family val="2"/>
          </rPr>
          <t>2KO118321</t>
        </r>
      </text>
    </comment>
    <comment ref="H520" authorId="2" shapeId="0" xr:uid="{CE97EA57-E989-4DEF-9613-7F502B29A1AE}">
      <text>
        <r>
          <rPr>
            <b/>
            <sz val="9"/>
            <rFont val="Tahoma"/>
            <family val="2"/>
          </rPr>
          <t>CANTOL</t>
        </r>
        <r>
          <rPr>
            <sz val="9"/>
            <rFont val="Tahoma"/>
            <family val="2"/>
          </rPr>
          <t xml:space="preserve">
</t>
        </r>
      </text>
    </comment>
    <comment ref="I520" authorId="2" shapeId="0" xr:uid="{4D2A870E-3374-42F6-BDEA-7A69045F0195}">
      <text>
        <r>
          <rPr>
            <b/>
            <sz val="9"/>
            <rFont val="Tahoma"/>
            <family val="2"/>
          </rPr>
          <t>CANTOL</t>
        </r>
        <r>
          <rPr>
            <sz val="9"/>
            <rFont val="Tahoma"/>
            <family val="2"/>
          </rPr>
          <t xml:space="preserve">
</t>
        </r>
      </text>
    </comment>
    <comment ref="L520" authorId="2" shapeId="0" xr:uid="{D087115B-A565-460C-8CDD-B359C07F4223}">
      <text>
        <r>
          <rPr>
            <b/>
            <sz val="9"/>
            <rFont val="Tahoma"/>
            <family val="2"/>
          </rPr>
          <t>50</t>
        </r>
        <r>
          <rPr>
            <sz val="9"/>
            <rFont val="Tahoma"/>
            <family val="2"/>
          </rPr>
          <t xml:space="preserve">
</t>
        </r>
      </text>
    </comment>
    <comment ref="N520" authorId="2" shapeId="0" xr:uid="{F6142889-407F-4D9A-9C90-14A775B2CAA1}">
      <text>
        <r>
          <rPr>
            <b/>
            <sz val="9"/>
            <rFont val="Tahoma"/>
            <family val="2"/>
          </rPr>
          <t>MASTERGREEN</t>
        </r>
        <r>
          <rPr>
            <sz val="9"/>
            <rFont val="Tahoma"/>
            <family val="2"/>
          </rPr>
          <t xml:space="preserve">
</t>
        </r>
      </text>
    </comment>
    <comment ref="O520" authorId="2" shapeId="0" xr:uid="{F3B86E31-4B67-4BA2-9545-713423CD991D}">
      <text>
        <r>
          <rPr>
            <b/>
            <sz val="9"/>
            <rFont val="Tahoma"/>
            <family val="2"/>
          </rPr>
          <t>160508C693</t>
        </r>
        <r>
          <rPr>
            <sz val="9"/>
            <rFont val="Tahoma"/>
            <family val="2"/>
          </rPr>
          <t xml:space="preserve">
</t>
        </r>
      </text>
    </comment>
    <comment ref="P520" authorId="2" shapeId="0" xr:uid="{6EFD01D2-2EC9-4C50-8F8F-EFC45B4B635F}">
      <text>
        <r>
          <rPr>
            <b/>
            <sz val="9"/>
            <rFont val="Tahoma"/>
            <family val="2"/>
          </rPr>
          <t>2016</t>
        </r>
        <r>
          <rPr>
            <sz val="9"/>
            <rFont val="Tahoma"/>
            <family val="2"/>
          </rPr>
          <t xml:space="preserve">
</t>
        </r>
      </text>
    </comment>
    <comment ref="L522" authorId="2" shapeId="0" xr:uid="{39754D24-064E-4645-9BB2-BA143FE03173}">
      <text>
        <r>
          <rPr>
            <b/>
            <sz val="9"/>
            <rFont val="Tahoma"/>
            <family val="2"/>
          </rPr>
          <t>Tehnik:</t>
        </r>
        <r>
          <rPr>
            <sz val="9"/>
            <rFont val="Tahoma"/>
            <family val="2"/>
          </rPr>
          <t xml:space="preserve">
25</t>
        </r>
      </text>
    </comment>
    <comment ref="N522" authorId="2" shapeId="0" xr:uid="{B37CD6BF-93BE-44D1-A05E-85306FDFF268}">
      <text>
        <r>
          <rPr>
            <b/>
            <sz val="9"/>
            <rFont val="Tahoma"/>
            <family val="2"/>
          </rPr>
          <t>Tehnik:</t>
        </r>
        <r>
          <rPr>
            <sz val="9"/>
            <rFont val="Tahoma"/>
            <family val="2"/>
          </rPr>
          <t xml:space="preserve">
UNINDO</t>
        </r>
      </text>
    </comment>
    <comment ref="O522" authorId="2" shapeId="0" xr:uid="{8FC03B40-CAE9-4C74-9993-82A18A8DCBE8}">
      <text>
        <r>
          <rPr>
            <b/>
            <sz val="9"/>
            <rFont val="Tahoma"/>
            <family val="2"/>
          </rPr>
          <t>Tehnik:</t>
        </r>
        <r>
          <rPr>
            <sz val="9"/>
            <rFont val="Tahoma"/>
            <family val="2"/>
          </rPr>
          <t xml:space="preserve">
37749</t>
        </r>
      </text>
    </comment>
    <comment ref="P522" authorId="2" shapeId="0" xr:uid="{100E7329-0D0D-4A77-85BF-110D37CD02A7}">
      <text>
        <r>
          <rPr>
            <b/>
            <sz val="9"/>
            <rFont val="Tahoma"/>
            <family val="2"/>
          </rPr>
          <t>Tehnik:</t>
        </r>
        <r>
          <rPr>
            <sz val="9"/>
            <rFont val="Tahoma"/>
            <family val="2"/>
          </rPr>
          <t xml:space="preserve">
1988</t>
        </r>
      </text>
    </comment>
    <comment ref="L527" authorId="1" shapeId="0" xr:uid="{018BD741-FC59-4902-9D5C-C19DFEC599AA}">
      <text>
        <r>
          <rPr>
            <b/>
            <sz val="9"/>
            <rFont val="Tahoma"/>
            <family val="2"/>
          </rPr>
          <t>100</t>
        </r>
      </text>
    </comment>
    <comment ref="N527" authorId="1" shapeId="0" xr:uid="{9A910D68-2096-4220-B767-896014746151}">
      <text>
        <r>
          <rPr>
            <b/>
            <sz val="9"/>
            <rFont val="Tahoma"/>
            <family val="2"/>
          </rPr>
          <t>MITSUBISHI</t>
        </r>
      </text>
    </comment>
    <comment ref="O527" authorId="1" shapeId="0" xr:uid="{BDE5E9CF-9C24-4EE9-893F-7B6C6EFAE008}">
      <text>
        <r>
          <rPr>
            <b/>
            <sz val="9"/>
            <rFont val="Tahoma"/>
            <family val="2"/>
          </rPr>
          <t>L08303024</t>
        </r>
      </text>
    </comment>
    <comment ref="P527" authorId="1" shapeId="0" xr:uid="{23436EB0-4F90-4CA8-A85C-B72132C27F67}">
      <text>
        <r>
          <rPr>
            <b/>
            <sz val="9"/>
            <rFont val="Tahoma"/>
            <family val="2"/>
          </rPr>
          <t>1984</t>
        </r>
      </text>
    </comment>
    <comment ref="L528" authorId="2" shapeId="0" xr:uid="{E291A3BD-104B-415D-A6E7-E23F1F6835E7}">
      <text>
        <r>
          <rPr>
            <b/>
            <sz val="9"/>
            <rFont val="Tahoma"/>
            <family val="2"/>
          </rPr>
          <t>160</t>
        </r>
        <r>
          <rPr>
            <sz val="9"/>
            <rFont val="Tahoma"/>
            <family val="2"/>
          </rPr>
          <t xml:space="preserve">
</t>
        </r>
      </text>
    </comment>
    <comment ref="N528" authorId="2" shapeId="0" xr:uid="{4976118C-FC83-464C-B562-552F24F41D35}">
      <text>
        <r>
          <rPr>
            <b/>
            <sz val="9"/>
            <rFont val="Tahoma"/>
            <family val="2"/>
          </rPr>
          <t>TRAFINDO</t>
        </r>
        <r>
          <rPr>
            <sz val="9"/>
            <rFont val="Tahoma"/>
            <family val="2"/>
          </rPr>
          <t xml:space="preserve">
</t>
        </r>
      </text>
    </comment>
    <comment ref="O528" authorId="2" shapeId="0" xr:uid="{9340723F-6D74-40C7-A40D-6419266FA850}">
      <text>
        <r>
          <rPr>
            <b/>
            <sz val="9"/>
            <rFont val="Tahoma"/>
            <family val="2"/>
          </rPr>
          <t>183303742</t>
        </r>
      </text>
    </comment>
    <comment ref="P528" authorId="2" shapeId="0" xr:uid="{2501E261-9954-4404-9371-41A8AB162DBF}">
      <text>
        <r>
          <rPr>
            <b/>
            <sz val="9"/>
            <rFont val="Tahoma"/>
            <family val="2"/>
          </rPr>
          <t>2018</t>
        </r>
      </text>
    </comment>
    <comment ref="L529" authorId="1" shapeId="0" xr:uid="{F4EF5B18-3A46-41DE-8CBC-BF50FFCBDEBE}">
      <text>
        <r>
          <rPr>
            <b/>
            <sz val="9"/>
            <rFont val="Tahoma"/>
            <family val="2"/>
          </rPr>
          <t xml:space="preserve">100
</t>
        </r>
      </text>
    </comment>
    <comment ref="N529" authorId="1" shapeId="0" xr:uid="{17B2D7B9-FFD4-4169-9719-D253375E3A8E}">
      <text>
        <r>
          <rPr>
            <b/>
            <sz val="9"/>
            <rFont val="Tahoma"/>
            <family val="2"/>
          </rPr>
          <t>MITSUBISHI</t>
        </r>
      </text>
    </comment>
    <comment ref="O529" authorId="1" shapeId="0" xr:uid="{BD4C0595-E777-49B6-9AB5-7F6B78245B68}">
      <text>
        <r>
          <rPr>
            <b/>
            <sz val="9"/>
            <rFont val="Tahoma"/>
            <family val="2"/>
          </rPr>
          <t>L08303069</t>
        </r>
      </text>
    </comment>
    <comment ref="L533" authorId="2" shapeId="0" xr:uid="{5EAA4241-F2CC-48C3-8B59-62CC080EBFFC}">
      <text>
        <r>
          <rPr>
            <b/>
            <sz val="9"/>
            <rFont val="Tahoma"/>
            <family val="2"/>
          </rPr>
          <t>25</t>
        </r>
        <r>
          <rPr>
            <sz val="9"/>
            <rFont val="Tahoma"/>
            <family val="2"/>
          </rPr>
          <t xml:space="preserve">
</t>
        </r>
      </text>
    </comment>
    <comment ref="N533" authorId="2" shapeId="0" xr:uid="{60C066A7-9627-49E7-ADA9-66EBEEC4CE3D}">
      <text>
        <r>
          <rPr>
            <b/>
            <sz val="9"/>
            <rFont val="Tahoma"/>
            <family val="2"/>
          </rPr>
          <t>B&amp;D</t>
        </r>
      </text>
    </comment>
    <comment ref="O533" authorId="2" shapeId="0" xr:uid="{191FCC8D-7EB3-4477-8783-153B2EB632C6}">
      <text>
        <r>
          <rPr>
            <b/>
            <sz val="9"/>
            <rFont val="Tahoma"/>
            <family val="2"/>
          </rPr>
          <t>9206574</t>
        </r>
        <r>
          <rPr>
            <sz val="9"/>
            <rFont val="Tahoma"/>
            <family val="2"/>
          </rPr>
          <t xml:space="preserve">
</t>
        </r>
      </text>
    </comment>
    <comment ref="L539" authorId="2" shapeId="0" xr:uid="{E066B50B-BB14-4EA3-A9BE-0CC5C0AA29B3}">
      <text>
        <r>
          <rPr>
            <b/>
            <sz val="9"/>
            <rFont val="Tahoma"/>
            <family val="2"/>
          </rPr>
          <t>Tehnik:</t>
        </r>
        <r>
          <rPr>
            <sz val="9"/>
            <rFont val="Tahoma"/>
            <family val="2"/>
          </rPr>
          <t xml:space="preserve">
160</t>
        </r>
      </text>
    </comment>
    <comment ref="N539" authorId="2" shapeId="0" xr:uid="{C5D34B52-8CBC-4894-B182-17598CAB727F}">
      <text>
        <r>
          <rPr>
            <b/>
            <sz val="9"/>
            <rFont val="Tahoma"/>
            <family val="2"/>
          </rPr>
          <t>Tehnik:</t>
        </r>
        <r>
          <rPr>
            <sz val="9"/>
            <rFont val="Tahoma"/>
            <family val="2"/>
          </rPr>
          <t xml:space="preserve">
STARLITE</t>
        </r>
      </text>
    </comment>
    <comment ref="O539" authorId="2" shapeId="0" xr:uid="{0D411385-907C-4B0B-BFD9-A8F4B22C7B81}">
      <text>
        <r>
          <rPr>
            <b/>
            <sz val="9"/>
            <rFont val="Tahoma"/>
            <family val="2"/>
          </rPr>
          <t>Tehnik:</t>
        </r>
        <r>
          <rPr>
            <sz val="9"/>
            <rFont val="Tahoma"/>
            <family val="2"/>
          </rPr>
          <t xml:space="preserve">
87707</t>
        </r>
      </text>
    </comment>
    <comment ref="P539" authorId="2" shapeId="0" xr:uid="{B8A25276-A22B-4102-824D-86A15850219B}">
      <text>
        <r>
          <rPr>
            <b/>
            <sz val="9"/>
            <rFont val="Tahoma"/>
            <family val="2"/>
          </rPr>
          <t>Tehnik:</t>
        </r>
        <r>
          <rPr>
            <sz val="9"/>
            <rFont val="Tahoma"/>
            <family val="2"/>
          </rPr>
          <t xml:space="preserve">
1988</t>
        </r>
      </text>
    </comment>
    <comment ref="L541" authorId="0" shapeId="0" xr:uid="{F7520BDB-7332-4511-92AC-E6E82580D1FE}">
      <text>
        <r>
          <rPr>
            <b/>
            <sz val="9"/>
            <rFont val="Tahoma"/>
            <family val="2"/>
          </rPr>
          <t>50</t>
        </r>
      </text>
    </comment>
    <comment ref="O541" authorId="0" shapeId="0" xr:uid="{05362208-0F4B-4F85-B4A2-0BF7535381D8}">
      <text>
        <r>
          <rPr>
            <b/>
            <sz val="9"/>
            <rFont val="Tahoma"/>
            <family val="2"/>
          </rPr>
          <t>6133903</t>
        </r>
        <r>
          <rPr>
            <sz val="9"/>
            <rFont val="Tahoma"/>
            <family val="2"/>
          </rPr>
          <t xml:space="preserve">
</t>
        </r>
      </text>
    </comment>
    <comment ref="P541" authorId="0" shapeId="0" xr:uid="{A832E337-2442-4B24-9EDB-A7CB42696A92}">
      <text>
        <r>
          <rPr>
            <b/>
            <sz val="9"/>
            <rFont val="Tahoma"/>
            <family val="2"/>
          </rPr>
          <t>2006</t>
        </r>
        <r>
          <rPr>
            <sz val="9"/>
            <rFont val="Tahoma"/>
            <family val="2"/>
          </rPr>
          <t xml:space="preserve">
</t>
        </r>
      </text>
    </comment>
    <comment ref="L548" authorId="1" shapeId="0" xr:uid="{21802566-5C5B-4FC7-A99E-E4A034D9F707}">
      <text>
        <r>
          <rPr>
            <b/>
            <sz val="9"/>
            <rFont val="Tahoma"/>
            <family val="2"/>
          </rPr>
          <t>100</t>
        </r>
      </text>
    </comment>
    <comment ref="N548" authorId="1" shapeId="0" xr:uid="{568CE737-B229-45D9-817F-7650AD0065DF}">
      <text>
        <r>
          <rPr>
            <b/>
            <sz val="9"/>
            <rFont val="Tahoma"/>
            <family val="2"/>
          </rPr>
          <t>UNINDO</t>
        </r>
      </text>
    </comment>
    <comment ref="O548" authorId="1" shapeId="0" xr:uid="{58A64D4E-F9B7-4B44-9836-5FE20AFB5D8B}">
      <text>
        <r>
          <rPr>
            <b/>
            <sz val="9"/>
            <rFont val="Tahoma"/>
            <family val="2"/>
          </rPr>
          <t xml:space="preserve">84753 </t>
        </r>
      </text>
    </comment>
    <comment ref="P548" authorId="1" shapeId="0" xr:uid="{154D1895-0A75-4A9B-B192-D881786A3A3D}">
      <text>
        <r>
          <rPr>
            <b/>
            <sz val="9"/>
            <rFont val="Tahoma"/>
            <family val="2"/>
          </rPr>
          <t>2009</t>
        </r>
      </text>
    </comment>
    <comment ref="L558" authorId="0" shapeId="0" xr:uid="{0398CEFA-B6F8-4B73-967F-801ED95E0F44}">
      <text>
        <r>
          <rPr>
            <b/>
            <sz val="9"/>
            <rFont val="Tahoma"/>
            <family val="2"/>
          </rPr>
          <t>50</t>
        </r>
      </text>
    </comment>
    <comment ref="N558" authorId="0" shapeId="0" xr:uid="{9D4A42B0-62F5-45B4-B38F-69E6FE9BE93D}">
      <text>
        <r>
          <rPr>
            <b/>
            <sz val="9"/>
            <rFont val="Tahoma"/>
            <family val="2"/>
          </rPr>
          <t>SINTRA</t>
        </r>
      </text>
    </comment>
    <comment ref="O558" authorId="0" shapeId="0" xr:uid="{6B4D1E2D-B74C-46F5-BF9D-375654604974}">
      <text>
        <r>
          <rPr>
            <b/>
            <sz val="9"/>
            <rFont val="Tahoma"/>
            <family val="2"/>
          </rPr>
          <t>8008314</t>
        </r>
      </text>
    </comment>
    <comment ref="L568" authorId="0" shapeId="0" xr:uid="{F130A814-FC6A-4C01-8A72-A6247207E850}">
      <text>
        <r>
          <rPr>
            <b/>
            <sz val="9"/>
            <rFont val="Tahoma"/>
            <family val="2"/>
          </rPr>
          <t>50</t>
        </r>
        <r>
          <rPr>
            <sz val="9"/>
            <rFont val="Tahoma"/>
            <family val="2"/>
          </rPr>
          <t xml:space="preserve">
</t>
        </r>
      </text>
    </comment>
    <comment ref="N568" authorId="0" shapeId="0" xr:uid="{0EF5105F-76BA-40CD-8F98-F7EFCD885273}">
      <text>
        <r>
          <rPr>
            <b/>
            <sz val="9"/>
            <rFont val="Tahoma"/>
            <family val="2"/>
          </rPr>
          <t>MITSHUBISHI</t>
        </r>
        <r>
          <rPr>
            <sz val="9"/>
            <rFont val="Tahoma"/>
            <family val="2"/>
          </rPr>
          <t xml:space="preserve">
</t>
        </r>
      </text>
    </comment>
    <comment ref="O568" authorId="0" shapeId="0" xr:uid="{7796866E-7AC9-4FC4-BBD8-CFE1D2FACED1}">
      <text>
        <r>
          <rPr>
            <b/>
            <sz val="9"/>
            <rFont val="Tahoma"/>
            <family val="2"/>
          </rPr>
          <t>L08305062</t>
        </r>
        <r>
          <rPr>
            <sz val="9"/>
            <rFont val="Tahoma"/>
            <family val="2"/>
          </rPr>
          <t xml:space="preserve">
</t>
        </r>
      </text>
    </comment>
    <comment ref="P568" authorId="0" shapeId="0" xr:uid="{04D33D53-FC5C-4DD4-8EF9-AF16C187DFDF}">
      <text>
        <r>
          <rPr>
            <b/>
            <sz val="9"/>
            <rFont val="Tahoma"/>
            <family val="2"/>
          </rPr>
          <t>1984</t>
        </r>
        <r>
          <rPr>
            <sz val="9"/>
            <rFont val="Tahoma"/>
            <family val="2"/>
          </rPr>
          <t xml:space="preserve">
</t>
        </r>
      </text>
    </comment>
    <comment ref="L570" authorId="2" shapeId="0" xr:uid="{95AC400C-D9E4-4089-A41F-2DABA8CE0557}">
      <text>
        <r>
          <rPr>
            <b/>
            <sz val="9"/>
            <rFont val="Tahoma"/>
            <family val="2"/>
          </rPr>
          <t>50</t>
        </r>
        <r>
          <rPr>
            <sz val="9"/>
            <rFont val="Tahoma"/>
            <family val="2"/>
          </rPr>
          <t xml:space="preserve">
</t>
        </r>
      </text>
    </comment>
    <comment ref="N570" authorId="2" shapeId="0" xr:uid="{C3454AD5-3E03-4FDA-BCE0-1C3C2C514237}">
      <text>
        <r>
          <rPr>
            <b/>
            <sz val="9"/>
            <rFont val="Tahoma"/>
            <family val="2"/>
          </rPr>
          <t>B&amp;D</t>
        </r>
        <r>
          <rPr>
            <sz val="9"/>
            <rFont val="Tahoma"/>
            <family val="2"/>
          </rPr>
          <t xml:space="preserve">
</t>
        </r>
      </text>
    </comment>
    <comment ref="O570" authorId="2" shapeId="0" xr:uid="{157AB1B6-BD3D-4E80-AFFF-A45579517B94}">
      <text>
        <r>
          <rPr>
            <b/>
            <sz val="9"/>
            <rFont val="Tahoma"/>
            <family val="2"/>
          </rPr>
          <t>9200623</t>
        </r>
        <r>
          <rPr>
            <sz val="9"/>
            <rFont val="Tahoma"/>
            <family val="2"/>
          </rPr>
          <t xml:space="preserve">
</t>
        </r>
      </text>
    </comment>
    <comment ref="P570" authorId="2" shapeId="0" xr:uid="{7154B404-B7E0-478F-8E3E-87EAACF0C629}">
      <text>
        <r>
          <rPr>
            <b/>
            <sz val="9"/>
            <rFont val="Tahoma"/>
            <family val="2"/>
          </rPr>
          <t>1992</t>
        </r>
        <r>
          <rPr>
            <sz val="9"/>
            <rFont val="Tahoma"/>
            <family val="2"/>
          </rPr>
          <t xml:space="preserve">
</t>
        </r>
      </text>
    </comment>
    <comment ref="L576" authorId="2" shapeId="0" xr:uid="{CAF5A0ED-3878-45D3-8594-5DF19F4C2CBE}">
      <text>
        <r>
          <rPr>
            <b/>
            <sz val="9"/>
            <rFont val="Tahoma"/>
            <family val="2"/>
          </rPr>
          <t>160</t>
        </r>
      </text>
    </comment>
    <comment ref="L582" authorId="2" shapeId="0" xr:uid="{9BE53AE6-E80A-4A0C-A39C-6CBA19D7F0EE}">
      <text>
        <r>
          <rPr>
            <b/>
            <sz val="9"/>
            <rFont val="Tahoma"/>
            <family val="2"/>
          </rPr>
          <t>100</t>
        </r>
        <r>
          <rPr>
            <sz val="9"/>
            <rFont val="Tahoma"/>
            <family val="2"/>
          </rPr>
          <t xml:space="preserve">
</t>
        </r>
      </text>
    </comment>
    <comment ref="N582" authorId="2" shapeId="0" xr:uid="{00103AB7-842D-4EE9-B6D5-9F6020A48CC2}">
      <text>
        <r>
          <rPr>
            <b/>
            <sz val="9"/>
            <rFont val="Tahoma"/>
            <family val="2"/>
          </rPr>
          <t>MORAWA</t>
        </r>
        <r>
          <rPr>
            <sz val="9"/>
            <rFont val="Tahoma"/>
            <family val="2"/>
          </rPr>
          <t xml:space="preserve">
</t>
        </r>
      </text>
    </comment>
    <comment ref="O582" authorId="2" shapeId="0" xr:uid="{EC937D30-E101-4722-964A-0D96E3BE0C04}">
      <text>
        <r>
          <rPr>
            <b/>
            <sz val="9"/>
            <rFont val="Tahoma"/>
            <family val="2"/>
          </rPr>
          <t>B.870550</t>
        </r>
      </text>
    </comment>
    <comment ref="P582" authorId="2" shapeId="0" xr:uid="{903D2799-7835-4AB8-91B7-EB12BF800B61}">
      <text>
        <r>
          <rPr>
            <b/>
            <sz val="9"/>
            <rFont val="Tahoma"/>
            <family val="2"/>
          </rPr>
          <t>1987</t>
        </r>
        <r>
          <rPr>
            <sz val="9"/>
            <rFont val="Tahoma"/>
            <family val="2"/>
          </rPr>
          <t xml:space="preserve">
</t>
        </r>
      </text>
    </comment>
    <comment ref="L585" authorId="0" shapeId="0" xr:uid="{42343251-02DA-4652-A544-668846ACAE48}">
      <text>
        <r>
          <rPr>
            <b/>
            <sz val="9"/>
            <rFont val="Tahoma"/>
            <family val="2"/>
          </rPr>
          <t>25</t>
        </r>
      </text>
    </comment>
    <comment ref="N585" authorId="0" shapeId="0" xr:uid="{B970288D-064A-4E48-83EC-C487B9A33974}">
      <text>
        <r>
          <rPr>
            <b/>
            <sz val="9"/>
            <rFont val="Tahoma"/>
            <family val="2"/>
          </rPr>
          <t>OSAKA</t>
        </r>
      </text>
    </comment>
    <comment ref="O585" authorId="0" shapeId="0" xr:uid="{F2086350-F941-4080-885B-41D76F04C833}">
      <text>
        <r>
          <rPr>
            <sz val="9"/>
            <rFont val="Tahoma"/>
            <family val="2"/>
          </rPr>
          <t>2KO117040</t>
        </r>
      </text>
    </comment>
    <comment ref="P585" authorId="0" shapeId="0" xr:uid="{7AC0FE42-5C87-406D-965B-617D3B51788E}">
      <text>
        <r>
          <rPr>
            <b/>
            <sz val="9"/>
            <rFont val="Tahoma"/>
            <family val="2"/>
          </rPr>
          <t>1984</t>
        </r>
      </text>
    </comment>
    <comment ref="N586" authorId="2" shapeId="0" xr:uid="{3AF4D134-23C7-4159-B86A-198F4A30E540}">
      <text>
        <r>
          <rPr>
            <b/>
            <sz val="9"/>
            <rFont val="Tahoma"/>
            <family val="2"/>
          </rPr>
          <t>TRAFINDO</t>
        </r>
        <r>
          <rPr>
            <sz val="9"/>
            <rFont val="Tahoma"/>
            <family val="2"/>
          </rPr>
          <t xml:space="preserve">
</t>
        </r>
      </text>
    </comment>
    <comment ref="O586" authorId="2" shapeId="0" xr:uid="{9AAC8543-1F61-44BD-8F38-5C45DCA0249A}">
      <text>
        <r>
          <rPr>
            <b/>
            <sz val="9"/>
            <rFont val="Tahoma"/>
            <family val="2"/>
          </rPr>
          <t>183303737</t>
        </r>
        <r>
          <rPr>
            <sz val="9"/>
            <rFont val="Tahoma"/>
            <family val="2"/>
          </rPr>
          <t xml:space="preserve">
</t>
        </r>
      </text>
    </comment>
    <comment ref="P586" authorId="2" shapeId="0" xr:uid="{33C13582-55C1-454B-B3EB-37125FD7584D}">
      <text>
        <r>
          <rPr>
            <b/>
            <sz val="9"/>
            <rFont val="Tahoma"/>
            <family val="2"/>
          </rPr>
          <t>2018</t>
        </r>
        <r>
          <rPr>
            <sz val="9"/>
            <rFont val="Tahoma"/>
            <family val="2"/>
          </rPr>
          <t xml:space="preserve">
</t>
        </r>
      </text>
    </comment>
    <comment ref="L589" authorId="1" shapeId="0" xr:uid="{0BC68AB2-873D-4A73-BCBD-9CDF21287FA4}">
      <text>
        <r>
          <rPr>
            <b/>
            <sz val="9"/>
            <rFont val="Tahoma"/>
            <family val="2"/>
          </rPr>
          <t>50</t>
        </r>
      </text>
    </comment>
    <comment ref="N589" authorId="1" shapeId="0" xr:uid="{9D6D38E4-0C5D-480B-90D0-7C666E35E6FC}">
      <text>
        <r>
          <rPr>
            <b/>
            <sz val="9"/>
            <rFont val="Tahoma"/>
            <family val="2"/>
          </rPr>
          <t>EBG</t>
        </r>
      </text>
    </comment>
    <comment ref="O589" authorId="1" shapeId="0" xr:uid="{FCF32FA8-D98D-415B-AED0-DF2CE67926DC}">
      <text>
        <r>
          <rPr>
            <b/>
            <sz val="9"/>
            <rFont val="Tahoma"/>
            <family val="2"/>
          </rPr>
          <t>130931</t>
        </r>
      </text>
    </comment>
    <comment ref="P589" authorId="1" shapeId="0" xr:uid="{5DC15E4E-F9A5-45BB-A65C-C7301138464D}">
      <text>
        <r>
          <rPr>
            <b/>
            <sz val="9"/>
            <rFont val="Tahoma"/>
            <family val="2"/>
          </rPr>
          <t>1981</t>
        </r>
      </text>
    </comment>
    <comment ref="L590" authorId="2" shapeId="0" xr:uid="{9CC4EE09-C608-4F96-989F-35B943E3DC91}">
      <text>
        <r>
          <rPr>
            <b/>
            <sz val="9"/>
            <rFont val="Tahoma"/>
            <family val="2"/>
          </rPr>
          <t>100</t>
        </r>
        <r>
          <rPr>
            <sz val="9"/>
            <rFont val="Tahoma"/>
            <family val="2"/>
          </rPr>
          <t xml:space="preserve">
</t>
        </r>
      </text>
    </comment>
    <comment ref="N590" authorId="2" shapeId="0" xr:uid="{A0D43CCB-15ED-4799-A047-C7D63008F5AB}">
      <text>
        <r>
          <rPr>
            <b/>
            <sz val="9"/>
            <rFont val="Tahoma"/>
            <family val="2"/>
          </rPr>
          <t>UNINDO</t>
        </r>
        <r>
          <rPr>
            <sz val="9"/>
            <rFont val="Tahoma"/>
            <family val="2"/>
          </rPr>
          <t xml:space="preserve">
</t>
        </r>
      </text>
    </comment>
    <comment ref="O590" authorId="2" shapeId="0" xr:uid="{8BDC6E4D-037E-4765-9EE7-381616521653}">
      <text>
        <r>
          <rPr>
            <b/>
            <sz val="9"/>
            <rFont val="Tahoma"/>
            <family val="2"/>
          </rPr>
          <t>32406</t>
        </r>
      </text>
    </comment>
    <comment ref="P590" authorId="2" shapeId="0" xr:uid="{A7538A5A-6ED9-4E61-93EC-62935F0FF71B}">
      <text>
        <r>
          <rPr>
            <b/>
            <sz val="9"/>
            <rFont val="Tahoma"/>
            <family val="2"/>
          </rPr>
          <t>1986</t>
        </r>
        <r>
          <rPr>
            <sz val="9"/>
            <rFont val="Tahoma"/>
            <family val="2"/>
          </rPr>
          <t xml:space="preserve">
</t>
        </r>
      </text>
    </comment>
    <comment ref="D601" authorId="3" shapeId="0" xr:uid="{8E25CFB3-001A-48B1-B2E8-6AC85AD89D78}">
      <text>
        <r>
          <rPr>
            <b/>
            <sz val="9"/>
            <rFont val="Tahoma"/>
            <family val="2"/>
          </rPr>
          <t>Hrkon-Opdist:</t>
        </r>
        <r>
          <rPr>
            <sz val="9"/>
            <rFont val="Tahoma"/>
            <family val="2"/>
          </rPr>
          <t xml:space="preserve">
cek daya</t>
        </r>
      </text>
    </comment>
    <comment ref="L620" authorId="2" shapeId="0" xr:uid="{1D85C87A-A18B-4896-A7B8-51A3D99A6EF0}">
      <text>
        <r>
          <rPr>
            <b/>
            <sz val="9"/>
            <rFont val="Tahoma"/>
            <family val="2"/>
          </rPr>
          <t>100</t>
        </r>
        <r>
          <rPr>
            <sz val="9"/>
            <rFont val="Tahoma"/>
            <family val="2"/>
          </rPr>
          <t xml:space="preserve">
</t>
        </r>
      </text>
    </comment>
    <comment ref="N620" authorId="2" shapeId="0" xr:uid="{9F819548-4EF3-4D79-82D8-428ADA847113}">
      <text>
        <r>
          <rPr>
            <b/>
            <sz val="9"/>
            <rFont val="Tahoma"/>
            <family val="2"/>
          </rPr>
          <t>STARLITE</t>
        </r>
        <r>
          <rPr>
            <sz val="9"/>
            <rFont val="Tahoma"/>
            <family val="2"/>
          </rPr>
          <t xml:space="preserve">
</t>
        </r>
      </text>
    </comment>
    <comment ref="O620" authorId="2" shapeId="0" xr:uid="{2D6C1740-34BC-4762-A428-7937C3D84B90}">
      <text>
        <r>
          <rPr>
            <b/>
            <sz val="9"/>
            <rFont val="Tahoma"/>
            <family val="2"/>
          </rPr>
          <t>18614</t>
        </r>
        <r>
          <rPr>
            <sz val="9"/>
            <rFont val="Tahoma"/>
            <family val="2"/>
          </rPr>
          <t xml:space="preserve">
</t>
        </r>
      </text>
    </comment>
    <comment ref="P620" authorId="2" shapeId="0" xr:uid="{764A83F3-5372-4D59-A95D-53A26F5EB48F}">
      <text>
        <r>
          <rPr>
            <b/>
            <sz val="9"/>
            <rFont val="Tahoma"/>
            <family val="2"/>
          </rPr>
          <t>2018</t>
        </r>
        <r>
          <rPr>
            <sz val="9"/>
            <rFont val="Tahoma"/>
            <family val="2"/>
          </rPr>
          <t xml:space="preserve">
</t>
        </r>
      </text>
    </comment>
    <comment ref="L621" authorId="2" shapeId="0" xr:uid="{2FA09860-386A-48FF-A4A6-5F1CADFC0B1F}">
      <text>
        <r>
          <rPr>
            <b/>
            <sz val="9"/>
            <rFont val="Tahoma"/>
            <family val="2"/>
          </rPr>
          <t>100</t>
        </r>
        <r>
          <rPr>
            <sz val="9"/>
            <rFont val="Tahoma"/>
            <family val="2"/>
          </rPr>
          <t xml:space="preserve">
</t>
        </r>
      </text>
    </comment>
    <comment ref="N621" authorId="2" shapeId="0" xr:uid="{1E931020-2DC5-42D1-B2D5-C0D1B532E7DD}">
      <text>
        <r>
          <rPr>
            <b/>
            <sz val="9"/>
            <rFont val="Tahoma"/>
            <family val="2"/>
          </rPr>
          <t>STARLITE</t>
        </r>
        <r>
          <rPr>
            <sz val="9"/>
            <rFont val="Tahoma"/>
            <family val="2"/>
          </rPr>
          <t xml:space="preserve">
</t>
        </r>
      </text>
    </comment>
    <comment ref="O621" authorId="2" shapeId="0" xr:uid="{060D325F-E026-4B69-A37C-85D2ECAA3113}">
      <text>
        <r>
          <rPr>
            <b/>
            <sz val="9"/>
            <rFont val="Tahoma"/>
            <family val="2"/>
          </rPr>
          <t>18614</t>
        </r>
        <r>
          <rPr>
            <sz val="9"/>
            <rFont val="Tahoma"/>
            <family val="2"/>
          </rPr>
          <t xml:space="preserve">
</t>
        </r>
      </text>
    </comment>
    <comment ref="P621" authorId="2" shapeId="0" xr:uid="{99D052EB-36B1-49C8-B8D5-C109C3E15E7D}">
      <text>
        <r>
          <rPr>
            <b/>
            <sz val="9"/>
            <rFont val="Tahoma"/>
            <family val="2"/>
          </rPr>
          <t>2018</t>
        </r>
        <r>
          <rPr>
            <sz val="9"/>
            <rFont val="Tahoma"/>
            <family val="2"/>
          </rPr>
          <t xml:space="preserve">
</t>
        </r>
      </text>
    </comment>
    <comment ref="L622" authorId="2" shapeId="0" xr:uid="{41A39BA2-05CF-409B-BA43-34C9B49A316E}">
      <text>
        <r>
          <rPr>
            <b/>
            <sz val="9"/>
            <rFont val="Tahoma"/>
            <family val="2"/>
          </rPr>
          <t>100</t>
        </r>
        <r>
          <rPr>
            <sz val="9"/>
            <rFont val="Tahoma"/>
            <family val="2"/>
          </rPr>
          <t xml:space="preserve">
</t>
        </r>
      </text>
    </comment>
    <comment ref="N622" authorId="2" shapeId="0" xr:uid="{FE8D8968-D888-4F3B-A42A-5E2E9DDBAECB}">
      <text>
        <r>
          <rPr>
            <b/>
            <sz val="9"/>
            <rFont val="Tahoma"/>
            <family val="2"/>
          </rPr>
          <t>STARLITE</t>
        </r>
        <r>
          <rPr>
            <sz val="9"/>
            <rFont val="Tahoma"/>
            <family val="2"/>
          </rPr>
          <t xml:space="preserve">
</t>
        </r>
      </text>
    </comment>
    <comment ref="O622" authorId="2" shapeId="0" xr:uid="{FB651743-ACDC-4FCF-9F46-1497B764702D}">
      <text>
        <r>
          <rPr>
            <b/>
            <sz val="9"/>
            <rFont val="Tahoma"/>
            <family val="2"/>
          </rPr>
          <t>18614</t>
        </r>
        <r>
          <rPr>
            <sz val="9"/>
            <rFont val="Tahoma"/>
            <family val="2"/>
          </rPr>
          <t xml:space="preserve">
</t>
        </r>
      </text>
    </comment>
    <comment ref="P622" authorId="2" shapeId="0" xr:uid="{E4127216-043B-419E-B945-BB273C452DC5}">
      <text>
        <r>
          <rPr>
            <b/>
            <sz val="9"/>
            <rFont val="Tahoma"/>
            <family val="2"/>
          </rPr>
          <t>2018</t>
        </r>
        <r>
          <rPr>
            <sz val="9"/>
            <rFont val="Tahoma"/>
            <family val="2"/>
          </rPr>
          <t xml:space="preserve">
</t>
        </r>
      </text>
    </comment>
    <comment ref="L623" authorId="2" shapeId="0" xr:uid="{C53466BB-5C4F-4B5E-9BCC-AFE47BBEF482}">
      <text>
        <r>
          <rPr>
            <sz val="9"/>
            <rFont val="Tahoma"/>
            <family val="2"/>
          </rPr>
          <t xml:space="preserve">
</t>
        </r>
      </text>
    </comment>
    <comment ref="N623" authorId="2" shapeId="0" xr:uid="{46C51850-6969-4BBB-AB27-4FBFA4BFAE34}">
      <text>
        <r>
          <rPr>
            <b/>
            <sz val="9"/>
            <rFont val="Tahoma"/>
            <family val="2"/>
          </rPr>
          <t>STARLITE</t>
        </r>
        <r>
          <rPr>
            <sz val="9"/>
            <rFont val="Tahoma"/>
            <family val="2"/>
          </rPr>
          <t xml:space="preserve">
</t>
        </r>
      </text>
    </comment>
    <comment ref="O623" authorId="2" shapeId="0" xr:uid="{1F4AC16B-1F0F-47E3-A23B-42CD6EC8E1BD}">
      <text>
        <r>
          <rPr>
            <b/>
            <sz val="9"/>
            <rFont val="Tahoma"/>
            <family val="2"/>
          </rPr>
          <t>18614</t>
        </r>
        <r>
          <rPr>
            <sz val="9"/>
            <rFont val="Tahoma"/>
            <family val="2"/>
          </rPr>
          <t xml:space="preserve">
</t>
        </r>
      </text>
    </comment>
    <comment ref="P623" authorId="2" shapeId="0" xr:uid="{43341B48-4674-44D6-9A23-00A5FA286251}">
      <text>
        <r>
          <rPr>
            <b/>
            <sz val="9"/>
            <rFont val="Tahoma"/>
            <family val="2"/>
          </rPr>
          <t>2018</t>
        </r>
        <r>
          <rPr>
            <sz val="9"/>
            <rFont val="Tahoma"/>
            <family val="2"/>
          </rPr>
          <t xml:space="preserve">
</t>
        </r>
      </text>
    </comment>
    <comment ref="L626" authorId="0" shapeId="0" xr:uid="{9E1C06EE-AD3E-4D6C-B5CF-1F1E19521029}">
      <text>
        <r>
          <rPr>
            <b/>
            <sz val="9"/>
            <rFont val="Tahoma"/>
            <family val="2"/>
          </rPr>
          <t>100</t>
        </r>
        <r>
          <rPr>
            <sz val="9"/>
            <rFont val="Tahoma"/>
            <family val="2"/>
          </rPr>
          <t xml:space="preserve">
</t>
        </r>
      </text>
    </comment>
    <comment ref="N626" authorId="0" shapeId="0" xr:uid="{C8BBACBB-EC76-4AEA-909E-D388AA6C5E93}">
      <text>
        <r>
          <rPr>
            <b/>
            <sz val="9"/>
            <rFont val="Tahoma"/>
            <family val="2"/>
          </rPr>
          <t>UNINDO</t>
        </r>
      </text>
    </comment>
    <comment ref="O626" authorId="0" shapeId="0" xr:uid="{DF5844EF-FED8-46DA-807B-01B2E4149B44}">
      <text>
        <r>
          <rPr>
            <b/>
            <sz val="9"/>
            <rFont val="Tahoma"/>
            <family val="2"/>
          </rPr>
          <t>84756</t>
        </r>
        <r>
          <rPr>
            <sz val="9"/>
            <rFont val="Tahoma"/>
            <family val="2"/>
          </rPr>
          <t xml:space="preserve">
</t>
        </r>
      </text>
    </comment>
    <comment ref="P626" authorId="0" shapeId="0" xr:uid="{3DAB827F-3192-4D74-B4EC-84B330DB6CC8}">
      <text>
        <r>
          <rPr>
            <b/>
            <sz val="9"/>
            <rFont val="Tahoma"/>
            <family val="2"/>
          </rPr>
          <t>2009</t>
        </r>
      </text>
    </comment>
    <comment ref="J663" authorId="0" shapeId="0" xr:uid="{8F6C8391-995A-4398-AAC7-41A67BAF6F63}">
      <text>
        <r>
          <rPr>
            <b/>
            <sz val="9"/>
            <rFont val="Tahoma"/>
            <family val="2"/>
          </rPr>
          <t>1291</t>
        </r>
      </text>
    </comment>
    <comment ref="L665" authorId="2" shapeId="0" xr:uid="{0D3B0FE1-D5A2-40E8-B825-B9364B378B67}">
      <text>
        <r>
          <rPr>
            <b/>
            <sz val="9"/>
            <rFont val="Tahoma"/>
            <family val="2"/>
          </rPr>
          <t>200</t>
        </r>
      </text>
    </comment>
    <comment ref="N665" authorId="2" shapeId="0" xr:uid="{90AF0330-025F-4E13-99AB-5DA1C4A940AA}">
      <text>
        <r>
          <rPr>
            <b/>
            <sz val="9"/>
            <rFont val="Tahoma"/>
            <family val="2"/>
          </rPr>
          <t>TRAFINDO</t>
        </r>
      </text>
    </comment>
    <comment ref="O665" authorId="2" shapeId="0" xr:uid="{CBA3F65B-B0E5-4D47-8CCF-398192AA8C67}">
      <text>
        <r>
          <rPr>
            <b/>
            <sz val="9"/>
            <rFont val="Tahoma"/>
            <family val="2"/>
          </rPr>
          <t>30297</t>
        </r>
        <r>
          <rPr>
            <sz val="9"/>
            <rFont val="Tahoma"/>
            <family val="2"/>
          </rPr>
          <t xml:space="preserve">
</t>
        </r>
      </text>
    </comment>
    <comment ref="P665" authorId="2" shapeId="0" xr:uid="{D5EF5C0E-FD47-4023-A7A0-281669FD22EA}">
      <text>
        <r>
          <rPr>
            <b/>
            <sz val="9"/>
            <rFont val="Tahoma"/>
            <family val="2"/>
          </rPr>
          <t>1983</t>
        </r>
        <r>
          <rPr>
            <sz val="9"/>
            <rFont val="Tahoma"/>
            <family val="2"/>
          </rPr>
          <t xml:space="preserve">
</t>
        </r>
      </text>
    </comment>
    <comment ref="J668" authorId="0" shapeId="0" xr:uid="{558A8FF6-6F03-4064-9C4D-9FBBB023A62F}">
      <text>
        <r>
          <rPr>
            <b/>
            <sz val="9"/>
            <rFont val="Tahoma"/>
            <family val="2"/>
          </rPr>
          <t>1288</t>
        </r>
      </text>
    </comment>
    <comment ref="L669" authorId="1" shapeId="0" xr:uid="{862A6223-BB98-49FF-8555-B8BEB3CC0F71}">
      <text>
        <r>
          <rPr>
            <b/>
            <sz val="9"/>
            <rFont val="Tahoma"/>
            <family val="2"/>
          </rPr>
          <t>160</t>
        </r>
      </text>
    </comment>
    <comment ref="N669" authorId="1" shapeId="0" xr:uid="{6CC51AFA-19CC-40A7-86C7-27FF5EDCB9E8}">
      <text>
        <r>
          <rPr>
            <b/>
            <sz val="9"/>
            <rFont val="Tahoma"/>
            <family val="2"/>
          </rPr>
          <t>UNINDO</t>
        </r>
      </text>
    </comment>
    <comment ref="P669" authorId="1" shapeId="0" xr:uid="{A7CADB6E-D9C6-4E47-BF8C-10695D1C4B22}">
      <text>
        <r>
          <rPr>
            <b/>
            <sz val="9"/>
            <rFont val="Tahoma"/>
            <family val="2"/>
          </rPr>
          <t>1997</t>
        </r>
      </text>
    </comment>
    <comment ref="L671" authorId="2" shapeId="0" xr:uid="{56C2862A-136F-4AAD-A8A4-AB09AB513B72}">
      <text>
        <r>
          <rPr>
            <b/>
            <sz val="9"/>
            <rFont val="Tahoma"/>
            <family val="2"/>
          </rPr>
          <t>160</t>
        </r>
        <r>
          <rPr>
            <sz val="9"/>
            <rFont val="Tahoma"/>
            <family val="2"/>
          </rPr>
          <t xml:space="preserve">
</t>
        </r>
      </text>
    </comment>
    <comment ref="N671" authorId="2" shapeId="0" xr:uid="{314062C6-8013-4928-976B-8E79A192520B}">
      <text>
        <r>
          <rPr>
            <b/>
            <sz val="9"/>
            <rFont val="Tahoma"/>
            <family val="2"/>
          </rPr>
          <t>WELTRAF</t>
        </r>
        <r>
          <rPr>
            <sz val="9"/>
            <rFont val="Tahoma"/>
            <family val="2"/>
          </rPr>
          <t xml:space="preserve">
</t>
        </r>
      </text>
    </comment>
    <comment ref="O671" authorId="2" shapeId="0" xr:uid="{0A49AE32-CE16-45AB-8DEF-062E6EB9478D}">
      <text>
        <r>
          <rPr>
            <b/>
            <sz val="9"/>
            <rFont val="Tahoma"/>
            <family val="2"/>
          </rPr>
          <t>19ADN01109</t>
        </r>
        <r>
          <rPr>
            <sz val="9"/>
            <rFont val="Tahoma"/>
            <family val="2"/>
          </rPr>
          <t xml:space="preserve">
</t>
        </r>
      </text>
    </comment>
    <comment ref="P671" authorId="2" shapeId="0" xr:uid="{EF51AE4E-2A0F-4993-9C47-D4FCEF7B6278}">
      <text>
        <r>
          <rPr>
            <b/>
            <sz val="9"/>
            <rFont val="Tahoma"/>
            <family val="2"/>
          </rPr>
          <t>2019</t>
        </r>
        <r>
          <rPr>
            <sz val="9"/>
            <rFont val="Tahoma"/>
            <family val="2"/>
          </rPr>
          <t xml:space="preserve">
</t>
        </r>
      </text>
    </comment>
    <comment ref="L687" authorId="2" shapeId="0" xr:uid="{95B05535-48FB-486C-B927-FFF8A425C892}">
      <text>
        <r>
          <rPr>
            <b/>
            <sz val="9"/>
            <rFont val="Tahoma"/>
            <family val="2"/>
          </rPr>
          <t>160</t>
        </r>
        <r>
          <rPr>
            <sz val="9"/>
            <rFont val="Tahoma"/>
            <family val="2"/>
          </rPr>
          <t xml:space="preserve">
</t>
        </r>
      </text>
    </comment>
    <comment ref="N687" authorId="2" shapeId="0" xr:uid="{93993FD0-3D5A-4213-9DAB-D74D4CA76BBA}">
      <text>
        <r>
          <rPr>
            <b/>
            <sz val="9"/>
            <rFont val="Tahoma"/>
            <family val="2"/>
          </rPr>
          <t>STARLITE</t>
        </r>
        <r>
          <rPr>
            <sz val="9"/>
            <rFont val="Tahoma"/>
            <family val="2"/>
          </rPr>
          <t xml:space="preserve">
</t>
        </r>
      </text>
    </comment>
    <comment ref="O687" authorId="2" shapeId="0" xr:uid="{DC6A7928-1166-4FE1-A013-E41452A7B96D}">
      <text>
        <r>
          <rPr>
            <b/>
            <sz val="9"/>
            <rFont val="Tahoma"/>
            <family val="2"/>
          </rPr>
          <t>1000621034-035</t>
        </r>
        <r>
          <rPr>
            <sz val="9"/>
            <rFont val="Tahoma"/>
            <family val="2"/>
          </rPr>
          <t xml:space="preserve">
</t>
        </r>
      </text>
    </comment>
    <comment ref="P687" authorId="2" shapeId="0" xr:uid="{D19900A6-BF13-4773-8A3F-3CC9AAD4948C}">
      <text>
        <r>
          <rPr>
            <b/>
            <sz val="9"/>
            <rFont val="Tahoma"/>
            <family val="2"/>
          </rPr>
          <t>2010</t>
        </r>
        <r>
          <rPr>
            <sz val="9"/>
            <rFont val="Tahoma"/>
            <family val="2"/>
          </rPr>
          <t xml:space="preserve">
</t>
        </r>
      </text>
    </comment>
    <comment ref="L699" authorId="2" shapeId="0" xr:uid="{0F9BA97B-2A02-498B-AF93-BD21D8FB2E56}">
      <text>
        <r>
          <rPr>
            <b/>
            <sz val="9"/>
            <rFont val="Tahoma"/>
            <family val="2"/>
          </rPr>
          <t>100</t>
        </r>
        <r>
          <rPr>
            <sz val="9"/>
            <rFont val="Tahoma"/>
            <family val="2"/>
          </rPr>
          <t xml:space="preserve">
</t>
        </r>
      </text>
    </comment>
    <comment ref="N699" authorId="2" shapeId="0" xr:uid="{3DE5B4E2-BEDE-49E4-9B73-D02D7652A93E}">
      <text>
        <r>
          <rPr>
            <b/>
            <sz val="9"/>
            <rFont val="Tahoma"/>
            <family val="2"/>
          </rPr>
          <t>UNINDO</t>
        </r>
      </text>
    </comment>
    <comment ref="O699" authorId="2" shapeId="0" xr:uid="{15CEAEB7-3A4A-4516-9E9D-221141BDA0C7}">
      <text>
        <r>
          <rPr>
            <b/>
            <sz val="9"/>
            <rFont val="Tahoma"/>
            <family val="2"/>
          </rPr>
          <t>18614</t>
        </r>
      </text>
    </comment>
    <comment ref="P699" authorId="2" shapeId="0" xr:uid="{D2755973-A266-415B-AB39-EB71655B0141}">
      <text>
        <r>
          <rPr>
            <b/>
            <sz val="9"/>
            <rFont val="Tahoma"/>
            <family val="2"/>
          </rPr>
          <t>2018</t>
        </r>
      </text>
    </comment>
    <comment ref="L700" authorId="2" shapeId="0" xr:uid="{A06DCFF5-EC15-460B-9174-202B1F468A3E}">
      <text>
        <r>
          <rPr>
            <b/>
            <sz val="9"/>
            <rFont val="Tahoma"/>
            <family val="2"/>
          </rPr>
          <t>Tehnik:</t>
        </r>
        <r>
          <rPr>
            <sz val="9"/>
            <rFont val="Tahoma"/>
            <family val="2"/>
          </rPr>
          <t xml:space="preserve">
100</t>
        </r>
      </text>
    </comment>
    <comment ref="N700" authorId="2" shapeId="0" xr:uid="{8E3AB54A-6E3C-4353-AE0B-18412149FA14}">
      <text>
        <r>
          <rPr>
            <b/>
            <sz val="9"/>
            <rFont val="Tahoma"/>
            <family val="2"/>
          </rPr>
          <t>Tehnik:</t>
        </r>
        <r>
          <rPr>
            <sz val="9"/>
            <rFont val="Tahoma"/>
            <family val="2"/>
          </rPr>
          <t xml:space="preserve">
MITSUBISHI</t>
        </r>
      </text>
    </comment>
    <comment ref="O700" authorId="2" shapeId="0" xr:uid="{8DA532EA-5832-4B45-83A6-D36C6B41FC1E}">
      <text>
        <r>
          <rPr>
            <b/>
            <sz val="9"/>
            <rFont val="Tahoma"/>
            <family val="2"/>
          </rPr>
          <t>Tehnik:</t>
        </r>
        <r>
          <rPr>
            <sz val="9"/>
            <rFont val="Tahoma"/>
            <family val="2"/>
          </rPr>
          <t xml:space="preserve">
L.08304095</t>
        </r>
      </text>
    </comment>
    <comment ref="P700" authorId="2" shapeId="0" xr:uid="{56E4E81D-B8C1-4EB4-AED9-95E911F41AFB}">
      <text>
        <r>
          <rPr>
            <b/>
            <sz val="9"/>
            <rFont val="Tahoma"/>
            <family val="2"/>
          </rPr>
          <t>Tehnik:</t>
        </r>
        <r>
          <rPr>
            <sz val="9"/>
            <rFont val="Tahoma"/>
            <family val="2"/>
          </rPr>
          <t xml:space="preserve">
1984</t>
        </r>
      </text>
    </comment>
    <comment ref="L703" authorId="2" shapeId="0" xr:uid="{B66FE017-7A85-4DD3-979B-B860932F3A43}">
      <text>
        <r>
          <rPr>
            <b/>
            <sz val="9"/>
            <rFont val="Tahoma"/>
            <family val="2"/>
          </rPr>
          <t>25</t>
        </r>
        <r>
          <rPr>
            <sz val="9"/>
            <rFont val="Tahoma"/>
            <family val="2"/>
          </rPr>
          <t xml:space="preserve">
</t>
        </r>
      </text>
    </comment>
    <comment ref="N703" authorId="2" shapeId="0" xr:uid="{0D550B0E-2337-41B3-BE63-185666DBEDFF}">
      <text>
        <r>
          <rPr>
            <b/>
            <sz val="9"/>
            <rFont val="Tahoma"/>
            <family val="2"/>
          </rPr>
          <t>B&amp;D</t>
        </r>
        <r>
          <rPr>
            <sz val="9"/>
            <rFont val="Tahoma"/>
            <family val="2"/>
          </rPr>
          <t xml:space="preserve">
</t>
        </r>
      </text>
    </comment>
    <comment ref="O703" authorId="2" shapeId="0" xr:uid="{9D01A5FC-B1CA-45FE-B00B-BFABE1B8F067}">
      <text>
        <r>
          <rPr>
            <b/>
            <sz val="9"/>
            <rFont val="Tahoma"/>
            <family val="2"/>
          </rPr>
          <t>83063492</t>
        </r>
        <r>
          <rPr>
            <sz val="9"/>
            <rFont val="Tahoma"/>
            <family val="2"/>
          </rPr>
          <t xml:space="preserve">
</t>
        </r>
      </text>
    </comment>
    <comment ref="P703" authorId="2" shapeId="0" xr:uid="{7B430153-87CA-4D18-9BC8-35DDDDC815A4}">
      <text>
        <r>
          <rPr>
            <b/>
            <sz val="9"/>
            <rFont val="Tahoma"/>
            <family val="2"/>
          </rPr>
          <t>1993</t>
        </r>
        <r>
          <rPr>
            <sz val="9"/>
            <rFont val="Tahoma"/>
            <family val="2"/>
          </rPr>
          <t xml:space="preserve">
</t>
        </r>
      </text>
    </comment>
    <comment ref="L715" authorId="1" shapeId="0" xr:uid="{690B4794-5333-4A8E-8ABF-ADC1C8A38D25}">
      <text>
        <r>
          <rPr>
            <b/>
            <sz val="9"/>
            <rFont val="Tahoma"/>
            <family val="2"/>
          </rPr>
          <t>160</t>
        </r>
      </text>
    </comment>
    <comment ref="N715" authorId="1" shapeId="0" xr:uid="{FC37F18C-ADE9-48FC-9786-1C21E9E97EA5}">
      <text>
        <r>
          <rPr>
            <b/>
            <sz val="9"/>
            <rFont val="Tahoma"/>
            <family val="2"/>
          </rPr>
          <t>MITSUBISHI</t>
        </r>
      </text>
    </comment>
    <comment ref="O715" authorId="1" shapeId="0" xr:uid="{B84C6F8B-84BE-4891-A275-3CE0F9CD185A}">
      <text>
        <r>
          <rPr>
            <b/>
            <sz val="9"/>
            <rFont val="Tahoma"/>
            <family val="2"/>
          </rPr>
          <t>L08302028</t>
        </r>
      </text>
    </comment>
    <comment ref="P715" authorId="1" shapeId="0" xr:uid="{27807FDA-E188-4ADC-92EF-8F74F11A50EB}">
      <text>
        <r>
          <rPr>
            <b/>
            <sz val="9"/>
            <rFont val="Tahoma"/>
            <family val="2"/>
          </rPr>
          <t>1984</t>
        </r>
      </text>
    </comment>
    <comment ref="N716" authorId="2" shapeId="0" xr:uid="{9FE7CB73-1C1A-407D-8B8A-65301A6257DC}">
      <text>
        <r>
          <rPr>
            <b/>
            <sz val="9"/>
            <rFont val="Tahoma"/>
            <family val="2"/>
          </rPr>
          <t>B&amp;D</t>
        </r>
        <r>
          <rPr>
            <sz val="9"/>
            <rFont val="Tahoma"/>
            <family val="2"/>
          </rPr>
          <t xml:space="preserve">
</t>
        </r>
      </text>
    </comment>
    <comment ref="O716" authorId="2" shapeId="0" xr:uid="{3223C81D-BE07-4746-9FCC-49F6353C64A5}">
      <text>
        <r>
          <rPr>
            <b/>
            <sz val="9"/>
            <rFont val="Tahoma"/>
            <family val="2"/>
          </rPr>
          <t>2011403</t>
        </r>
        <r>
          <rPr>
            <sz val="9"/>
            <rFont val="Tahoma"/>
            <family val="2"/>
          </rPr>
          <t xml:space="preserve">
</t>
        </r>
      </text>
    </comment>
    <comment ref="P716" authorId="2" shapeId="0" xr:uid="{E655C7A6-3ECD-462D-93D0-8BBF55B77F9F}">
      <text>
        <r>
          <rPr>
            <b/>
            <sz val="9"/>
            <rFont val="Tahoma"/>
            <family val="2"/>
          </rPr>
          <t>2011</t>
        </r>
        <r>
          <rPr>
            <sz val="9"/>
            <rFont val="Tahoma"/>
            <family val="2"/>
          </rPr>
          <t xml:space="preserve">
</t>
        </r>
      </text>
    </comment>
    <comment ref="J720" authorId="0" shapeId="0" xr:uid="{C307E82A-A44A-44A3-8075-28259917ADD5}">
      <text>
        <r>
          <rPr>
            <b/>
            <sz val="9"/>
            <rFont val="Tahoma"/>
            <family val="2"/>
          </rPr>
          <t>1287</t>
        </r>
      </text>
    </comment>
    <comment ref="L740" authorId="2" shapeId="0" xr:uid="{15A86265-7364-42B8-A4D9-333C262F6F66}">
      <text>
        <r>
          <rPr>
            <sz val="9"/>
            <rFont val="Tahoma"/>
            <family val="2"/>
          </rPr>
          <t xml:space="preserve">400
</t>
        </r>
      </text>
    </comment>
    <comment ref="N740" authorId="2" shapeId="0" xr:uid="{A16C11E5-F2B2-4106-9EE2-13DD7696BF2A}">
      <text>
        <r>
          <rPr>
            <b/>
            <sz val="9"/>
            <rFont val="Tahoma"/>
            <family val="2"/>
          </rPr>
          <t>B&amp;D</t>
        </r>
      </text>
    </comment>
    <comment ref="O740" authorId="2" shapeId="0" xr:uid="{626F8E61-9634-4A78-A3ED-AEC95A35B57E}">
      <text>
        <r>
          <rPr>
            <b/>
            <sz val="9"/>
            <rFont val="Tahoma"/>
            <family val="2"/>
          </rPr>
          <t>1601401</t>
        </r>
        <r>
          <rPr>
            <sz val="9"/>
            <rFont val="Tahoma"/>
            <family val="2"/>
          </rPr>
          <t xml:space="preserve">
</t>
        </r>
      </text>
    </comment>
    <comment ref="P740" authorId="2" shapeId="0" xr:uid="{D6424E50-3463-4583-986B-26DE3D8217B0}">
      <text>
        <r>
          <rPr>
            <b/>
            <sz val="9"/>
            <rFont val="Tahoma"/>
            <family val="2"/>
          </rPr>
          <t>2016</t>
        </r>
        <r>
          <rPr>
            <sz val="9"/>
            <rFont val="Tahoma"/>
            <family val="2"/>
          </rPr>
          <t xml:space="preserve">
</t>
        </r>
      </text>
    </comment>
    <comment ref="L741" authorId="2" shapeId="0" xr:uid="{8612722D-FCA7-428D-8A9A-E234F0FAA377}">
      <text>
        <r>
          <rPr>
            <b/>
            <sz val="9"/>
            <rFont val="Tahoma"/>
            <family val="2"/>
          </rPr>
          <t>100</t>
        </r>
        <r>
          <rPr>
            <sz val="9"/>
            <rFont val="Tahoma"/>
            <family val="2"/>
          </rPr>
          <t xml:space="preserve">
</t>
        </r>
      </text>
    </comment>
    <comment ref="N741" authorId="2" shapeId="0" xr:uid="{79C8E054-6F45-42E7-B4D4-DFF4BC4035B5}">
      <text>
        <r>
          <rPr>
            <b/>
            <sz val="9"/>
            <rFont val="Tahoma"/>
            <family val="2"/>
          </rPr>
          <t>B &amp; D</t>
        </r>
      </text>
    </comment>
    <comment ref="O741" authorId="2" shapeId="0" xr:uid="{873D9222-D3F8-43FB-B1A3-496FE22C7796}">
      <text>
        <r>
          <rPr>
            <b/>
            <sz val="9"/>
            <rFont val="Tahoma"/>
            <family val="2"/>
          </rPr>
          <t>1703169</t>
        </r>
      </text>
    </comment>
    <comment ref="P741" authorId="2" shapeId="0" xr:uid="{2ACF7992-8C91-491E-97C5-696B4BBFD954}">
      <text>
        <r>
          <rPr>
            <b/>
            <sz val="9"/>
            <rFont val="Tahoma"/>
            <family val="2"/>
          </rPr>
          <t>2017</t>
        </r>
        <r>
          <rPr>
            <sz val="9"/>
            <rFont val="Tahoma"/>
            <family val="2"/>
          </rPr>
          <t xml:space="preserve">
</t>
        </r>
      </text>
    </comment>
    <comment ref="L743" authorId="2" shapeId="0" xr:uid="{CAE533D6-22D4-4197-9DC0-93BF3E0E31EF}">
      <text>
        <r>
          <rPr>
            <b/>
            <sz val="9"/>
            <rFont val="Tahoma"/>
            <family val="2"/>
          </rPr>
          <t>100</t>
        </r>
        <r>
          <rPr>
            <sz val="9"/>
            <rFont val="Tahoma"/>
            <family val="2"/>
          </rPr>
          <t xml:space="preserve">
</t>
        </r>
      </text>
    </comment>
    <comment ref="N743" authorId="2" shapeId="0" xr:uid="{8241DF81-5FB8-4A88-B1C0-927F741BCFD5}">
      <text>
        <r>
          <rPr>
            <b/>
            <sz val="9"/>
            <rFont val="Tahoma"/>
            <family val="2"/>
          </rPr>
          <t>MITSUBISHI</t>
        </r>
        <r>
          <rPr>
            <sz val="9"/>
            <rFont val="Tahoma"/>
            <family val="2"/>
          </rPr>
          <t xml:space="preserve">
</t>
        </r>
      </text>
    </comment>
    <comment ref="O743" authorId="2" shapeId="0" xr:uid="{907B9CC7-B276-4C36-97AC-50F2EC5C9D8B}">
      <text>
        <r>
          <rPr>
            <b/>
            <sz val="9"/>
            <rFont val="Tahoma"/>
            <family val="2"/>
          </rPr>
          <t>L08303007</t>
        </r>
        <r>
          <rPr>
            <sz val="9"/>
            <rFont val="Tahoma"/>
            <family val="2"/>
          </rPr>
          <t xml:space="preserve">
</t>
        </r>
      </text>
    </comment>
    <comment ref="P743" authorId="2" shapeId="0" xr:uid="{2A1610B7-214C-4822-BA56-2B57439883C6}">
      <text>
        <r>
          <rPr>
            <b/>
            <sz val="9"/>
            <rFont val="Tahoma"/>
            <family val="2"/>
          </rPr>
          <t>1984</t>
        </r>
        <r>
          <rPr>
            <sz val="9"/>
            <rFont val="Tahoma"/>
            <family val="2"/>
          </rPr>
          <t xml:space="preserve">
</t>
        </r>
      </text>
    </comment>
    <comment ref="L750" authorId="0" shapeId="0" xr:uid="{1AE354BE-4B30-476C-9408-79033A1A416D}">
      <text>
        <r>
          <rPr>
            <b/>
            <sz val="9"/>
            <rFont val="Tahoma"/>
            <family val="2"/>
          </rPr>
          <t>160</t>
        </r>
      </text>
    </comment>
    <comment ref="N750" authorId="0" shapeId="0" xr:uid="{CF0D737C-33BA-4042-9C35-2DDE27C88A57}">
      <text>
        <r>
          <rPr>
            <b/>
            <sz val="9"/>
            <rFont val="Tahoma"/>
            <family val="2"/>
          </rPr>
          <t>TRAFINDO</t>
        </r>
      </text>
    </comment>
    <comment ref="O750" authorId="0" shapeId="0" xr:uid="{DE701839-3889-4B82-ADD0-B1645ADDF026}">
      <text>
        <r>
          <rPr>
            <b/>
            <sz val="9"/>
            <rFont val="Tahoma"/>
            <family val="2"/>
          </rPr>
          <t>9531514</t>
        </r>
      </text>
    </comment>
    <comment ref="P750" authorId="0" shapeId="0" xr:uid="{DA84D50F-6D65-4F68-88AD-A3DD35869F84}">
      <text>
        <r>
          <rPr>
            <b/>
            <sz val="9"/>
            <rFont val="Tahoma"/>
            <family val="2"/>
          </rPr>
          <t>1995</t>
        </r>
      </text>
    </comment>
    <comment ref="L751" authorId="0" shapeId="0" xr:uid="{8B0C0D7B-C1F1-4320-95F3-987DB8BEE12B}">
      <text>
        <r>
          <rPr>
            <b/>
            <sz val="9"/>
            <rFont val="Tahoma"/>
            <family val="2"/>
          </rPr>
          <t>160</t>
        </r>
      </text>
    </comment>
    <comment ref="N751" authorId="0" shapeId="0" xr:uid="{685507A9-A53A-41FE-A152-310A3B91BC46}">
      <text>
        <r>
          <rPr>
            <b/>
            <sz val="9"/>
            <rFont val="Tahoma"/>
            <family val="2"/>
          </rPr>
          <t>TRAFINDO</t>
        </r>
      </text>
    </comment>
    <comment ref="O751" authorId="0" shapeId="0" xr:uid="{33B82861-C0B3-4B5B-94DC-5F4094BA0B63}">
      <text>
        <r>
          <rPr>
            <b/>
            <sz val="9"/>
            <rFont val="Tahoma"/>
            <family val="2"/>
          </rPr>
          <t>9531514</t>
        </r>
      </text>
    </comment>
    <comment ref="P751" authorId="0" shapeId="0" xr:uid="{47CA2413-C2E8-4671-B411-AD3DB1A039F8}">
      <text>
        <r>
          <rPr>
            <b/>
            <sz val="9"/>
            <rFont val="Tahoma"/>
            <family val="2"/>
          </rPr>
          <t>1995</t>
        </r>
      </text>
    </comment>
    <comment ref="O757" authorId="2" shapeId="0" xr:uid="{DE879025-FA68-4BC4-ABD9-09E5269478C0}">
      <text>
        <r>
          <rPr>
            <b/>
            <sz val="9"/>
            <rFont val="Tahoma"/>
            <family val="2"/>
          </rPr>
          <t>85116</t>
        </r>
        <r>
          <rPr>
            <sz val="9"/>
            <rFont val="Tahoma"/>
            <family val="2"/>
          </rPr>
          <t xml:space="preserve">
</t>
        </r>
      </text>
    </comment>
    <comment ref="P757" authorId="2" shapeId="0" xr:uid="{B7B81743-D9AC-4273-88B2-67820ED1D9B8}">
      <text>
        <r>
          <rPr>
            <b/>
            <sz val="9"/>
            <rFont val="Tahoma"/>
            <family val="2"/>
          </rPr>
          <t>1985</t>
        </r>
        <r>
          <rPr>
            <sz val="9"/>
            <rFont val="Tahoma"/>
            <family val="2"/>
          </rPr>
          <t xml:space="preserve">
</t>
        </r>
      </text>
    </comment>
    <comment ref="L767" authorId="1" shapeId="0" xr:uid="{A5C91B93-E4FD-4F79-81DC-FE133680A762}">
      <text>
        <r>
          <rPr>
            <b/>
            <sz val="9"/>
            <rFont val="Tahoma"/>
            <family val="2"/>
          </rPr>
          <t>160</t>
        </r>
      </text>
    </comment>
    <comment ref="D768" authorId="4" shapeId="0" xr:uid="{26D8493F-6FCA-40B3-9C1F-41F6735B4528}">
      <text>
        <r>
          <rPr>
            <b/>
            <sz val="9"/>
            <rFont val="Tahoma"/>
            <family val="2"/>
          </rPr>
          <t>SEPTI:</t>
        </r>
        <r>
          <rPr>
            <sz val="9"/>
            <rFont val="Tahoma"/>
            <family val="2"/>
          </rPr>
          <t xml:space="preserve">
ADA BA STOP OLEH PAK MIFTAHADI
DAYA NNTI DITANYAKAN</t>
        </r>
      </text>
    </comment>
    <comment ref="L769" authorId="1" shapeId="0" xr:uid="{38E42EF1-4589-48AA-AB0B-5CA265620019}">
      <text>
        <r>
          <rPr>
            <b/>
            <sz val="9"/>
            <rFont val="Tahoma"/>
            <family val="2"/>
          </rPr>
          <t>250</t>
        </r>
      </text>
    </comment>
    <comment ref="N769" authorId="1" shapeId="0" xr:uid="{E72148B3-25EB-4658-BD8D-5ABB0FF762F2}">
      <text>
        <r>
          <rPr>
            <b/>
            <sz val="9"/>
            <rFont val="Tahoma"/>
            <family val="2"/>
          </rPr>
          <t>STARLITE</t>
        </r>
      </text>
    </comment>
    <comment ref="O769" authorId="1" shapeId="0" xr:uid="{F0AF6FEE-D9BC-4045-BB12-663851B0A688}">
      <text>
        <r>
          <rPr>
            <b/>
            <sz val="9"/>
            <rFont val="Tahoma"/>
            <family val="2"/>
          </rPr>
          <t>1002531022</t>
        </r>
      </text>
    </comment>
    <comment ref="P769" authorId="1" shapeId="0" xr:uid="{B4461AFF-CDFE-489F-96A5-ABDAA5FCE613}">
      <text>
        <r>
          <rPr>
            <b/>
            <sz val="9"/>
            <rFont val="Tahoma"/>
            <family val="2"/>
          </rPr>
          <t>2010</t>
        </r>
      </text>
    </comment>
    <comment ref="L770" authorId="1" shapeId="0" xr:uid="{E5990ADB-719D-4D40-9177-6DE268F1FB5B}">
      <text>
        <r>
          <rPr>
            <b/>
            <sz val="9"/>
            <rFont val="Tahoma"/>
            <family val="2"/>
          </rPr>
          <t>250</t>
        </r>
      </text>
    </comment>
    <comment ref="N770" authorId="1" shapeId="0" xr:uid="{9C02F8D4-FC5F-4498-A76D-9D2DA2CC72AE}">
      <text>
        <r>
          <rPr>
            <b/>
            <sz val="9"/>
            <rFont val="Tahoma"/>
            <family val="2"/>
          </rPr>
          <t>STARLITE</t>
        </r>
      </text>
    </comment>
    <comment ref="O770" authorId="1" shapeId="0" xr:uid="{A8ACFBFD-EB82-43CD-A2BC-48021722B3E3}">
      <text>
        <r>
          <rPr>
            <b/>
            <sz val="9"/>
            <rFont val="Tahoma"/>
            <family val="2"/>
          </rPr>
          <t>1002531022</t>
        </r>
      </text>
    </comment>
    <comment ref="P770" authorId="1" shapeId="0" xr:uid="{100D7AF9-E0B5-42D1-935A-6A4FCA9A7EA1}">
      <text>
        <r>
          <rPr>
            <b/>
            <sz val="9"/>
            <rFont val="Tahoma"/>
            <family val="2"/>
          </rPr>
          <t>2010</t>
        </r>
      </text>
    </comment>
    <comment ref="L775" authorId="1" shapeId="0" xr:uid="{62A17A55-03B9-4D48-BD51-980CBE5D5DB2}">
      <text>
        <r>
          <rPr>
            <b/>
            <sz val="9"/>
            <rFont val="Tahoma"/>
            <family val="2"/>
          </rPr>
          <t>100</t>
        </r>
      </text>
    </comment>
    <comment ref="N775" authorId="1" shapeId="0" xr:uid="{275CD567-C2A8-4B5D-97A5-F0EA795E0503}">
      <text>
        <r>
          <rPr>
            <b/>
            <sz val="9"/>
            <rFont val="Tahoma"/>
            <family val="2"/>
          </rPr>
          <t>SINTRA</t>
        </r>
      </text>
    </comment>
    <comment ref="O775" authorId="1" shapeId="0" xr:uid="{C0E6329A-D9F2-4F8A-BFC8-F10F92475CAE}">
      <text>
        <r>
          <rPr>
            <b/>
            <sz val="9"/>
            <rFont val="Tahoma"/>
            <family val="2"/>
          </rPr>
          <t>15069821</t>
        </r>
      </text>
    </comment>
    <comment ref="P775" authorId="1" shapeId="0" xr:uid="{F1A04C25-9ABF-4CF9-8CE4-4052F3900EF1}">
      <text>
        <r>
          <rPr>
            <b/>
            <sz val="9"/>
            <rFont val="Tahoma"/>
            <family val="2"/>
          </rPr>
          <t>2007</t>
        </r>
      </text>
    </comment>
    <comment ref="J785" authorId="0" shapeId="0" xr:uid="{BE715B10-BC1B-44D5-AD93-39A40427B5FD}">
      <text>
        <r>
          <rPr>
            <b/>
            <sz val="9"/>
            <rFont val="Tahoma"/>
            <family val="2"/>
          </rPr>
          <t>1285</t>
        </r>
      </text>
    </comment>
    <comment ref="L785" authorId="2" shapeId="0" xr:uid="{74DBA572-C244-494A-976B-5DCF56073890}">
      <text>
        <r>
          <rPr>
            <b/>
            <sz val="9"/>
            <rFont val="Tahoma"/>
            <family val="2"/>
          </rPr>
          <t>250</t>
        </r>
        <r>
          <rPr>
            <sz val="9"/>
            <rFont val="Tahoma"/>
            <family val="2"/>
          </rPr>
          <t xml:space="preserve">
</t>
        </r>
      </text>
    </comment>
    <comment ref="N785" authorId="2" shapeId="0" xr:uid="{D8D57C34-0EE1-491B-A3A0-1E4DD9C7313F}">
      <text>
        <r>
          <rPr>
            <b/>
            <sz val="9"/>
            <rFont val="Tahoma"/>
            <family val="2"/>
          </rPr>
          <t>STARLITE</t>
        </r>
        <r>
          <rPr>
            <sz val="9"/>
            <rFont val="Tahoma"/>
            <family val="2"/>
          </rPr>
          <t xml:space="preserve">
</t>
        </r>
      </text>
    </comment>
    <comment ref="O785" authorId="2" shapeId="0" xr:uid="{EBD3015A-88CD-46D4-84C4-E1001A2CF6CE}">
      <text>
        <r>
          <rPr>
            <b/>
            <sz val="9"/>
            <rFont val="Tahoma"/>
            <family val="2"/>
          </rPr>
          <t>1700181005-512</t>
        </r>
        <r>
          <rPr>
            <sz val="9"/>
            <rFont val="Tahoma"/>
            <family val="2"/>
          </rPr>
          <t xml:space="preserve">
</t>
        </r>
      </text>
    </comment>
    <comment ref="P785" authorId="2" shapeId="0" xr:uid="{CEB94FF5-9217-440D-8298-DCC7182EFA28}">
      <text>
        <r>
          <rPr>
            <b/>
            <sz val="9"/>
            <rFont val="Tahoma"/>
            <family val="2"/>
          </rPr>
          <t>2017</t>
        </r>
        <r>
          <rPr>
            <sz val="9"/>
            <rFont val="Tahoma"/>
            <family val="2"/>
          </rPr>
          <t xml:space="preserve">
</t>
        </r>
      </text>
    </comment>
    <comment ref="N792" authorId="0" shapeId="0" xr:uid="{80F2D512-62AA-4686-9F95-B10919B7B1C6}">
      <text>
        <r>
          <rPr>
            <b/>
            <sz val="9"/>
            <rFont val="Tahoma"/>
            <family val="2"/>
          </rPr>
          <t>B&amp;D</t>
        </r>
      </text>
    </comment>
    <comment ref="O792" authorId="0" shapeId="0" xr:uid="{4A05B612-B3EC-4D75-8B3A-61414A077F9F}">
      <text>
        <r>
          <rPr>
            <b/>
            <sz val="9"/>
            <rFont val="Tahoma"/>
            <family val="2"/>
          </rPr>
          <t>1205065</t>
        </r>
      </text>
    </comment>
    <comment ref="P792" authorId="0" shapeId="0" xr:uid="{1C3647BB-65D1-425A-87A1-C72B3F40DB10}">
      <text>
        <r>
          <rPr>
            <b/>
            <sz val="9"/>
            <rFont val="Tahoma"/>
            <family val="2"/>
          </rPr>
          <t>2012</t>
        </r>
      </text>
    </comment>
    <comment ref="L796" authorId="2" shapeId="0" xr:uid="{C0C2CED0-29DA-4405-A332-943F9F6C9FAB}">
      <text>
        <r>
          <rPr>
            <b/>
            <sz val="9"/>
            <rFont val="Tahoma"/>
            <family val="2"/>
          </rPr>
          <t>50</t>
        </r>
      </text>
    </comment>
    <comment ref="N796" authorId="2" shapeId="0" xr:uid="{A3135BAC-42EB-4B7E-AE5B-2F13668356DE}">
      <text>
        <r>
          <rPr>
            <b/>
            <sz val="9"/>
            <rFont val="Tahoma"/>
            <family val="2"/>
          </rPr>
          <t>STARLITE</t>
        </r>
      </text>
    </comment>
    <comment ref="O796" authorId="2" shapeId="0" xr:uid="{B98C086C-A08A-4A2D-8280-12D61D7E6B1D}">
      <text>
        <r>
          <rPr>
            <b/>
            <sz val="9"/>
            <rFont val="Tahoma"/>
            <family val="2"/>
          </rPr>
          <t>070041054-162</t>
        </r>
        <r>
          <rPr>
            <sz val="9"/>
            <rFont val="Tahoma"/>
            <family val="2"/>
          </rPr>
          <t xml:space="preserve">
</t>
        </r>
      </text>
    </comment>
    <comment ref="P796" authorId="2" shapeId="0" xr:uid="{76648EC5-692A-4E1E-83B5-DAC817379ED9}">
      <text>
        <r>
          <rPr>
            <b/>
            <sz val="9"/>
            <rFont val="Tahoma"/>
            <family val="2"/>
          </rPr>
          <t>2007</t>
        </r>
        <r>
          <rPr>
            <sz val="9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<sst xmlns="http://schemas.openxmlformats.org/spreadsheetml/2006/main" count="9098" uniqueCount="2780">
  <si>
    <t>DATA GARDU DAN TRAFO</t>
  </si>
  <si>
    <t>UP3 CIMAHI ULP PADALARANG</t>
  </si>
  <si>
    <t>NO</t>
  </si>
  <si>
    <t>GI / TRAFO</t>
  </si>
  <si>
    <t>PENYULANG</t>
  </si>
  <si>
    <t>DATA GARDU</t>
  </si>
  <si>
    <t>DATA TRAFO</t>
  </si>
  <si>
    <t>DATA CUBICEL</t>
  </si>
  <si>
    <t>FASA</t>
  </si>
  <si>
    <t>KETERANGAN</t>
  </si>
  <si>
    <t>TANGGAL TERAKHIR D PELIHARA</t>
  </si>
  <si>
    <t>GARDU</t>
  </si>
  <si>
    <t>PEMAKAIAN</t>
  </si>
  <si>
    <t>URAIAN NAMA</t>
  </si>
  <si>
    <t>JENIS</t>
  </si>
  <si>
    <t>TYPE</t>
  </si>
  <si>
    <t>NO. GARDU</t>
  </si>
  <si>
    <t>WILAYAH
KERJA</t>
  </si>
  <si>
    <t>DAYA
(kVA)PLN</t>
  </si>
  <si>
    <t>DAYA
(kVA) PLGN</t>
  </si>
  <si>
    <t>MERK</t>
  </si>
  <si>
    <t>NO. SERI</t>
  </si>
  <si>
    <t>TAHUN</t>
  </si>
  <si>
    <t>JUMLAH
PHBTR
RAK TR</t>
  </si>
  <si>
    <t>JUMLAH
JURUSAN</t>
  </si>
  <si>
    <t>IM</t>
  </si>
  <si>
    <t>PM</t>
  </si>
  <si>
    <t>DM</t>
  </si>
  <si>
    <t>CM</t>
  </si>
  <si>
    <t>QM</t>
  </si>
  <si>
    <t>QMC</t>
  </si>
  <si>
    <t>GAM</t>
  </si>
  <si>
    <t>OCM</t>
  </si>
  <si>
    <t>JML SEL</t>
  </si>
  <si>
    <t>PDL / III</t>
  </si>
  <si>
    <t>PCK</t>
  </si>
  <si>
    <t>PDL</t>
  </si>
  <si>
    <t>Umum</t>
  </si>
  <si>
    <t>Padalarang</t>
  </si>
  <si>
    <t>TEMBOK</t>
  </si>
  <si>
    <t>7R2</t>
  </si>
  <si>
    <t>121</t>
  </si>
  <si>
    <t>ULP PDL</t>
  </si>
  <si>
    <t>UNINDO</t>
  </si>
  <si>
    <t>1382</t>
  </si>
  <si>
    <t>MG</t>
  </si>
  <si>
    <t>VERCORS</t>
  </si>
  <si>
    <t>HRO</t>
  </si>
  <si>
    <t>Campuran</t>
  </si>
  <si>
    <t>PT.Sluiting Hero Top Zip</t>
  </si>
  <si>
    <t>ST17</t>
  </si>
  <si>
    <t>076</t>
  </si>
  <si>
    <t>1981</t>
  </si>
  <si>
    <t>MD</t>
  </si>
  <si>
    <t>PT. Medan jaya</t>
  </si>
  <si>
    <t>206</t>
  </si>
  <si>
    <t>GL</t>
  </si>
  <si>
    <t>Gedung Lima</t>
  </si>
  <si>
    <t>067</t>
  </si>
  <si>
    <t>TRAFINDO</t>
  </si>
  <si>
    <t>7132008</t>
  </si>
  <si>
    <t>-</t>
  </si>
  <si>
    <t>PAS</t>
  </si>
  <si>
    <t>Khusus</t>
  </si>
  <si>
    <t>PT Prima Adimulya Sejati</t>
  </si>
  <si>
    <t>775</t>
  </si>
  <si>
    <t>5132040</t>
  </si>
  <si>
    <t>ITP</t>
  </si>
  <si>
    <t>PT Indocement Tunggal Perkasa</t>
  </si>
  <si>
    <t>160</t>
  </si>
  <si>
    <t>FRANCE</t>
  </si>
  <si>
    <t>CWS</t>
  </si>
  <si>
    <t>PT Citra Warna Sempurna</t>
  </si>
  <si>
    <t>989</t>
  </si>
  <si>
    <t>TOSHIBA</t>
  </si>
  <si>
    <t>IDF</t>
  </si>
  <si>
    <t>PT Indafi</t>
  </si>
  <si>
    <t>347</t>
  </si>
  <si>
    <t>EIB</t>
  </si>
  <si>
    <t>KMP</t>
  </si>
  <si>
    <t>PT Karya Asli Mandiri Putra</t>
  </si>
  <si>
    <t>988</t>
  </si>
  <si>
    <t>SCHNEIDER</t>
  </si>
  <si>
    <t>13/96598</t>
  </si>
  <si>
    <t>4</t>
  </si>
  <si>
    <t>FLUOKIT</t>
  </si>
  <si>
    <t>IDG</t>
  </si>
  <si>
    <t>PT Indo Dingpung</t>
  </si>
  <si>
    <t>SCHENEIDER</t>
  </si>
  <si>
    <t>SM6</t>
  </si>
  <si>
    <t>SIB</t>
  </si>
  <si>
    <t>PT Sinar Bintang</t>
  </si>
  <si>
    <t>386</t>
  </si>
  <si>
    <t>STARLITE</t>
  </si>
  <si>
    <t>1800011044-018</t>
  </si>
  <si>
    <t>2018</t>
  </si>
  <si>
    <t>1</t>
  </si>
  <si>
    <t>Aktif 6/3/2019 (Putaran kanan)</t>
  </si>
  <si>
    <t>MEN</t>
  </si>
  <si>
    <t>PT Medion</t>
  </si>
  <si>
    <t>390</t>
  </si>
  <si>
    <t>RSI</t>
  </si>
  <si>
    <t>PT Sinar Mega  MP</t>
  </si>
  <si>
    <t>135</t>
  </si>
  <si>
    <t>CTX</t>
  </si>
  <si>
    <t>PT Central Texindo</t>
  </si>
  <si>
    <t>913</t>
  </si>
  <si>
    <t>HLA</t>
  </si>
  <si>
    <t>PT Hery Liyadi</t>
  </si>
  <si>
    <t>275</t>
  </si>
  <si>
    <t>SBX</t>
  </si>
  <si>
    <t>PT Sibatex Abadi</t>
  </si>
  <si>
    <t>393</t>
  </si>
  <si>
    <t>GAE</t>
  </si>
  <si>
    <t>FSI</t>
  </si>
  <si>
    <t>PT Ficosintex Indah</t>
  </si>
  <si>
    <t>062</t>
  </si>
  <si>
    <t>1800011016-059</t>
  </si>
  <si>
    <t>18/2/2019</t>
  </si>
  <si>
    <t>TRIPUTRA</t>
  </si>
  <si>
    <t>25HH060098</t>
  </si>
  <si>
    <t>FLA</t>
  </si>
  <si>
    <t>PT Falconindo Frima</t>
  </si>
  <si>
    <t>063</t>
  </si>
  <si>
    <t>PDL / IV</t>
  </si>
  <si>
    <t>PCN</t>
  </si>
  <si>
    <t>HKW</t>
  </si>
  <si>
    <t>Hendra Kartawijaya</t>
  </si>
  <si>
    <t>975</t>
  </si>
  <si>
    <t>PLOS</t>
  </si>
  <si>
    <t>Prima Lakto Sehat</t>
  </si>
  <si>
    <t>1252</t>
  </si>
  <si>
    <t>1000</t>
  </si>
  <si>
    <t>EGA</t>
  </si>
  <si>
    <t>SPM</t>
  </si>
  <si>
    <t>Cimerang Sakura S PT</t>
  </si>
  <si>
    <t>ST16</t>
  </si>
  <si>
    <t>984</t>
  </si>
  <si>
    <t>THP</t>
  </si>
  <si>
    <t>PT Tunas Hijau Pertiwi</t>
  </si>
  <si>
    <t>927</t>
  </si>
  <si>
    <t>SNB</t>
  </si>
  <si>
    <t>PT Sinar  Bandung</t>
  </si>
  <si>
    <t>926</t>
  </si>
  <si>
    <t>MIA</t>
  </si>
  <si>
    <t>PT Mikael Indonesia Abadi</t>
  </si>
  <si>
    <t>AMI</t>
  </si>
  <si>
    <t>PT Almas Metal Indonesia</t>
  </si>
  <si>
    <t>001</t>
  </si>
  <si>
    <t>SNS</t>
  </si>
  <si>
    <t>PT.San Star</t>
  </si>
  <si>
    <t>301</t>
  </si>
  <si>
    <t>MSJ</t>
  </si>
  <si>
    <t>PT Matahari Sentosa Jaya</t>
  </si>
  <si>
    <t>SCHNEIDER+EGA</t>
  </si>
  <si>
    <t>PLX</t>
  </si>
  <si>
    <t>PT Politex</t>
  </si>
  <si>
    <t>300</t>
  </si>
  <si>
    <t>INDUSTIRA</t>
  </si>
  <si>
    <t>( SET )</t>
  </si>
  <si>
    <t>PBA</t>
  </si>
  <si>
    <t>PT Panca Buana Abadi</t>
  </si>
  <si>
    <t>202</t>
  </si>
  <si>
    <t>KBO</t>
  </si>
  <si>
    <t>Kristianto Budiono</t>
  </si>
  <si>
    <t>993</t>
  </si>
  <si>
    <t>KPP</t>
  </si>
  <si>
    <t>PT.Keramik pangrango</t>
  </si>
  <si>
    <t>567</t>
  </si>
  <si>
    <t>SCI</t>
  </si>
  <si>
    <t>PT.San Central Indah</t>
  </si>
  <si>
    <t>487</t>
  </si>
  <si>
    <t>PKR</t>
  </si>
  <si>
    <t>PT.Indorama Syntetic</t>
  </si>
  <si>
    <t>939</t>
  </si>
  <si>
    <t>KP BATUJAJAR</t>
  </si>
  <si>
    <t>ICA</t>
  </si>
  <si>
    <t>PT. Intilon Citra Lestari</t>
  </si>
  <si>
    <t>CN</t>
  </si>
  <si>
    <t>PT.Mulya Cita Nitindo</t>
  </si>
  <si>
    <t>940</t>
  </si>
  <si>
    <t>SHS</t>
  </si>
  <si>
    <t>PT.San Hegar Sakti</t>
  </si>
  <si>
    <t>980</t>
  </si>
  <si>
    <t>BSY</t>
  </si>
  <si>
    <t>PT.Prodomo Bremshey</t>
  </si>
  <si>
    <t>941</t>
  </si>
  <si>
    <t>PDL / II</t>
  </si>
  <si>
    <t>PCO</t>
  </si>
  <si>
    <t>KOBA</t>
  </si>
  <si>
    <t>Kota Bali</t>
  </si>
  <si>
    <t>PCJ</t>
  </si>
  <si>
    <t>TMX</t>
  </si>
  <si>
    <t>PT.Trimatex</t>
  </si>
  <si>
    <t>954</t>
  </si>
  <si>
    <t>OKW</t>
  </si>
  <si>
    <t>Oong Karta Wijaya</t>
  </si>
  <si>
    <t>600</t>
  </si>
  <si>
    <t>77775</t>
  </si>
  <si>
    <t>OKWA</t>
  </si>
  <si>
    <t>Oong Karta Wijaya A</t>
  </si>
  <si>
    <t>GARPOR</t>
  </si>
  <si>
    <t>1700181005-512</t>
  </si>
  <si>
    <t>ULUSOY</t>
  </si>
  <si>
    <t>SLS</t>
  </si>
  <si>
    <t>Solas</t>
  </si>
  <si>
    <t>595</t>
  </si>
  <si>
    <t>RTD</t>
  </si>
  <si>
    <t>Rodi Tedi</t>
  </si>
  <si>
    <t>955</t>
  </si>
  <si>
    <t>LKL</t>
  </si>
  <si>
    <t>Lukman Lingga</t>
  </si>
  <si>
    <t>596</t>
  </si>
  <si>
    <t>YAO</t>
  </si>
  <si>
    <t>YOSEP ABED NEGO</t>
  </si>
  <si>
    <t>NHX</t>
  </si>
  <si>
    <t>PT.Nada Halonatex</t>
  </si>
  <si>
    <t>960</t>
  </si>
  <si>
    <t>ABG</t>
  </si>
  <si>
    <t>Aneka Busana Garmen</t>
  </si>
  <si>
    <t>163</t>
  </si>
  <si>
    <t>YTJ</t>
  </si>
  <si>
    <t>Yolita jaya</t>
  </si>
  <si>
    <t>282</t>
  </si>
  <si>
    <t>JPO</t>
  </si>
  <si>
    <t>Jayaplasindo</t>
  </si>
  <si>
    <t>266</t>
  </si>
  <si>
    <t>SDP</t>
  </si>
  <si>
    <t>San Darma Plastik</t>
  </si>
  <si>
    <t>164</t>
  </si>
  <si>
    <t>ATT</t>
  </si>
  <si>
    <t>Ateja Tri Tunggal</t>
  </si>
  <si>
    <t>ASV</t>
  </si>
  <si>
    <t>ANDRIANTO SILVIANTO</t>
  </si>
  <si>
    <t>PCP</t>
  </si>
  <si>
    <t>TKF</t>
  </si>
  <si>
    <t xml:space="preserve">PT Trikarsa Faberindo </t>
  </si>
  <si>
    <t>154</t>
  </si>
  <si>
    <t>FRANCE REV</t>
  </si>
  <si>
    <t>1089617</t>
  </si>
  <si>
    <t>ESO</t>
  </si>
  <si>
    <t>ABB DAN SCHENEIDER</t>
  </si>
  <si>
    <t>TAB</t>
  </si>
  <si>
    <t xml:space="preserve">PT Tirta Amarta Botling </t>
  </si>
  <si>
    <t>SBM</t>
  </si>
  <si>
    <t>PT Sumber Makmur Anugerah</t>
  </si>
  <si>
    <t>PORTAL</t>
  </si>
  <si>
    <t>981</t>
  </si>
  <si>
    <t>SBMA</t>
  </si>
  <si>
    <t>IMD</t>
  </si>
  <si>
    <t>Inter Muda</t>
  </si>
  <si>
    <t>798</t>
  </si>
  <si>
    <t>TABO</t>
  </si>
  <si>
    <t>1296</t>
  </si>
  <si>
    <t>163303860</t>
  </si>
  <si>
    <t>2016</t>
  </si>
  <si>
    <t>SIEMENS</t>
  </si>
  <si>
    <t>MUTASI FEB 2018</t>
  </si>
  <si>
    <t>WSY</t>
  </si>
  <si>
    <t>Willy Sunaryo</t>
  </si>
  <si>
    <t>799</t>
  </si>
  <si>
    <t>FOWEL</t>
  </si>
  <si>
    <t>1815371</t>
  </si>
  <si>
    <t>SIPENU</t>
  </si>
  <si>
    <t>11129</t>
  </si>
  <si>
    <t>JMS</t>
  </si>
  <si>
    <t>Jimmy Saputra</t>
  </si>
  <si>
    <t>406</t>
  </si>
  <si>
    <t>MG + UNINDO</t>
  </si>
  <si>
    <t>VERCORS+FLUOKIT</t>
  </si>
  <si>
    <t>STE</t>
  </si>
  <si>
    <t>Swan Trichel Textile</t>
  </si>
  <si>
    <t>LKM</t>
  </si>
  <si>
    <t>PT Laju Karya Mandiri</t>
  </si>
  <si>
    <t>ORMAZABAL</t>
  </si>
  <si>
    <t>AKT</t>
  </si>
  <si>
    <t>PT Arta Kartika Putra</t>
  </si>
  <si>
    <t>964</t>
  </si>
  <si>
    <t>PCM</t>
  </si>
  <si>
    <t>CSA</t>
  </si>
  <si>
    <t>PT Cheong Song</t>
  </si>
  <si>
    <t>956</t>
  </si>
  <si>
    <t>THT</t>
  </si>
  <si>
    <t>PT Tahtong</t>
  </si>
  <si>
    <t>005</t>
  </si>
  <si>
    <t>BMT</t>
  </si>
  <si>
    <t>PT  Bimeta Karnusa</t>
  </si>
  <si>
    <t>991</t>
  </si>
  <si>
    <t>DKI</t>
  </si>
  <si>
    <t>PT. Daya Knito Industry.</t>
  </si>
  <si>
    <t>958</t>
  </si>
  <si>
    <t>IWT</t>
  </si>
  <si>
    <t>Indonesia Woujin Textile</t>
  </si>
  <si>
    <t>965</t>
  </si>
  <si>
    <t>ALPO</t>
  </si>
  <si>
    <t>Alpa Polimer</t>
  </si>
  <si>
    <t>1169</t>
  </si>
  <si>
    <t>PLJ</t>
  </si>
  <si>
    <t>Pelangi Jaya</t>
  </si>
  <si>
    <t>1191</t>
  </si>
  <si>
    <t>PCB</t>
  </si>
  <si>
    <t>LTRT</t>
  </si>
  <si>
    <t>Lotte Mart Shopping</t>
  </si>
  <si>
    <t>PNP</t>
  </si>
  <si>
    <t>PN Pertamina Padalarang</t>
  </si>
  <si>
    <t>133</t>
  </si>
  <si>
    <t>MDO</t>
  </si>
  <si>
    <t>PT. Medion</t>
  </si>
  <si>
    <t>929</t>
  </si>
  <si>
    <t>12401807</t>
  </si>
  <si>
    <t>JPY</t>
  </si>
  <si>
    <t>Jip Piter Yan</t>
  </si>
  <si>
    <t>061</t>
  </si>
  <si>
    <t>BPL</t>
  </si>
  <si>
    <t>PT Brasindo Panca Logam</t>
  </si>
  <si>
    <t>920</t>
  </si>
  <si>
    <t>GANTI KUBIKEL 17/10/2017</t>
  </si>
  <si>
    <t>PCS</t>
  </si>
  <si>
    <t>CIP</t>
  </si>
  <si>
    <t>PT Carilon Indo Prima</t>
  </si>
  <si>
    <t>912</t>
  </si>
  <si>
    <t>SPI</t>
  </si>
  <si>
    <t>PT Sanwa Parts Indonesia</t>
  </si>
  <si>
    <t>056</t>
  </si>
  <si>
    <t>WELTRAF</t>
  </si>
  <si>
    <t>22AHH00148</t>
  </si>
  <si>
    <t>AMS</t>
  </si>
  <si>
    <t>PT. Anugerah Multi Sari</t>
  </si>
  <si>
    <t>995</t>
  </si>
  <si>
    <t>IDT</t>
  </si>
  <si>
    <t>PT. Indahtek Utama</t>
  </si>
  <si>
    <t>840</t>
  </si>
  <si>
    <t>SLCJ</t>
  </si>
  <si>
    <t>PT. Sincung</t>
  </si>
  <si>
    <t>1257</t>
  </si>
  <si>
    <t>250</t>
  </si>
  <si>
    <t>'16331129</t>
  </si>
  <si>
    <t>3</t>
  </si>
  <si>
    <t>NICE</t>
  </si>
  <si>
    <t>PT NICE</t>
  </si>
  <si>
    <t>MAXIMA</t>
  </si>
  <si>
    <t>240030191-P</t>
  </si>
  <si>
    <t>PKJ</t>
  </si>
  <si>
    <t>PT. Marga Jaya</t>
  </si>
  <si>
    <t>010</t>
  </si>
  <si>
    <t>400</t>
  </si>
  <si>
    <t>163303060</t>
  </si>
  <si>
    <t>EVA</t>
  </si>
  <si>
    <t>CV. Evanas Jaya</t>
  </si>
  <si>
    <t>017</t>
  </si>
  <si>
    <t>20911</t>
  </si>
  <si>
    <t>SM6+FLUOKIT</t>
  </si>
  <si>
    <t>DPL</t>
  </si>
  <si>
    <t>PT. Daya Pratama Lestari</t>
  </si>
  <si>
    <t>978</t>
  </si>
  <si>
    <t>AJA</t>
  </si>
  <si>
    <t>PT. Ateja</t>
  </si>
  <si>
    <t>970</t>
  </si>
  <si>
    <t>PCU</t>
  </si>
  <si>
    <t>KPSN</t>
  </si>
  <si>
    <t>PT.Karya Pangastuti Sejati</t>
  </si>
  <si>
    <t>795</t>
  </si>
  <si>
    <t>PUL</t>
  </si>
  <si>
    <t>PT.Praba Unggul</t>
  </si>
  <si>
    <t>959</t>
  </si>
  <si>
    <t>2404001008-032</t>
  </si>
  <si>
    <t>DOC</t>
  </si>
  <si>
    <t>PT.Dumaco Chemical</t>
  </si>
  <si>
    <t>331</t>
  </si>
  <si>
    <t>HML</t>
  </si>
  <si>
    <t>PT. Hegar Mulya Lestari</t>
  </si>
  <si>
    <t>979</t>
  </si>
  <si>
    <t>GAP</t>
  </si>
  <si>
    <t>Giri Asih Permai</t>
  </si>
  <si>
    <t>550</t>
  </si>
  <si>
    <t>KSEP</t>
  </si>
  <si>
    <t>1188</t>
  </si>
  <si>
    <t>TEO</t>
  </si>
  <si>
    <t>ATG</t>
  </si>
  <si>
    <t>PT Ateja Gresindo</t>
  </si>
  <si>
    <t>957</t>
  </si>
  <si>
    <t>ABB</t>
  </si>
  <si>
    <t>ICE</t>
  </si>
  <si>
    <t>PT Intilon Citra Lestari</t>
  </si>
  <si>
    <t>SPTA</t>
  </si>
  <si>
    <t>PT. Sinar Para Taruna</t>
  </si>
  <si>
    <t>GIP</t>
  </si>
  <si>
    <t>Gardu Induk Padalarang</t>
  </si>
  <si>
    <t>066</t>
  </si>
  <si>
    <t>30755</t>
  </si>
  <si>
    <t>PNK</t>
  </si>
  <si>
    <t>PN Kertas</t>
  </si>
  <si>
    <t>213</t>
  </si>
  <si>
    <t>PKH</t>
  </si>
  <si>
    <t>PTBP</t>
  </si>
  <si>
    <t>Pasar Tagog Baru Padalarang</t>
  </si>
  <si>
    <t>LUCKY LIGHT</t>
  </si>
  <si>
    <t>21.51.D040.272</t>
  </si>
  <si>
    <t>PBI</t>
  </si>
  <si>
    <t>CARC</t>
  </si>
  <si>
    <t>CAR Center</t>
  </si>
  <si>
    <t>BMC</t>
  </si>
  <si>
    <t>Building Matrial Centre</t>
  </si>
  <si>
    <t>8R8</t>
  </si>
  <si>
    <t>133308952</t>
  </si>
  <si>
    <t>2013</t>
  </si>
  <si>
    <t>BLR</t>
  </si>
  <si>
    <t>Balepare</t>
  </si>
  <si>
    <t>974</t>
  </si>
  <si>
    <t>TWK</t>
  </si>
  <si>
    <t>Tatar Wangsa Kerta</t>
  </si>
  <si>
    <t>997</t>
  </si>
  <si>
    <t>CTC</t>
  </si>
  <si>
    <t>Country Club</t>
  </si>
  <si>
    <t>990</t>
  </si>
  <si>
    <t>AZH</t>
  </si>
  <si>
    <t>Al Azhar</t>
  </si>
  <si>
    <t>239</t>
  </si>
  <si>
    <t>PTL</t>
  </si>
  <si>
    <t>Pitaloka</t>
  </si>
  <si>
    <t>977</t>
  </si>
  <si>
    <t>RSK</t>
  </si>
  <si>
    <t>Rumah Sakit Kawaluyan</t>
  </si>
  <si>
    <t>901</t>
  </si>
  <si>
    <t>SINTRA</t>
  </si>
  <si>
    <t>17066188</t>
  </si>
  <si>
    <t>BPKP</t>
  </si>
  <si>
    <t>BPK PENABUR PADALARANG</t>
  </si>
  <si>
    <t>25AFH00927</t>
  </si>
  <si>
    <t>PRWA</t>
  </si>
  <si>
    <t>Pariwarna</t>
  </si>
  <si>
    <t>1220</t>
  </si>
  <si>
    <t>163301962</t>
  </si>
  <si>
    <t>RNS</t>
  </si>
  <si>
    <t>Ratna Sasih</t>
  </si>
  <si>
    <t>973</t>
  </si>
  <si>
    <t>PBH</t>
  </si>
  <si>
    <t>JNG</t>
  </si>
  <si>
    <t>Jingganagara</t>
  </si>
  <si>
    <t>900</t>
  </si>
  <si>
    <t>BIS</t>
  </si>
  <si>
    <t>Bandung International School</t>
  </si>
  <si>
    <t>070</t>
  </si>
  <si>
    <t>193311488</t>
  </si>
  <si>
    <t>2019</t>
  </si>
  <si>
    <t>TCGS</t>
  </si>
  <si>
    <t>Town Center Green Spine</t>
  </si>
  <si>
    <t>233300329</t>
  </si>
  <si>
    <t>OP FEB 23</t>
  </si>
  <si>
    <t>BKS</t>
  </si>
  <si>
    <t>Banyak Sumba</t>
  </si>
  <si>
    <t>950</t>
  </si>
  <si>
    <t>630</t>
  </si>
  <si>
    <t>JGN</t>
  </si>
  <si>
    <t>899</t>
  </si>
  <si>
    <t>LKCP</t>
  </si>
  <si>
    <t>Tata Loka Citra</t>
  </si>
  <si>
    <t>1311</t>
  </si>
  <si>
    <t>183305851</t>
  </si>
  <si>
    <t>SCHRNEIDER</t>
  </si>
  <si>
    <t>RSIA</t>
  </si>
  <si>
    <t>RSIA Parahyangan</t>
  </si>
  <si>
    <t>2204001005-003</t>
  </si>
  <si>
    <t>OP 4/11/22</t>
  </si>
  <si>
    <t>TTBW</t>
  </si>
  <si>
    <t>Tatar Tarubhawana</t>
  </si>
  <si>
    <t>8R9</t>
  </si>
  <si>
    <t>TTBN</t>
  </si>
  <si>
    <t>TSW</t>
  </si>
  <si>
    <t>TATAR SURAWISESA</t>
  </si>
  <si>
    <t>OP 15/5/23</t>
  </si>
  <si>
    <t>TSWA</t>
  </si>
  <si>
    <t>TPW</t>
  </si>
  <si>
    <t>Tatar Paramawati</t>
  </si>
  <si>
    <t>TSRI</t>
  </si>
  <si>
    <t>Tatar Spatirasmi</t>
  </si>
  <si>
    <t>223305242</t>
  </si>
  <si>
    <t>OP 1/3/23</t>
  </si>
  <si>
    <t>SPTM</t>
  </si>
  <si>
    <t>SMKR</t>
  </si>
  <si>
    <t>Tatar Simakirana</t>
  </si>
  <si>
    <t>193302152/49</t>
  </si>
  <si>
    <t>2</t>
  </si>
  <si>
    <t>8</t>
  </si>
  <si>
    <t>CNR</t>
  </si>
  <si>
    <t>Candraresmi</t>
  </si>
  <si>
    <t>113313791</t>
  </si>
  <si>
    <t>NGN</t>
  </si>
  <si>
    <t>Naganingrum</t>
  </si>
  <si>
    <t>11234129</t>
  </si>
  <si>
    <t>RKS</t>
  </si>
  <si>
    <t>Rambut Kasih</t>
  </si>
  <si>
    <t>903</t>
  </si>
  <si>
    <t>CHNEIDER</t>
  </si>
  <si>
    <t>96652</t>
  </si>
  <si>
    <t>LTP</t>
  </si>
  <si>
    <t>Larang Tapa</t>
  </si>
  <si>
    <t>412</t>
  </si>
  <si>
    <t>LRP</t>
  </si>
  <si>
    <t>413</t>
  </si>
  <si>
    <t>MYP</t>
  </si>
  <si>
    <t>Mayapada</t>
  </si>
  <si>
    <t>478</t>
  </si>
  <si>
    <t>MGP</t>
  </si>
  <si>
    <t>Mayang Padmi</t>
  </si>
  <si>
    <t>214</t>
  </si>
  <si>
    <t>MKGL</t>
  </si>
  <si>
    <t>MARKETING GALERI</t>
  </si>
  <si>
    <t>PBSI</t>
  </si>
  <si>
    <t>Purbasari</t>
  </si>
  <si>
    <t>TSWI</t>
  </si>
  <si>
    <t>Titiswari</t>
  </si>
  <si>
    <t>1217</t>
  </si>
  <si>
    <t>HBBC</t>
  </si>
  <si>
    <t>Kumala Sinta</t>
  </si>
  <si>
    <t>1197</t>
  </si>
  <si>
    <t>153312069</t>
  </si>
  <si>
    <t>03/06/2016</t>
  </si>
  <si>
    <t>KMSA</t>
  </si>
  <si>
    <t>1219</t>
  </si>
  <si>
    <t>KMDK</t>
  </si>
  <si>
    <t>Kamandaka</t>
  </si>
  <si>
    <t>1171</t>
  </si>
  <si>
    <t>SBLR</t>
  </si>
  <si>
    <t>Subang Larang</t>
  </si>
  <si>
    <t>1175</t>
  </si>
  <si>
    <t>SCBP</t>
  </si>
  <si>
    <t>Sport Club Bumi Pancasona</t>
  </si>
  <si>
    <t>1190</t>
  </si>
  <si>
    <t>TKJR</t>
  </si>
  <si>
    <t>TATAR KERTAWIJAYA</t>
  </si>
  <si>
    <t>TWKA</t>
  </si>
  <si>
    <t>Wangsa Kerta A</t>
  </si>
  <si>
    <t>1256</t>
  </si>
  <si>
    <t>PGM</t>
  </si>
  <si>
    <t>HMH</t>
  </si>
  <si>
    <t>Hegarmanah</t>
  </si>
  <si>
    <t>075</t>
  </si>
  <si>
    <t>MUTASI 12 APRIL 2022</t>
  </si>
  <si>
    <t>SPG</t>
  </si>
  <si>
    <t>Simpang</t>
  </si>
  <si>
    <t>205</t>
  </si>
  <si>
    <t>DELE ALSTHOM</t>
  </si>
  <si>
    <t>FLUOMATIC</t>
  </si>
  <si>
    <t>PUWELS</t>
  </si>
  <si>
    <t>SG</t>
  </si>
  <si>
    <t>141</t>
  </si>
  <si>
    <t>COB</t>
  </si>
  <si>
    <t>PT.Combiphar</t>
  </si>
  <si>
    <t>237</t>
  </si>
  <si>
    <t>1900181030-412</t>
  </si>
  <si>
    <t>CJ</t>
  </si>
  <si>
    <t>Hiap Soon</t>
  </si>
  <si>
    <t>077</t>
  </si>
  <si>
    <t>STARLITE REV</t>
  </si>
  <si>
    <t>MT</t>
  </si>
  <si>
    <t>PT. Mektan Babakan Tujuh</t>
  </si>
  <si>
    <t>234</t>
  </si>
  <si>
    <t>YMF</t>
  </si>
  <si>
    <t>PT. Yamafac Factory</t>
  </si>
  <si>
    <t>235</t>
  </si>
  <si>
    <t>FLN</t>
  </si>
  <si>
    <t>PT. Faloen</t>
  </si>
  <si>
    <t>217</t>
  </si>
  <si>
    <t>SMM</t>
  </si>
  <si>
    <t>PT. Sarana Makin Mulya</t>
  </si>
  <si>
    <t>739</t>
  </si>
  <si>
    <t>CMP</t>
  </si>
  <si>
    <t>Cempaka</t>
  </si>
  <si>
    <t>040</t>
  </si>
  <si>
    <t>AZ</t>
  </si>
  <si>
    <t>Advent Zending</t>
  </si>
  <si>
    <t>004</t>
  </si>
  <si>
    <t>HICO</t>
  </si>
  <si>
    <t>833102-32</t>
  </si>
  <si>
    <t>MUTASI 10 NOVEMBER 2023</t>
  </si>
  <si>
    <t>PGB</t>
  </si>
  <si>
    <t>CME</t>
  </si>
  <si>
    <t>Cimareme</t>
  </si>
  <si>
    <t>038</t>
  </si>
  <si>
    <t>RLI</t>
  </si>
  <si>
    <t>Rohtho</t>
  </si>
  <si>
    <t>252</t>
  </si>
  <si>
    <t>05/02/2018</t>
  </si>
  <si>
    <t>SML</t>
  </si>
  <si>
    <t>PT. Semeru Multi Logam</t>
  </si>
  <si>
    <t>1212</t>
  </si>
  <si>
    <t>TRG</t>
  </si>
  <si>
    <t>PT. Tiga Arga</t>
  </si>
  <si>
    <t>796</t>
  </si>
  <si>
    <t>06/02/2018</t>
  </si>
  <si>
    <t>UJ</t>
  </si>
  <si>
    <t>PT. Ultra Jaya Milk</t>
  </si>
  <si>
    <t>236</t>
  </si>
  <si>
    <t>BRG</t>
  </si>
  <si>
    <t>PT. Beringin</t>
  </si>
  <si>
    <t>738</t>
  </si>
  <si>
    <t>07/02/2018</t>
  </si>
  <si>
    <t>SBD</t>
  </si>
  <si>
    <t>Subanda</t>
  </si>
  <si>
    <t>778</t>
  </si>
  <si>
    <t>PRM</t>
  </si>
  <si>
    <t>NCM</t>
  </si>
  <si>
    <t>PT.Nancomet Muda</t>
  </si>
  <si>
    <t>558</t>
  </si>
  <si>
    <t>32358</t>
  </si>
  <si>
    <t>MLT</t>
  </si>
  <si>
    <t>PD Master Logam Teknik</t>
  </si>
  <si>
    <t>006</t>
  </si>
  <si>
    <t>LMS</t>
  </si>
  <si>
    <t>PT. Lentera Mitra Sejati</t>
  </si>
  <si>
    <t>545</t>
  </si>
  <si>
    <t>THOSIBA</t>
  </si>
  <si>
    <t>BPM</t>
  </si>
  <si>
    <t>PT. Biru Putih Murni</t>
  </si>
  <si>
    <t>553</t>
  </si>
  <si>
    <t>PCA</t>
  </si>
  <si>
    <t>RMP</t>
  </si>
  <si>
    <t>Ramayana Padalarang</t>
  </si>
  <si>
    <t>SFA</t>
  </si>
  <si>
    <t>Sanbe Farma</t>
  </si>
  <si>
    <t>999</t>
  </si>
  <si>
    <t>LGDR / III</t>
  </si>
  <si>
    <t>LCM</t>
  </si>
  <si>
    <t>NMC</t>
  </si>
  <si>
    <t>Noer Muda Cahaya</t>
  </si>
  <si>
    <t>276</t>
  </si>
  <si>
    <t>SWITCH GEAR</t>
  </si>
  <si>
    <t>SSM</t>
  </si>
  <si>
    <t>PT.Senayan Sandang Makmur</t>
  </si>
  <si>
    <t>403</t>
  </si>
  <si>
    <t>BES</t>
  </si>
  <si>
    <t>PT. Beton Elemenindo</t>
  </si>
  <si>
    <t>SBK</t>
  </si>
  <si>
    <t>PT. Sinar Baskara Sejati</t>
  </si>
  <si>
    <t>375</t>
  </si>
  <si>
    <t>FRANCE TRAFO</t>
  </si>
  <si>
    <t>12402310</t>
  </si>
  <si>
    <t>BSC</t>
  </si>
  <si>
    <t>CV Buana Sakti Chemindo</t>
  </si>
  <si>
    <t>1328</t>
  </si>
  <si>
    <t>B&amp;D</t>
  </si>
  <si>
    <t>20106374</t>
  </si>
  <si>
    <t>2010</t>
  </si>
  <si>
    <t>OP 140519</t>
  </si>
  <si>
    <t>ICL</t>
  </si>
  <si>
    <t>402</t>
  </si>
  <si>
    <t>GAI</t>
  </si>
  <si>
    <t>Giri Asih Indah</t>
  </si>
  <si>
    <t>404</t>
  </si>
  <si>
    <t>32697</t>
  </si>
  <si>
    <t>BEP</t>
  </si>
  <si>
    <t>PT. Beton Elemenindo Putra</t>
  </si>
  <si>
    <t>552</t>
  </si>
  <si>
    <t>HAR KUBIKEL OKTOBER 2017</t>
  </si>
  <si>
    <t>SPA</t>
  </si>
  <si>
    <t>SAPTA PELITA ASIA  PT</t>
  </si>
  <si>
    <t>BEL</t>
  </si>
  <si>
    <t>HOS</t>
  </si>
  <si>
    <t>PT Hero Sekawan</t>
  </si>
  <si>
    <t>LCB</t>
  </si>
  <si>
    <t>KBP</t>
  </si>
  <si>
    <t>Komplek Blok Para</t>
  </si>
  <si>
    <t>350</t>
  </si>
  <si>
    <t>B &amp; D</t>
  </si>
  <si>
    <t>1507207</t>
  </si>
  <si>
    <t>RMU</t>
  </si>
  <si>
    <t>BTR</t>
  </si>
  <si>
    <t>Batujajar</t>
  </si>
  <si>
    <t>313</t>
  </si>
  <si>
    <t>BLL</t>
  </si>
  <si>
    <t>Balistik Laboratorium</t>
  </si>
  <si>
    <t>312</t>
  </si>
  <si>
    <t>MORAWA</t>
  </si>
  <si>
    <t>JT</t>
  </si>
  <si>
    <t>Yumping Tower</t>
  </si>
  <si>
    <t>PSL</t>
  </si>
  <si>
    <t>Pusandha Linud</t>
  </si>
  <si>
    <t>372</t>
  </si>
  <si>
    <t>BWC</t>
  </si>
  <si>
    <t>PT. Brother Warna Cermelang</t>
  </si>
  <si>
    <t>315</t>
  </si>
  <si>
    <t>11133848</t>
  </si>
  <si>
    <t>SAU</t>
  </si>
  <si>
    <t>Silva</t>
  </si>
  <si>
    <t>GAJ</t>
  </si>
  <si>
    <t>PT.Giri Asih Jaya</t>
  </si>
  <si>
    <t>341</t>
  </si>
  <si>
    <t>26 03 2018</t>
  </si>
  <si>
    <t>GPH</t>
  </si>
  <si>
    <t>PT. Gunung Padakasih</t>
  </si>
  <si>
    <t>675</t>
  </si>
  <si>
    <t>TSS</t>
  </si>
  <si>
    <t>PT.Triman Sakti Sejahtera</t>
  </si>
  <si>
    <t>387</t>
  </si>
  <si>
    <t>CCH</t>
  </si>
  <si>
    <t>PT. Cacah</t>
  </si>
  <si>
    <t>LCC</t>
  </si>
  <si>
    <t>NSP</t>
  </si>
  <si>
    <t>PT. Namasindo Plast</t>
  </si>
  <si>
    <t>963</t>
  </si>
  <si>
    <t>SAX</t>
  </si>
  <si>
    <t>PT. Sabatex</t>
  </si>
  <si>
    <t>933</t>
  </si>
  <si>
    <t>SGP</t>
  </si>
  <si>
    <t>PT. Surya Gunung Palmastex</t>
  </si>
  <si>
    <t>007</t>
  </si>
  <si>
    <t>YWA</t>
  </si>
  <si>
    <t>PT. Yi Hwa Textile</t>
  </si>
  <si>
    <t>932</t>
  </si>
  <si>
    <t>NSO</t>
  </si>
  <si>
    <t>053</t>
  </si>
  <si>
    <t>GTT</t>
  </si>
  <si>
    <t>PT GODIVA TRAVIZIA TEXTIL</t>
  </si>
  <si>
    <t>MDP</t>
  </si>
  <si>
    <t>PT. Mandala Putra</t>
  </si>
  <si>
    <t>052</t>
  </si>
  <si>
    <t>LCK</t>
  </si>
  <si>
    <t>GAD</t>
  </si>
  <si>
    <t>PT. Gani Arta Dwi Tunggal</t>
  </si>
  <si>
    <t>797</t>
  </si>
  <si>
    <t>1600</t>
  </si>
  <si>
    <t>10232872</t>
  </si>
  <si>
    <t>ATC</t>
  </si>
  <si>
    <t>PT. Ateja Tritunggal Corporation</t>
  </si>
  <si>
    <t>994</t>
  </si>
  <si>
    <t>CGP</t>
  </si>
  <si>
    <t>PT. Central Georgete P</t>
  </si>
  <si>
    <t>985</t>
  </si>
  <si>
    <t>LCP</t>
  </si>
  <si>
    <t>ATE</t>
  </si>
  <si>
    <t>018</t>
  </si>
  <si>
    <t>SPT</t>
  </si>
  <si>
    <t>002</t>
  </si>
  <si>
    <t>PSBJ</t>
  </si>
  <si>
    <t>Pasar Batujajar</t>
  </si>
  <si>
    <t>1396638</t>
  </si>
  <si>
    <t>2007</t>
  </si>
  <si>
    <t>PDL / I</t>
  </si>
  <si>
    <t>RJDL</t>
  </si>
  <si>
    <t>AJHO</t>
  </si>
  <si>
    <t>CANTOL</t>
  </si>
  <si>
    <t>231290014-P</t>
  </si>
  <si>
    <t>STT</t>
  </si>
  <si>
    <t>Situ Tengah</t>
  </si>
  <si>
    <t>149</t>
  </si>
  <si>
    <t>2402501003-939</t>
  </si>
  <si>
    <t>STTA</t>
  </si>
  <si>
    <t>108</t>
  </si>
  <si>
    <t>LTJ</t>
  </si>
  <si>
    <t>LEE TJONG JIN</t>
  </si>
  <si>
    <t>IHB</t>
  </si>
  <si>
    <t>Istana Hobi</t>
  </si>
  <si>
    <t>UNINDO REV</t>
  </si>
  <si>
    <t>STC</t>
  </si>
  <si>
    <t>Situ Ciburuy</t>
  </si>
  <si>
    <t>148</t>
  </si>
  <si>
    <t>LUCKYLIGHT</t>
  </si>
  <si>
    <t>1836Q01618</t>
  </si>
  <si>
    <t>MUTASI 05 09 2018</t>
  </si>
  <si>
    <t>MUTASI FEB</t>
  </si>
  <si>
    <t>PRBY</t>
  </si>
  <si>
    <t>MTP</t>
  </si>
  <si>
    <t>PT.Multi Paint</t>
  </si>
  <si>
    <t>286</t>
  </si>
  <si>
    <t>173303572</t>
  </si>
  <si>
    <t>2017</t>
  </si>
  <si>
    <t>MUTASI 04 03 2019</t>
  </si>
  <si>
    <t>MTPA</t>
  </si>
  <si>
    <t>1312</t>
  </si>
  <si>
    <t>1849D025</t>
  </si>
  <si>
    <t>MUTASI 13 08 2018</t>
  </si>
  <si>
    <t>CJJ</t>
  </si>
  <si>
    <t>Cijeungjing</t>
  </si>
  <si>
    <t>028</t>
  </si>
  <si>
    <t>'1607592</t>
  </si>
  <si>
    <t>CJJA</t>
  </si>
  <si>
    <t>20111003</t>
  </si>
  <si>
    <t>CJI</t>
  </si>
  <si>
    <t>064</t>
  </si>
  <si>
    <t>EBG</t>
  </si>
  <si>
    <t>131073</t>
  </si>
  <si>
    <t>KOBB</t>
  </si>
  <si>
    <t>KOTA BALI B</t>
  </si>
  <si>
    <t>MERLIN GERLIN</t>
  </si>
  <si>
    <t>SDG</t>
  </si>
  <si>
    <t>Sodong</t>
  </si>
  <si>
    <t>102</t>
  </si>
  <si>
    <t>06136618</t>
  </si>
  <si>
    <t>2006</t>
  </si>
  <si>
    <t>PGPN</t>
  </si>
  <si>
    <t>Perum Griya Pesona</t>
  </si>
  <si>
    <t>22ACN01193</t>
  </si>
  <si>
    <t>PGPE</t>
  </si>
  <si>
    <t>Perum G-Land Padalarang Estate</t>
  </si>
  <si>
    <t>24R283305</t>
  </si>
  <si>
    <t>PGE</t>
  </si>
  <si>
    <t>MASTRA MULIA MANDIRI</t>
  </si>
  <si>
    <t>2506010101</t>
  </si>
  <si>
    <t>PRBA</t>
  </si>
  <si>
    <t>Purabaya</t>
  </si>
  <si>
    <t>128</t>
  </si>
  <si>
    <t>Muitasi 11 Mei 2024</t>
  </si>
  <si>
    <t>KSG</t>
  </si>
  <si>
    <t>Kampung Sodong</t>
  </si>
  <si>
    <t>090</t>
  </si>
  <si>
    <t>MITSUBHISI</t>
  </si>
  <si>
    <t>L.08304039</t>
  </si>
  <si>
    <t>KSD</t>
  </si>
  <si>
    <t>079</t>
  </si>
  <si>
    <t>19.27.D010</t>
  </si>
  <si>
    <t>GRG</t>
  </si>
  <si>
    <t>Garunggang</t>
  </si>
  <si>
    <t>045</t>
  </si>
  <si>
    <t>13034060</t>
  </si>
  <si>
    <t>SDMA</t>
  </si>
  <si>
    <t>Sudi Mampir</t>
  </si>
  <si>
    <t>159</t>
  </si>
  <si>
    <t>B.07.10.0747</t>
  </si>
  <si>
    <t>PPA</t>
  </si>
  <si>
    <t>Pondok Padalarang Asri</t>
  </si>
  <si>
    <t>698</t>
  </si>
  <si>
    <t>MSD</t>
  </si>
  <si>
    <t>PT Multi Supra Indah</t>
  </si>
  <si>
    <t>877</t>
  </si>
  <si>
    <t>FLOUKIT</t>
  </si>
  <si>
    <t>PRB</t>
  </si>
  <si>
    <t>124</t>
  </si>
  <si>
    <t>18034470</t>
  </si>
  <si>
    <t>MUTASI 25 07 2018</t>
  </si>
  <si>
    <t>PRBB</t>
  </si>
  <si>
    <t>Purabaya B</t>
  </si>
  <si>
    <t>184300889</t>
  </si>
  <si>
    <t>GLAN</t>
  </si>
  <si>
    <t>Perum G-Land Regency</t>
  </si>
  <si>
    <t>GLND</t>
  </si>
  <si>
    <t>1264</t>
  </si>
  <si>
    <t>200</t>
  </si>
  <si>
    <t>1600141019</t>
  </si>
  <si>
    <t>Operasi Februari 2017</t>
  </si>
  <si>
    <t>KVL</t>
  </si>
  <si>
    <t>Kavaleri</t>
  </si>
  <si>
    <t>091</t>
  </si>
  <si>
    <t>12066193</t>
  </si>
  <si>
    <t>KVLB</t>
  </si>
  <si>
    <t>Kavaleri B</t>
  </si>
  <si>
    <t>GD535851560</t>
  </si>
  <si>
    <t>KVLA</t>
  </si>
  <si>
    <t>12066188</t>
  </si>
  <si>
    <t>TCR</t>
  </si>
  <si>
    <t>Tri Citra Raharja</t>
  </si>
  <si>
    <t>158</t>
  </si>
  <si>
    <t>PBP</t>
  </si>
  <si>
    <t xml:space="preserve">Perumahan </t>
  </si>
  <si>
    <t>138</t>
  </si>
  <si>
    <t>GNT</t>
  </si>
  <si>
    <t>Gantungan</t>
  </si>
  <si>
    <t>068</t>
  </si>
  <si>
    <t>GNTA</t>
  </si>
  <si>
    <t>Gantungan A</t>
  </si>
  <si>
    <t>073</t>
  </si>
  <si>
    <t>GNTB</t>
  </si>
  <si>
    <t>Gantungan B</t>
  </si>
  <si>
    <t>VOLTRA</t>
  </si>
  <si>
    <t>190602B0457A</t>
  </si>
  <si>
    <t>OPERASI TANGGAL 16/9/2019</t>
  </si>
  <si>
    <t>GNTC</t>
  </si>
  <si>
    <t>Gantungan C</t>
  </si>
  <si>
    <t>KNK</t>
  </si>
  <si>
    <t>Kancah Nangkub</t>
  </si>
  <si>
    <t>088</t>
  </si>
  <si>
    <t>Mutasi 2 Mei 2024</t>
  </si>
  <si>
    <t>KNKA</t>
  </si>
  <si>
    <t>Kancah Nangkub A</t>
  </si>
  <si>
    <t>19R254566</t>
  </si>
  <si>
    <t>OP 7/11/2019</t>
  </si>
  <si>
    <t>CTR</t>
  </si>
  <si>
    <t>Citoker</t>
  </si>
  <si>
    <t>048</t>
  </si>
  <si>
    <t>15069583</t>
  </si>
  <si>
    <t>SWU</t>
  </si>
  <si>
    <t>Seke waru</t>
  </si>
  <si>
    <t>150</t>
  </si>
  <si>
    <t>07009779</t>
  </si>
  <si>
    <t>KBK</t>
  </si>
  <si>
    <t>Koperasi Bina Karya</t>
  </si>
  <si>
    <t>082</t>
  </si>
  <si>
    <t>23F0507</t>
  </si>
  <si>
    <t>BHL</t>
  </si>
  <si>
    <t>Bojong Haleuang</t>
  </si>
  <si>
    <t>012</t>
  </si>
  <si>
    <t>213302677</t>
  </si>
  <si>
    <t>BHLA</t>
  </si>
  <si>
    <t>1900611025-712</t>
  </si>
  <si>
    <t>CDG</t>
  </si>
  <si>
    <t>Cikondang</t>
  </si>
  <si>
    <t>025</t>
  </si>
  <si>
    <t>LWD</t>
  </si>
  <si>
    <t>Leuweung Datar</t>
  </si>
  <si>
    <t>099</t>
  </si>
  <si>
    <t>CKK</t>
  </si>
  <si>
    <t>Cikakak</t>
  </si>
  <si>
    <t>032</t>
  </si>
  <si>
    <t>MASTERGREEN</t>
  </si>
  <si>
    <t>NSGO</t>
  </si>
  <si>
    <t>Nurseri Golf</t>
  </si>
  <si>
    <t>1254</t>
  </si>
  <si>
    <t>0</t>
  </si>
  <si>
    <t>KCS</t>
  </si>
  <si>
    <t>Kampung Cilimus</t>
  </si>
  <si>
    <t>092</t>
  </si>
  <si>
    <t>920-1696</t>
  </si>
  <si>
    <t>CLR</t>
  </si>
  <si>
    <t>Cileuer</t>
  </si>
  <si>
    <t>035</t>
  </si>
  <si>
    <t>140105C0013</t>
  </si>
  <si>
    <t>SDLP</t>
  </si>
  <si>
    <t>Salem Kidul</t>
  </si>
  <si>
    <t>383</t>
  </si>
  <si>
    <t>9206888</t>
  </si>
  <si>
    <t>CIUR</t>
  </si>
  <si>
    <t>Ciiwur</t>
  </si>
  <si>
    <t>324</t>
  </si>
  <si>
    <t>9205-912</t>
  </si>
  <si>
    <t>LBC</t>
  </si>
  <si>
    <t>Lebak muncang</t>
  </si>
  <si>
    <t>357</t>
  </si>
  <si>
    <t>OSAKA</t>
  </si>
  <si>
    <t>0118090</t>
  </si>
  <si>
    <t>GLAP</t>
  </si>
  <si>
    <t>Tagog</t>
  </si>
  <si>
    <t>134</t>
  </si>
  <si>
    <t>1002531022</t>
  </si>
  <si>
    <t>GLB</t>
  </si>
  <si>
    <t>224</t>
  </si>
  <si>
    <t>BTP</t>
  </si>
  <si>
    <t>Perum Bentang Padalarang</t>
  </si>
  <si>
    <t>11012182</t>
  </si>
  <si>
    <t>BTPC</t>
  </si>
  <si>
    <t>1301559</t>
  </si>
  <si>
    <t>BLA</t>
  </si>
  <si>
    <t>Babakan Loa Permai</t>
  </si>
  <si>
    <t>014</t>
  </si>
  <si>
    <t>85116</t>
  </si>
  <si>
    <t>MUTASI TANGGAL 4/1, 24/2, 25/2</t>
  </si>
  <si>
    <t>KPH</t>
  </si>
  <si>
    <t>Kepuh</t>
  </si>
  <si>
    <t>089</t>
  </si>
  <si>
    <t>GKW</t>
  </si>
  <si>
    <t>Gunung Kawi</t>
  </si>
  <si>
    <t>093</t>
  </si>
  <si>
    <t>KLG</t>
  </si>
  <si>
    <t>Pab.Keluarga</t>
  </si>
  <si>
    <t>069</t>
  </si>
  <si>
    <t>20061789</t>
  </si>
  <si>
    <t>BKTP</t>
  </si>
  <si>
    <t>Pab. Batu Kareta</t>
  </si>
  <si>
    <t>878</t>
  </si>
  <si>
    <t>SCHEINEDER</t>
  </si>
  <si>
    <t>RGS</t>
  </si>
  <si>
    <t>CV Regoselo N</t>
  </si>
  <si>
    <t>401</t>
  </si>
  <si>
    <t>20111495</t>
  </si>
  <si>
    <t>PPI</t>
  </si>
  <si>
    <t>Perum Padalarang Indah</t>
  </si>
  <si>
    <t>071</t>
  </si>
  <si>
    <t>91302-204</t>
  </si>
  <si>
    <t>PPCV</t>
  </si>
  <si>
    <t>Perum Padalarang City View</t>
  </si>
  <si>
    <t>1322</t>
  </si>
  <si>
    <t>15069821</t>
  </si>
  <si>
    <t>Operasi Februari 2018</t>
  </si>
  <si>
    <t>MUTASI TANGGAL 25/09/2019</t>
  </si>
  <si>
    <t>PPIA</t>
  </si>
  <si>
    <t>100</t>
  </si>
  <si>
    <t>08010073</t>
  </si>
  <si>
    <t>GPI</t>
  </si>
  <si>
    <t>Graha Padalarang Indah</t>
  </si>
  <si>
    <t>072</t>
  </si>
  <si>
    <t>HELI</t>
  </si>
  <si>
    <t>HENNILIA </t>
  </si>
  <si>
    <t>20101965</t>
  </si>
  <si>
    <t>GYPA</t>
  </si>
  <si>
    <t>Griya Pasundan</t>
  </si>
  <si>
    <t>1270</t>
  </si>
  <si>
    <t>173303566</t>
  </si>
  <si>
    <t>Operasi Juni 2017</t>
  </si>
  <si>
    <t>GPIA</t>
  </si>
  <si>
    <t>284</t>
  </si>
  <si>
    <t>0922182-111</t>
  </si>
  <si>
    <t>GPIB</t>
  </si>
  <si>
    <t>296</t>
  </si>
  <si>
    <t>0922162-111</t>
  </si>
  <si>
    <t>GPIC</t>
  </si>
  <si>
    <t>1274</t>
  </si>
  <si>
    <t>ACJJ</t>
  </si>
  <si>
    <t>Aceng Juju</t>
  </si>
  <si>
    <t>OP 21/12/20</t>
  </si>
  <si>
    <t>LMSA</t>
  </si>
  <si>
    <t>Kp Ciburuy</t>
  </si>
  <si>
    <t>203</t>
  </si>
  <si>
    <t>09136768</t>
  </si>
  <si>
    <t>LMSB</t>
  </si>
  <si>
    <t>DMX</t>
  </si>
  <si>
    <t>Drymix</t>
  </si>
  <si>
    <t>183301195</t>
  </si>
  <si>
    <t>mutasi 10/5/2018</t>
  </si>
  <si>
    <t>BEBAN KOSONG</t>
  </si>
  <si>
    <t>KYM</t>
  </si>
  <si>
    <t>Karya Mekar</t>
  </si>
  <si>
    <t>1291705</t>
  </si>
  <si>
    <t>PMP</t>
  </si>
  <si>
    <t>Perumahan Permata Padalarang</t>
  </si>
  <si>
    <t>133312822</t>
  </si>
  <si>
    <t>KTS</t>
  </si>
  <si>
    <t>Kwok Tjieng Sun</t>
  </si>
  <si>
    <t>1306466</t>
  </si>
  <si>
    <t>RPJ</t>
  </si>
  <si>
    <t>Royal Parahyangan Jayamekar</t>
  </si>
  <si>
    <t>GD 535851642</t>
  </si>
  <si>
    <t>2127D1065</t>
  </si>
  <si>
    <t>GLV</t>
  </si>
  <si>
    <t>GLAND PADALARANG VALLEY</t>
  </si>
  <si>
    <t>24H100050</t>
  </si>
  <si>
    <t>GLPV</t>
  </si>
  <si>
    <t>20090227</t>
  </si>
  <si>
    <t>2009</t>
  </si>
  <si>
    <t>PPAR</t>
  </si>
  <si>
    <t>Perumahan Pratama Asri Residence</t>
  </si>
  <si>
    <t>1299</t>
  </si>
  <si>
    <t>1800317</t>
  </si>
  <si>
    <t>operasi feb 2018</t>
  </si>
  <si>
    <t>BRV</t>
  </si>
  <si>
    <t>Perum Betang Regency Village</t>
  </si>
  <si>
    <t>1298</t>
  </si>
  <si>
    <t>1700181005-459</t>
  </si>
  <si>
    <t>Operasi Jan 2018</t>
  </si>
  <si>
    <t>PPTR</t>
  </si>
  <si>
    <t>Perum Tecno Regency</t>
  </si>
  <si>
    <t>1275</t>
  </si>
  <si>
    <t>Operasi Okt 2018</t>
  </si>
  <si>
    <t>LBSR</t>
  </si>
  <si>
    <t>CBA</t>
  </si>
  <si>
    <t>Ciburial</t>
  </si>
  <si>
    <t>022</t>
  </si>
  <si>
    <t>TRAFINDO REV</t>
  </si>
  <si>
    <t>05130093</t>
  </si>
  <si>
    <t>LBS</t>
  </si>
  <si>
    <t>Lebak Sari</t>
  </si>
  <si>
    <t>096</t>
  </si>
  <si>
    <t>MUTASI TGL 26-03-07</t>
  </si>
  <si>
    <t>LBSA</t>
  </si>
  <si>
    <t>104</t>
  </si>
  <si>
    <t>AMTRA</t>
  </si>
  <si>
    <t>25ACN00263</t>
  </si>
  <si>
    <t>PTP</t>
  </si>
  <si>
    <t>Pintu Tol Padalarang.</t>
  </si>
  <si>
    <t>976</t>
  </si>
  <si>
    <t>6012089</t>
  </si>
  <si>
    <t>KBB</t>
  </si>
  <si>
    <t>Kab Bandung Barat</t>
  </si>
  <si>
    <t>70516</t>
  </si>
  <si>
    <t>PRH</t>
  </si>
  <si>
    <t>Pasir Hiang</t>
  </si>
  <si>
    <t>125</t>
  </si>
  <si>
    <t>PRHA</t>
  </si>
  <si>
    <t>Pasir Hiang A</t>
  </si>
  <si>
    <t>24C0769</t>
  </si>
  <si>
    <t>Op 21 Mei 2024</t>
  </si>
  <si>
    <t>DMKR</t>
  </si>
  <si>
    <t>DAMKAR KBB</t>
  </si>
  <si>
    <t>PRNL</t>
  </si>
  <si>
    <t>Perum Botanical View Residence</t>
  </si>
  <si>
    <t>22ACN01211</t>
  </si>
  <si>
    <t>OP 13 JAN 23</t>
  </si>
  <si>
    <t>CJL</t>
  </si>
  <si>
    <t>Cijamil</t>
  </si>
  <si>
    <t>027</t>
  </si>
  <si>
    <t>19AFH00793</t>
  </si>
  <si>
    <t>CJLA</t>
  </si>
  <si>
    <t>Cijamil A</t>
  </si>
  <si>
    <t>1301761</t>
  </si>
  <si>
    <t>OPERASI 13/9/2019</t>
  </si>
  <si>
    <t>CWT</t>
  </si>
  <si>
    <t>Cuwatani</t>
  </si>
  <si>
    <t>389</t>
  </si>
  <si>
    <t>06008140</t>
  </si>
  <si>
    <t>SGA</t>
  </si>
  <si>
    <t>139</t>
  </si>
  <si>
    <t>18034122</t>
  </si>
  <si>
    <t>PKBB</t>
  </si>
  <si>
    <t>Pemerintah Kabupaten Bandung Barat</t>
  </si>
  <si>
    <t>PUTR</t>
  </si>
  <si>
    <t>7R3</t>
  </si>
  <si>
    <t>BDG UTR / I</t>
  </si>
  <si>
    <t>PKG</t>
  </si>
  <si>
    <t xml:space="preserve">Pasir Kuning </t>
  </si>
  <si>
    <t>500</t>
  </si>
  <si>
    <t>KP PASIRLANGU</t>
  </si>
  <si>
    <t>NYD</t>
  </si>
  <si>
    <t>Nyalindung</t>
  </si>
  <si>
    <t>14103369</t>
  </si>
  <si>
    <t>2014</t>
  </si>
  <si>
    <t>PSLU</t>
  </si>
  <si>
    <t>PSK</t>
  </si>
  <si>
    <t>Pasirkuntul</t>
  </si>
  <si>
    <t>127</t>
  </si>
  <si>
    <t>18034524</t>
  </si>
  <si>
    <t>HMHA</t>
  </si>
  <si>
    <t>Hegarmanah A</t>
  </si>
  <si>
    <t>20R259441</t>
  </si>
  <si>
    <t>EXL</t>
  </si>
  <si>
    <t>Exelcomindo</t>
  </si>
  <si>
    <t>761</t>
  </si>
  <si>
    <t>KP CIKALONG</t>
  </si>
  <si>
    <t>Mutasi 25 Mei 2024</t>
  </si>
  <si>
    <t>NPH</t>
  </si>
  <si>
    <t>Ngamprah</t>
  </si>
  <si>
    <t>113</t>
  </si>
  <si>
    <t>NPHB</t>
  </si>
  <si>
    <t>Ngamprah B</t>
  </si>
  <si>
    <t>NPHA</t>
  </si>
  <si>
    <t>Ngamprah A</t>
  </si>
  <si>
    <t>1309</t>
  </si>
  <si>
    <t>18034550</t>
  </si>
  <si>
    <t>CLS</t>
  </si>
  <si>
    <t>Cilimus</t>
  </si>
  <si>
    <t>036</t>
  </si>
  <si>
    <t>85111-143</t>
  </si>
  <si>
    <t>CLSA</t>
  </si>
  <si>
    <t>Cilimus A</t>
  </si>
  <si>
    <t>03/4/20</t>
  </si>
  <si>
    <t>PCMB</t>
  </si>
  <si>
    <t>Perum Cluster Mega Bodas</t>
  </si>
  <si>
    <t>2000611004-021</t>
  </si>
  <si>
    <t>2020</t>
  </si>
  <si>
    <t>09/4/20</t>
  </si>
  <si>
    <t>ZLG</t>
  </si>
  <si>
    <t>Perum Z LIVING GARDEN</t>
  </si>
  <si>
    <t>MASTER GREEN</t>
  </si>
  <si>
    <t>PRI</t>
  </si>
  <si>
    <t xml:space="preserve">Parigi </t>
  </si>
  <si>
    <t>126</t>
  </si>
  <si>
    <t>MITSUBISHI</t>
  </si>
  <si>
    <t>L08304007</t>
  </si>
  <si>
    <t>KAS</t>
  </si>
  <si>
    <t>KANDANG AYAM SURYANA</t>
  </si>
  <si>
    <t>CET</t>
  </si>
  <si>
    <t>Kampung Cimenteng</t>
  </si>
  <si>
    <t>528</t>
  </si>
  <si>
    <t>LDH</t>
  </si>
  <si>
    <t>Landeuh</t>
  </si>
  <si>
    <t>769</t>
  </si>
  <si>
    <t>23ACN01243</t>
  </si>
  <si>
    <t>GANGGUAN 30-08-2023</t>
  </si>
  <si>
    <t>PKN</t>
  </si>
  <si>
    <t>Pangkalan</t>
  </si>
  <si>
    <t>767</t>
  </si>
  <si>
    <t>KEP</t>
  </si>
  <si>
    <t>Kampung Epen</t>
  </si>
  <si>
    <t>515</t>
  </si>
  <si>
    <t>08305041</t>
  </si>
  <si>
    <t>PJJ</t>
  </si>
  <si>
    <t>Pasi Jeungjing</t>
  </si>
  <si>
    <t>768</t>
  </si>
  <si>
    <t>CMU</t>
  </si>
  <si>
    <t>Cimanggu</t>
  </si>
  <si>
    <t>770</t>
  </si>
  <si>
    <t>PLU</t>
  </si>
  <si>
    <t>Pasirlangu</t>
  </si>
  <si>
    <t>502</t>
  </si>
  <si>
    <t>B.07200278</t>
  </si>
  <si>
    <t>PLUA</t>
  </si>
  <si>
    <t>Pasirlangu A</t>
  </si>
  <si>
    <t>526</t>
  </si>
  <si>
    <t>'L08309024</t>
  </si>
  <si>
    <t>PLUB</t>
  </si>
  <si>
    <t xml:space="preserve">Pasirlangu </t>
  </si>
  <si>
    <t>110</t>
  </si>
  <si>
    <t>BNH</t>
  </si>
  <si>
    <t>Barunyatuh</t>
  </si>
  <si>
    <t>507</t>
  </si>
  <si>
    <t>87703-96</t>
  </si>
  <si>
    <t>SRJ</t>
  </si>
  <si>
    <t>Sukaraja</t>
  </si>
  <si>
    <t>503</t>
  </si>
  <si>
    <t>18034570</t>
  </si>
  <si>
    <t>MUTASI 12 09 2018</t>
  </si>
  <si>
    <t>SRJA</t>
  </si>
  <si>
    <t>Sukaraja A</t>
  </si>
  <si>
    <t>527</t>
  </si>
  <si>
    <t>CKI</t>
  </si>
  <si>
    <t>Cikawari</t>
  </si>
  <si>
    <t>508</t>
  </si>
  <si>
    <t>1601132</t>
  </si>
  <si>
    <t>GDS</t>
  </si>
  <si>
    <t>Gandasoli</t>
  </si>
  <si>
    <t>516</t>
  </si>
  <si>
    <t>11059116</t>
  </si>
  <si>
    <t>BGI</t>
  </si>
  <si>
    <t>Babakan Gandasoli</t>
  </si>
  <si>
    <t>145</t>
  </si>
  <si>
    <t>21ACN00487</t>
  </si>
  <si>
    <t>SLI</t>
  </si>
  <si>
    <t>Selaawi</t>
  </si>
  <si>
    <t>519</t>
  </si>
  <si>
    <t>1900581001-305</t>
  </si>
  <si>
    <t>SCU</t>
  </si>
  <si>
    <t>Selacau</t>
  </si>
  <si>
    <t>510</t>
  </si>
  <si>
    <t>PCG</t>
  </si>
  <si>
    <t>Pasircalung</t>
  </si>
  <si>
    <t>509</t>
  </si>
  <si>
    <t>UBR</t>
  </si>
  <si>
    <t>Umbur Umburan</t>
  </si>
  <si>
    <t>511</t>
  </si>
  <si>
    <t>CDA</t>
  </si>
  <si>
    <t>Cipada Dua</t>
  </si>
  <si>
    <t>504</t>
  </si>
  <si>
    <t>1306494</t>
  </si>
  <si>
    <t>KLW</t>
  </si>
  <si>
    <t>Kiaralawang</t>
  </si>
  <si>
    <t>512</t>
  </si>
  <si>
    <t>1600421</t>
  </si>
  <si>
    <t>BJM</t>
  </si>
  <si>
    <t>Barujumaah</t>
  </si>
  <si>
    <t>513</t>
  </si>
  <si>
    <t>174310966</t>
  </si>
  <si>
    <t>Mutasi November 2017</t>
  </si>
  <si>
    <t>JPK</t>
  </si>
  <si>
    <t>Jeplek</t>
  </si>
  <si>
    <t>505</t>
  </si>
  <si>
    <t>L08303097</t>
  </si>
  <si>
    <t>CLY</t>
  </si>
  <si>
    <t>Cileleuy</t>
  </si>
  <si>
    <t>506</t>
  </si>
  <si>
    <t>PMU</t>
  </si>
  <si>
    <t>Pasirmanggu</t>
  </si>
  <si>
    <t>524</t>
  </si>
  <si>
    <t>L08304084</t>
  </si>
  <si>
    <t>CPGP</t>
  </si>
  <si>
    <t>Cipadagirang</t>
  </si>
  <si>
    <t>295</t>
  </si>
  <si>
    <t>85111-149</t>
  </si>
  <si>
    <t>SDN</t>
  </si>
  <si>
    <t>Sadang</t>
  </si>
  <si>
    <t>521</t>
  </si>
  <si>
    <t>153303470</t>
  </si>
  <si>
    <t>CPKI</t>
  </si>
  <si>
    <t>Cipadakati</t>
  </si>
  <si>
    <t>517</t>
  </si>
  <si>
    <t>CPY</t>
  </si>
  <si>
    <t>Cipeuteuy</t>
  </si>
  <si>
    <t>118</t>
  </si>
  <si>
    <t>TRANSFORMER</t>
  </si>
  <si>
    <t>03400</t>
  </si>
  <si>
    <t>TKI</t>
  </si>
  <si>
    <t>Tangkil</t>
  </si>
  <si>
    <t>117</t>
  </si>
  <si>
    <t>TKIA</t>
  </si>
  <si>
    <t>Tangkil A</t>
  </si>
  <si>
    <t>1271</t>
  </si>
  <si>
    <t>1703111</t>
  </si>
  <si>
    <t>CPA</t>
  </si>
  <si>
    <t>Cipada</t>
  </si>
  <si>
    <t>249</t>
  </si>
  <si>
    <t>10011065</t>
  </si>
  <si>
    <t>MUTASI 19 02 2018</t>
  </si>
  <si>
    <t>PML</t>
  </si>
  <si>
    <t>Pasirmalang</t>
  </si>
  <si>
    <t>523</t>
  </si>
  <si>
    <t>12116264</t>
  </si>
  <si>
    <t>CED</t>
  </si>
  <si>
    <t>Cireundeu</t>
  </si>
  <si>
    <t>522</t>
  </si>
  <si>
    <t>2101001014-208</t>
  </si>
  <si>
    <t>BLP</t>
  </si>
  <si>
    <t>Balepulang</t>
  </si>
  <si>
    <t>514</t>
  </si>
  <si>
    <t>153303524</t>
  </si>
  <si>
    <t>CKR</t>
  </si>
  <si>
    <t>Cikiria</t>
  </si>
  <si>
    <t>518</t>
  </si>
  <si>
    <t>11124650</t>
  </si>
  <si>
    <t>PHT</t>
  </si>
  <si>
    <t>Pangheotan</t>
  </si>
  <si>
    <t>691</t>
  </si>
  <si>
    <t>345</t>
  </si>
  <si>
    <t>CBN</t>
  </si>
  <si>
    <t>Cibanen</t>
  </si>
  <si>
    <t>319</t>
  </si>
  <si>
    <t>12033339</t>
  </si>
  <si>
    <t>PHN</t>
  </si>
  <si>
    <t>525</t>
  </si>
  <si>
    <t>1601053</t>
  </si>
  <si>
    <t>NRK</t>
  </si>
  <si>
    <t>Nagrak</t>
  </si>
  <si>
    <t>297</t>
  </si>
  <si>
    <t>134301219</t>
  </si>
  <si>
    <t>MUTASI 12 04 2018</t>
  </si>
  <si>
    <t>PMGS</t>
  </si>
  <si>
    <t>Cipada Kati</t>
  </si>
  <si>
    <t>1195</t>
  </si>
  <si>
    <t>031078</t>
  </si>
  <si>
    <t>2003</t>
  </si>
  <si>
    <t>KPR</t>
  </si>
  <si>
    <t>Kadupungkur</t>
  </si>
  <si>
    <t>298</t>
  </si>
  <si>
    <t>24K117208</t>
  </si>
  <si>
    <t>KPRA</t>
  </si>
  <si>
    <t>Kadupungkur A</t>
  </si>
  <si>
    <t>1308</t>
  </si>
  <si>
    <t>18084550</t>
  </si>
  <si>
    <t>BJO</t>
  </si>
  <si>
    <t>Bojong Sero</t>
  </si>
  <si>
    <t>243</t>
  </si>
  <si>
    <t>18034242</t>
  </si>
  <si>
    <t>MUTASI 17 07 2018</t>
  </si>
  <si>
    <t>TNK</t>
  </si>
  <si>
    <t>Tengek</t>
  </si>
  <si>
    <t>115</t>
  </si>
  <si>
    <t>17172</t>
  </si>
  <si>
    <t>TNKA</t>
  </si>
  <si>
    <t>Tengek A</t>
  </si>
  <si>
    <t>133311393</t>
  </si>
  <si>
    <t>SCG</t>
  </si>
  <si>
    <t>Sancang</t>
  </si>
  <si>
    <t>285</t>
  </si>
  <si>
    <t>32453</t>
  </si>
  <si>
    <t>CSMF</t>
  </si>
  <si>
    <t>Cisomang F</t>
  </si>
  <si>
    <t>CSM</t>
  </si>
  <si>
    <t>Cisomang</t>
  </si>
  <si>
    <t>222</t>
  </si>
  <si>
    <t>B &amp; D REV</t>
  </si>
  <si>
    <t>1501314</t>
  </si>
  <si>
    <t>CSMA</t>
  </si>
  <si>
    <t>Cisomang A</t>
  </si>
  <si>
    <t>269</t>
  </si>
  <si>
    <t>173304017</t>
  </si>
  <si>
    <t>Mutasi September 2017</t>
  </si>
  <si>
    <t>CSMB</t>
  </si>
  <si>
    <t>Cisomang B</t>
  </si>
  <si>
    <t>11059115</t>
  </si>
  <si>
    <t>CSMC</t>
  </si>
  <si>
    <t>Cisomang C</t>
  </si>
  <si>
    <t>CSMD</t>
  </si>
  <si>
    <t>Cisomang D</t>
  </si>
  <si>
    <t>CSME</t>
  </si>
  <si>
    <t>Cisomang E</t>
  </si>
  <si>
    <t>33172110008</t>
  </si>
  <si>
    <t>20 Feb 2020</t>
  </si>
  <si>
    <t>KDP</t>
  </si>
  <si>
    <t>Kadudampit</t>
  </si>
  <si>
    <t>273</t>
  </si>
  <si>
    <t>PNR</t>
  </si>
  <si>
    <t>PT Perkebunan Nusantara VIII</t>
  </si>
  <si>
    <t>262</t>
  </si>
  <si>
    <t>PNRA</t>
  </si>
  <si>
    <t>1210</t>
  </si>
  <si>
    <t>20115096</t>
  </si>
  <si>
    <t>PNRB</t>
  </si>
  <si>
    <t>20115083</t>
  </si>
  <si>
    <t>PNRC</t>
  </si>
  <si>
    <t>1211</t>
  </si>
  <si>
    <t>20115104</t>
  </si>
  <si>
    <t>PXL</t>
  </si>
  <si>
    <t>Pro Exelcomindo</t>
  </si>
  <si>
    <t>875</t>
  </si>
  <si>
    <t>1124651</t>
  </si>
  <si>
    <t>CLC</t>
  </si>
  <si>
    <t>Cileunca</t>
  </si>
  <si>
    <t>258</t>
  </si>
  <si>
    <t>L08304001</t>
  </si>
  <si>
    <t>WDN</t>
  </si>
  <si>
    <t>Wadon</t>
  </si>
  <si>
    <t>304</t>
  </si>
  <si>
    <t>PTRN</t>
  </si>
  <si>
    <t>Puteran</t>
  </si>
  <si>
    <t>057</t>
  </si>
  <si>
    <t>10067057</t>
  </si>
  <si>
    <t>TLT</t>
  </si>
  <si>
    <t>Tenjolaut</t>
  </si>
  <si>
    <t>438</t>
  </si>
  <si>
    <t>13010094</t>
  </si>
  <si>
    <t>TJL</t>
  </si>
  <si>
    <t>293</t>
  </si>
  <si>
    <t>B.0720</t>
  </si>
  <si>
    <t>TJLA</t>
  </si>
  <si>
    <t>Tenjolaut A</t>
  </si>
  <si>
    <t>12068482</t>
  </si>
  <si>
    <t>2012</t>
  </si>
  <si>
    <t>TJLB</t>
  </si>
  <si>
    <t>Tenjolaut B</t>
  </si>
  <si>
    <t>1216</t>
  </si>
  <si>
    <t>12063475</t>
  </si>
  <si>
    <t>TJLC</t>
  </si>
  <si>
    <t>Tenjolaut C</t>
  </si>
  <si>
    <t>OP 1/11/22</t>
  </si>
  <si>
    <t>YDM</t>
  </si>
  <si>
    <t>Yayasan Darul Mukhlisin</t>
  </si>
  <si>
    <t>1255</t>
  </si>
  <si>
    <t>163302776</t>
  </si>
  <si>
    <t>CSH</t>
  </si>
  <si>
    <t>Cisomanghilir</t>
  </si>
  <si>
    <t>263</t>
  </si>
  <si>
    <t>183301207</t>
  </si>
  <si>
    <t>MUTASI 10 09 2018</t>
  </si>
  <si>
    <t>PRK</t>
  </si>
  <si>
    <t>Pasir nangka</t>
  </si>
  <si>
    <t>346</t>
  </si>
  <si>
    <t>KLO</t>
  </si>
  <si>
    <t>Kp Lengo</t>
  </si>
  <si>
    <t>1207</t>
  </si>
  <si>
    <t>15069507</t>
  </si>
  <si>
    <t>PKU</t>
  </si>
  <si>
    <t>Kp Parakan Kadu</t>
  </si>
  <si>
    <t>1208</t>
  </si>
  <si>
    <t>1122171016</t>
  </si>
  <si>
    <t>MWTI</t>
  </si>
  <si>
    <t>CCR</t>
  </si>
  <si>
    <t>Cuhcur</t>
  </si>
  <si>
    <t>024</t>
  </si>
  <si>
    <t>833103-22</t>
  </si>
  <si>
    <t>NLG</t>
  </si>
  <si>
    <t>911</t>
  </si>
  <si>
    <t>153300291</t>
  </si>
  <si>
    <t>NGLB</t>
  </si>
  <si>
    <t>685</t>
  </si>
  <si>
    <t>KP CIPEUNDEUY</t>
  </si>
  <si>
    <t>49526</t>
  </si>
  <si>
    <t>CEO</t>
  </si>
  <si>
    <t>Cideupong</t>
  </si>
  <si>
    <t>060</t>
  </si>
  <si>
    <t>CDO</t>
  </si>
  <si>
    <t>026</t>
  </si>
  <si>
    <t>MWI</t>
  </si>
  <si>
    <t>Maswati</t>
  </si>
  <si>
    <t>277</t>
  </si>
  <si>
    <t>1396644</t>
  </si>
  <si>
    <t>CMT</t>
  </si>
  <si>
    <t>Cimenteng</t>
  </si>
  <si>
    <t>259</t>
  </si>
  <si>
    <t>2KO118052</t>
  </si>
  <si>
    <t>BJN</t>
  </si>
  <si>
    <t>Bobojong</t>
  </si>
  <si>
    <t>242</t>
  </si>
  <si>
    <t>8730720</t>
  </si>
  <si>
    <t>CSL</t>
  </si>
  <si>
    <t>Cisela</t>
  </si>
  <si>
    <t>265</t>
  </si>
  <si>
    <t>CPC</t>
  </si>
  <si>
    <t>Cipicung</t>
  </si>
  <si>
    <t>130</t>
  </si>
  <si>
    <t>CSI</t>
  </si>
  <si>
    <t>Ciasri</t>
  </si>
  <si>
    <t>264</t>
  </si>
  <si>
    <t>17039001</t>
  </si>
  <si>
    <t>PLR</t>
  </si>
  <si>
    <t>Panlengsiran</t>
  </si>
  <si>
    <t>281</t>
  </si>
  <si>
    <t>1806030893</t>
  </si>
  <si>
    <t>MUTASI 08/10/20</t>
  </si>
  <si>
    <t>CAG</t>
  </si>
  <si>
    <t>Cihanjuang</t>
  </si>
  <si>
    <t>248</t>
  </si>
  <si>
    <t>24CC020848</t>
  </si>
  <si>
    <t>CIG</t>
  </si>
  <si>
    <t>267</t>
  </si>
  <si>
    <t>PSIS</t>
  </si>
  <si>
    <t>Pasir Ipis</t>
  </si>
  <si>
    <t>055</t>
  </si>
  <si>
    <t>1223811005</t>
  </si>
  <si>
    <t>TPS</t>
  </si>
  <si>
    <t>Tapos</t>
  </si>
  <si>
    <t>317</t>
  </si>
  <si>
    <t>2402501003-938</t>
  </si>
  <si>
    <t>NGL</t>
  </si>
  <si>
    <t>Nanggeleng</t>
  </si>
  <si>
    <t>683</t>
  </si>
  <si>
    <t>NGLA</t>
  </si>
  <si>
    <t>Nanggeleng A</t>
  </si>
  <si>
    <t>684</t>
  </si>
  <si>
    <t>12063491</t>
  </si>
  <si>
    <t>Mutasi Januari 2018</t>
  </si>
  <si>
    <t>SPYP</t>
  </si>
  <si>
    <t>Sindang Palay</t>
  </si>
  <si>
    <t>211</t>
  </si>
  <si>
    <t>1009228</t>
  </si>
  <si>
    <t>SPYA</t>
  </si>
  <si>
    <t>Sindang Palay A</t>
  </si>
  <si>
    <t>212</t>
  </si>
  <si>
    <t>CWU</t>
  </si>
  <si>
    <t>Ciwaru</t>
  </si>
  <si>
    <t>192</t>
  </si>
  <si>
    <t>24415</t>
  </si>
  <si>
    <t>CWUA</t>
  </si>
  <si>
    <t>Ciwaru A</t>
  </si>
  <si>
    <t>193</t>
  </si>
  <si>
    <t>91302</t>
  </si>
  <si>
    <t>CWUB</t>
  </si>
  <si>
    <t>Ciwaru B</t>
  </si>
  <si>
    <t>1306</t>
  </si>
  <si>
    <t>1802946</t>
  </si>
  <si>
    <t>OPERASI 20 09 2018</t>
  </si>
  <si>
    <t>CWUC</t>
  </si>
  <si>
    <t>Ciwaru C</t>
  </si>
  <si>
    <t>184302615</t>
  </si>
  <si>
    <t>OPERASI 16/9/2019</t>
  </si>
  <si>
    <t>KCT</t>
  </si>
  <si>
    <t>Kampung Citatah</t>
  </si>
  <si>
    <t>194</t>
  </si>
  <si>
    <t>SHANGHAI</t>
  </si>
  <si>
    <t>73011-45</t>
  </si>
  <si>
    <t>CUR</t>
  </si>
  <si>
    <t>Cibungur</t>
  </si>
  <si>
    <t>101</t>
  </si>
  <si>
    <t>CURA</t>
  </si>
  <si>
    <t>Cibungur A</t>
  </si>
  <si>
    <t>107</t>
  </si>
  <si>
    <t>'14108188</t>
  </si>
  <si>
    <t>CURB</t>
  </si>
  <si>
    <t>Cibungur B</t>
  </si>
  <si>
    <t>1199</t>
  </si>
  <si>
    <t>173318277</t>
  </si>
  <si>
    <t>CRY</t>
  </si>
  <si>
    <t>Cikiray</t>
  </si>
  <si>
    <t>188</t>
  </si>
  <si>
    <t>183303740</t>
  </si>
  <si>
    <t>MUTASI 13 09 2018</t>
  </si>
  <si>
    <t>BYB</t>
  </si>
  <si>
    <t>Bayabang</t>
  </si>
  <si>
    <t>162</t>
  </si>
  <si>
    <t>1700141004 - 014</t>
  </si>
  <si>
    <t>Mutasi April 2017</t>
  </si>
  <si>
    <t>BJR</t>
  </si>
  <si>
    <t>Bojong Mekar</t>
  </si>
  <si>
    <t>161</t>
  </si>
  <si>
    <t>BJRA</t>
  </si>
  <si>
    <t>Bojong Mekar A</t>
  </si>
  <si>
    <t>1305</t>
  </si>
  <si>
    <t>20ADN01757</t>
  </si>
  <si>
    <t>CRL</t>
  </si>
  <si>
    <t>184</t>
  </si>
  <si>
    <t>7009854</t>
  </si>
  <si>
    <t>CAL</t>
  </si>
  <si>
    <t>166</t>
  </si>
  <si>
    <t>7009979</t>
  </si>
  <si>
    <t>CKP</t>
  </si>
  <si>
    <t>Cilangkap</t>
  </si>
  <si>
    <t>177</t>
  </si>
  <si>
    <t>CJT</t>
  </si>
  <si>
    <t>Cijati</t>
  </si>
  <si>
    <t>174</t>
  </si>
  <si>
    <t>1800611007-2005</t>
  </si>
  <si>
    <t>NYG</t>
  </si>
  <si>
    <t>Nyenang</t>
  </si>
  <si>
    <t>679</t>
  </si>
  <si>
    <t>1836D0161959</t>
  </si>
  <si>
    <t>Mutasi tgl 8/10/18</t>
  </si>
  <si>
    <t>NYGA</t>
  </si>
  <si>
    <t>116</t>
  </si>
  <si>
    <t>183301203</t>
  </si>
  <si>
    <t>CBU</t>
  </si>
  <si>
    <t>Cubuang</t>
  </si>
  <si>
    <t>168</t>
  </si>
  <si>
    <t>'06133897</t>
  </si>
  <si>
    <t>MUTASI 06APRIL 2024</t>
  </si>
  <si>
    <t>CKO</t>
  </si>
  <si>
    <t>176</t>
  </si>
  <si>
    <t>20083441</t>
  </si>
  <si>
    <t>WRNA</t>
  </si>
  <si>
    <t>Warung Nangka A</t>
  </si>
  <si>
    <t>24C00810011-164</t>
  </si>
  <si>
    <t>Operasi  27 Mei 2024</t>
  </si>
  <si>
    <t>WRN</t>
  </si>
  <si>
    <t>Warung Nangka</t>
  </si>
  <si>
    <t>238</t>
  </si>
  <si>
    <t>20114315</t>
  </si>
  <si>
    <t>KCPG</t>
  </si>
  <si>
    <t>Kampung Cipicung</t>
  </si>
  <si>
    <t>204</t>
  </si>
  <si>
    <t>132263</t>
  </si>
  <si>
    <t>CKU</t>
  </si>
  <si>
    <t>Cibeungkung</t>
  </si>
  <si>
    <t>178</t>
  </si>
  <si>
    <t>163302786</t>
  </si>
  <si>
    <t>CKUA</t>
  </si>
  <si>
    <t>Cibeungkung A</t>
  </si>
  <si>
    <t>1261</t>
  </si>
  <si>
    <t>22R271557</t>
  </si>
  <si>
    <t>NGK</t>
  </si>
  <si>
    <t>210</t>
  </si>
  <si>
    <t>08302027</t>
  </si>
  <si>
    <t>CUD</t>
  </si>
  <si>
    <t>Cikuda</t>
  </si>
  <si>
    <t>191</t>
  </si>
  <si>
    <t>07091160</t>
  </si>
  <si>
    <t>CUDA</t>
  </si>
  <si>
    <t>Cikuda A</t>
  </si>
  <si>
    <t>1295</t>
  </si>
  <si>
    <t>18400510</t>
  </si>
  <si>
    <t>OPERASI OKTOBER 2018</t>
  </si>
  <si>
    <t>MGA</t>
  </si>
  <si>
    <t>Margalaksana</t>
  </si>
  <si>
    <t>208</t>
  </si>
  <si>
    <t>MUTASI 10 09 2019</t>
  </si>
  <si>
    <t>CRN</t>
  </si>
  <si>
    <t>Caringin</t>
  </si>
  <si>
    <t>186</t>
  </si>
  <si>
    <t>CTA</t>
  </si>
  <si>
    <t>Cirata</t>
  </si>
  <si>
    <t>190</t>
  </si>
  <si>
    <t>MUTASI TGL 17/10/2018</t>
  </si>
  <si>
    <t>CRM</t>
  </si>
  <si>
    <t>Ciroyom</t>
  </si>
  <si>
    <t>185</t>
  </si>
  <si>
    <t>CGSA</t>
  </si>
  <si>
    <t>Cigangsa</t>
  </si>
  <si>
    <t>361117</t>
  </si>
  <si>
    <t>CJGR</t>
  </si>
  <si>
    <t>Cijagra</t>
  </si>
  <si>
    <t>183</t>
  </si>
  <si>
    <t>CJHG</t>
  </si>
  <si>
    <t>Cijuhung</t>
  </si>
  <si>
    <t>L08303007</t>
  </si>
  <si>
    <t>COY</t>
  </si>
  <si>
    <t>kp Ciroyom</t>
  </si>
  <si>
    <t>84753</t>
  </si>
  <si>
    <t>COYA</t>
  </si>
  <si>
    <t>1206</t>
  </si>
  <si>
    <t>CPD</t>
  </si>
  <si>
    <t>Kp Cipeundeuy</t>
  </si>
  <si>
    <t>182</t>
  </si>
  <si>
    <t>32710</t>
  </si>
  <si>
    <t>CPDB</t>
  </si>
  <si>
    <t>Cipeundeuy</t>
  </si>
  <si>
    <t>1323</t>
  </si>
  <si>
    <t>1800611007</t>
  </si>
  <si>
    <t>OPERASI TGL 19/02/2019</t>
  </si>
  <si>
    <t>KBC</t>
  </si>
  <si>
    <t>Kampung Buangan Cirata</t>
  </si>
  <si>
    <t>20111018</t>
  </si>
  <si>
    <t>CRT</t>
  </si>
  <si>
    <t>187</t>
  </si>
  <si>
    <t>MUTASI TGL 27-03-2024</t>
  </si>
  <si>
    <t>CRTA</t>
  </si>
  <si>
    <t>TRAFFINDO</t>
  </si>
  <si>
    <t>'164311363</t>
  </si>
  <si>
    <t>SGH</t>
  </si>
  <si>
    <t>Sirna Galih</t>
  </si>
  <si>
    <t>336</t>
  </si>
  <si>
    <t>CJA</t>
  </si>
  <si>
    <t>173</t>
  </si>
  <si>
    <t>21AFH00250</t>
  </si>
  <si>
    <t>CPM</t>
  </si>
  <si>
    <t>Cipadang Manah</t>
  </si>
  <si>
    <t>181</t>
  </si>
  <si>
    <t>'1602230</t>
  </si>
  <si>
    <t>SAKU</t>
  </si>
  <si>
    <t>KHUSUS</t>
  </si>
  <si>
    <t>SAKURA SAYA JAYA</t>
  </si>
  <si>
    <t>CGB</t>
  </si>
  <si>
    <t>Cigeblig</t>
  </si>
  <si>
    <t>268</t>
  </si>
  <si>
    <t>1800611007-2004</t>
  </si>
  <si>
    <t>Pasirkawah</t>
  </si>
  <si>
    <t>399</t>
  </si>
  <si>
    <t>PCE</t>
  </si>
  <si>
    <t>Pasir Cabe</t>
  </si>
  <si>
    <t>348</t>
  </si>
  <si>
    <t>CKNG</t>
  </si>
  <si>
    <t>Cikineung</t>
  </si>
  <si>
    <t>1500289</t>
  </si>
  <si>
    <t>AGF</t>
  </si>
  <si>
    <t xml:space="preserve">PT QL Agro Food </t>
  </si>
  <si>
    <t>1277</t>
  </si>
  <si>
    <t>173303755</t>
  </si>
  <si>
    <t>Operasi September 2017</t>
  </si>
  <si>
    <t>PIBU</t>
  </si>
  <si>
    <t>PT Inti Berkah Utama</t>
  </si>
  <si>
    <t>1319</t>
  </si>
  <si>
    <t>1800181043</t>
  </si>
  <si>
    <t>Operasi 22 November 2018</t>
  </si>
  <si>
    <t>CKLW</t>
  </si>
  <si>
    <t>BDS</t>
  </si>
  <si>
    <t>Brantas Dwimandiri  Serasi</t>
  </si>
  <si>
    <t>011</t>
  </si>
  <si>
    <t>51266</t>
  </si>
  <si>
    <t>BCI</t>
  </si>
  <si>
    <t>Babakan Cilangari</t>
  </si>
  <si>
    <t>009</t>
  </si>
  <si>
    <t>BCIA</t>
  </si>
  <si>
    <t>Babakan Cilangari A</t>
  </si>
  <si>
    <t>KCL</t>
  </si>
  <si>
    <t>Kampung Cikalang</t>
  </si>
  <si>
    <t>081</t>
  </si>
  <si>
    <t>CKL</t>
  </si>
  <si>
    <t>Cikalang</t>
  </si>
  <si>
    <t>033</t>
  </si>
  <si>
    <t>132210</t>
  </si>
  <si>
    <t>NGR</t>
  </si>
  <si>
    <t>Nanggerang</t>
  </si>
  <si>
    <t>112</t>
  </si>
  <si>
    <t>PHR</t>
  </si>
  <si>
    <t>Pasir Haur</t>
  </si>
  <si>
    <t>123</t>
  </si>
  <si>
    <t>6755</t>
  </si>
  <si>
    <t>SLM</t>
  </si>
  <si>
    <t>Salem</t>
  </si>
  <si>
    <t>142</t>
  </si>
  <si>
    <t>14050923</t>
  </si>
  <si>
    <t>CKM</t>
  </si>
  <si>
    <t>Cikamuning</t>
  </si>
  <si>
    <t>034</t>
  </si>
  <si>
    <t>40648</t>
  </si>
  <si>
    <t>PJMA</t>
  </si>
  <si>
    <t>TGA</t>
  </si>
  <si>
    <t>Tagog Apu</t>
  </si>
  <si>
    <t>153</t>
  </si>
  <si>
    <t>03014093</t>
  </si>
  <si>
    <t>2005</t>
  </si>
  <si>
    <t>TGAA</t>
  </si>
  <si>
    <t>Tagog Apu A</t>
  </si>
  <si>
    <t>LUCKY KIGHT</t>
  </si>
  <si>
    <t>1949D025398</t>
  </si>
  <si>
    <t>GLC</t>
  </si>
  <si>
    <t>Grand Lembah Cirburuy</t>
  </si>
  <si>
    <t>1263</t>
  </si>
  <si>
    <t>'1600393</t>
  </si>
  <si>
    <t>BSN</t>
  </si>
  <si>
    <t>Bojong Suren</t>
  </si>
  <si>
    <t>054</t>
  </si>
  <si>
    <t>BSR</t>
  </si>
  <si>
    <t>015</t>
  </si>
  <si>
    <t>PII</t>
  </si>
  <si>
    <t>Parigi</t>
  </si>
  <si>
    <t>132</t>
  </si>
  <si>
    <t>CRK</t>
  </si>
  <si>
    <t>Cijeruk</t>
  </si>
  <si>
    <t>046</t>
  </si>
  <si>
    <t>08305115</t>
  </si>
  <si>
    <t>CNH</t>
  </si>
  <si>
    <t>Cinaggeuh</t>
  </si>
  <si>
    <t>043</t>
  </si>
  <si>
    <t>1605030690</t>
  </si>
  <si>
    <t>PSG</t>
  </si>
  <si>
    <t>Pasir Gombong</t>
  </si>
  <si>
    <t>122</t>
  </si>
  <si>
    <t>KPJ</t>
  </si>
  <si>
    <t>Kampung Pasir Jengjing</t>
  </si>
  <si>
    <t>131</t>
  </si>
  <si>
    <t>1803000</t>
  </si>
  <si>
    <t>CKG</t>
  </si>
  <si>
    <t>Cikurutug</t>
  </si>
  <si>
    <t>031</t>
  </si>
  <si>
    <t>L08303034</t>
  </si>
  <si>
    <t>KDL</t>
  </si>
  <si>
    <t>Kadal Meteng</t>
  </si>
  <si>
    <t>085</t>
  </si>
  <si>
    <t>24CC020847</t>
  </si>
  <si>
    <t>NDL</t>
  </si>
  <si>
    <t>Nyondol</t>
  </si>
  <si>
    <t>111</t>
  </si>
  <si>
    <t>31005</t>
  </si>
  <si>
    <t>CGRU</t>
  </si>
  <si>
    <t>Cigaru</t>
  </si>
  <si>
    <t>289</t>
  </si>
  <si>
    <t>COL</t>
  </si>
  <si>
    <t>Coal</t>
  </si>
  <si>
    <t>520</t>
  </si>
  <si>
    <t>CMK</t>
  </si>
  <si>
    <t>039</t>
  </si>
  <si>
    <t>0231149</t>
  </si>
  <si>
    <t>CMKA</t>
  </si>
  <si>
    <t>Cempaka A</t>
  </si>
  <si>
    <t>196</t>
  </si>
  <si>
    <t>18034858</t>
  </si>
  <si>
    <t>Mutasi tanggal 8/11/2018</t>
  </si>
  <si>
    <t>CMKB</t>
  </si>
  <si>
    <t>Cempaka B</t>
  </si>
  <si>
    <t>CMA</t>
  </si>
  <si>
    <t>Cempaka Mekar</t>
  </si>
  <si>
    <t>037</t>
  </si>
  <si>
    <t>8754</t>
  </si>
  <si>
    <t>MRA</t>
  </si>
  <si>
    <t>Muara</t>
  </si>
  <si>
    <t>105</t>
  </si>
  <si>
    <t>MRAA</t>
  </si>
  <si>
    <t>1036</t>
  </si>
  <si>
    <t>20114293</t>
  </si>
  <si>
    <t>WING</t>
  </si>
  <si>
    <t>PT WINGS FOOD</t>
  </si>
  <si>
    <t>25FF021320</t>
  </si>
  <si>
    <t>Operasi Juni 2018</t>
  </si>
  <si>
    <t>EWO</t>
  </si>
  <si>
    <t>Endri Wiranto</t>
  </si>
  <si>
    <t>1800181008 - 125</t>
  </si>
  <si>
    <t>LLR</t>
  </si>
  <si>
    <t>Leubak Leungsir</t>
  </si>
  <si>
    <t>098</t>
  </si>
  <si>
    <t>1900611025-106</t>
  </si>
  <si>
    <t>KMU</t>
  </si>
  <si>
    <t>Kampung Cimanggu</t>
  </si>
  <si>
    <t>087</t>
  </si>
  <si>
    <t>10067064</t>
  </si>
  <si>
    <t>NYA</t>
  </si>
  <si>
    <t>114</t>
  </si>
  <si>
    <t>1700141004 - 012</t>
  </si>
  <si>
    <t>NYAA</t>
  </si>
  <si>
    <t>CKB</t>
  </si>
  <si>
    <t>Cikubang</t>
  </si>
  <si>
    <t>029</t>
  </si>
  <si>
    <t>CNN</t>
  </si>
  <si>
    <t>Cinona</t>
  </si>
  <si>
    <t>042</t>
  </si>
  <si>
    <t>2000611004-103</t>
  </si>
  <si>
    <t>CNNA</t>
  </si>
  <si>
    <t>Cinona A</t>
  </si>
  <si>
    <t>1997</t>
  </si>
  <si>
    <t>BUT</t>
  </si>
  <si>
    <t>Batu Karut</t>
  </si>
  <si>
    <t>016</t>
  </si>
  <si>
    <t>L08305062</t>
  </si>
  <si>
    <t>1984</t>
  </si>
  <si>
    <t>BUTA</t>
  </si>
  <si>
    <t>170202B0435A</t>
  </si>
  <si>
    <t>SBG</t>
  </si>
  <si>
    <t>Sumur Bandung</t>
  </si>
  <si>
    <t>137</t>
  </si>
  <si>
    <t>87703-09</t>
  </si>
  <si>
    <t>SBGA</t>
  </si>
  <si>
    <t>Sumur Bandung A</t>
  </si>
  <si>
    <t>1600338</t>
  </si>
  <si>
    <t>KCD</t>
  </si>
  <si>
    <t>Kampung Cidepong</t>
  </si>
  <si>
    <t>083</t>
  </si>
  <si>
    <t>0700411054</t>
  </si>
  <si>
    <t>SST</t>
  </si>
  <si>
    <t>Sasaksaat</t>
  </si>
  <si>
    <t>287</t>
  </si>
  <si>
    <t>183303710</t>
  </si>
  <si>
    <t>MUTASI 180918</t>
  </si>
  <si>
    <t>CRR</t>
  </si>
  <si>
    <t>Cirangrang</t>
  </si>
  <si>
    <t>270</t>
  </si>
  <si>
    <t>32406</t>
  </si>
  <si>
    <t>1986</t>
  </si>
  <si>
    <t>MUTASI 05/10/20</t>
  </si>
  <si>
    <t>CGT</t>
  </si>
  <si>
    <t>Cigentur</t>
  </si>
  <si>
    <t>255</t>
  </si>
  <si>
    <t>183301194</t>
  </si>
  <si>
    <t>PTE</t>
  </si>
  <si>
    <t>Pabrik Teh Endang</t>
  </si>
  <si>
    <t>283</t>
  </si>
  <si>
    <t>0231148</t>
  </si>
  <si>
    <t>WA</t>
  </si>
  <si>
    <t>Ciawitali</t>
  </si>
  <si>
    <t>CES</t>
  </si>
  <si>
    <t>Cilengis</t>
  </si>
  <si>
    <t>253</t>
  </si>
  <si>
    <t>CGS</t>
  </si>
  <si>
    <t>254</t>
  </si>
  <si>
    <t>08008314</t>
  </si>
  <si>
    <t>CLGS</t>
  </si>
  <si>
    <t>173318528</t>
  </si>
  <si>
    <t>OPERASI TANGGAL 17/9/2019</t>
  </si>
  <si>
    <t>CBK</t>
  </si>
  <si>
    <t>Cibologontok</t>
  </si>
  <si>
    <t>L08304070</t>
  </si>
  <si>
    <t>CAP</t>
  </si>
  <si>
    <t>Ciaseupan</t>
  </si>
  <si>
    <t>20083499</t>
  </si>
  <si>
    <t>BKO</t>
  </si>
  <si>
    <t>Bongkok</t>
  </si>
  <si>
    <t>244</t>
  </si>
  <si>
    <t>2201601002-1510</t>
  </si>
  <si>
    <t>WRD</t>
  </si>
  <si>
    <t>Warung Domba</t>
  </si>
  <si>
    <t>305</t>
  </si>
  <si>
    <t>KRJ</t>
  </si>
  <si>
    <t>Kampung Rajamandala</t>
  </si>
  <si>
    <t>274</t>
  </si>
  <si>
    <t>19AFH00789</t>
  </si>
  <si>
    <t>BKRY</t>
  </si>
  <si>
    <t>Berkah Regency</t>
  </si>
  <si>
    <t>1280</t>
  </si>
  <si>
    <t>160502B0341</t>
  </si>
  <si>
    <t>Operasi November 2017</t>
  </si>
  <si>
    <t>CDPG</t>
  </si>
  <si>
    <t>Cidaplang</t>
  </si>
  <si>
    <t>247</t>
  </si>
  <si>
    <t>COD</t>
  </si>
  <si>
    <t>Cigondok</t>
  </si>
  <si>
    <t>260</t>
  </si>
  <si>
    <t>12010237</t>
  </si>
  <si>
    <t>PGT</t>
  </si>
  <si>
    <t>246</t>
  </si>
  <si>
    <t>'163311629</t>
  </si>
  <si>
    <t>WDA</t>
  </si>
  <si>
    <t>303</t>
  </si>
  <si>
    <t>WDB</t>
  </si>
  <si>
    <t>Warung Domba B</t>
  </si>
  <si>
    <t>288</t>
  </si>
  <si>
    <t>SGB</t>
  </si>
  <si>
    <t>Sela Gombong</t>
  </si>
  <si>
    <t>292</t>
  </si>
  <si>
    <t>PTB</t>
  </si>
  <si>
    <t>DK</t>
  </si>
  <si>
    <t>Dinas Kesehatan</t>
  </si>
  <si>
    <t>272</t>
  </si>
  <si>
    <t>1600011022</t>
  </si>
  <si>
    <t>CGU</t>
  </si>
  <si>
    <t>Cigintung</t>
  </si>
  <si>
    <t>256</t>
  </si>
  <si>
    <t>183301198</t>
  </si>
  <si>
    <t>CGUA</t>
  </si>
  <si>
    <t>Cigintung A</t>
  </si>
  <si>
    <t>455</t>
  </si>
  <si>
    <t>PTC</t>
  </si>
  <si>
    <t>Pabrik Teh Cikalong</t>
  </si>
  <si>
    <t>307</t>
  </si>
  <si>
    <t>GUNINDO</t>
  </si>
  <si>
    <t>TKW</t>
  </si>
  <si>
    <t>Tjikalongwetan</t>
  </si>
  <si>
    <t>294</t>
  </si>
  <si>
    <t>1800111017-033</t>
  </si>
  <si>
    <t>mutasi 02 08 2018</t>
  </si>
  <si>
    <t>CKT</t>
  </si>
  <si>
    <t>Cikalong Kolot</t>
  </si>
  <si>
    <t>257</t>
  </si>
  <si>
    <t>09136766</t>
  </si>
  <si>
    <t>CKTA</t>
  </si>
  <si>
    <t>Cikalong Kolot A</t>
  </si>
  <si>
    <t>271</t>
  </si>
  <si>
    <t>18034530</t>
  </si>
  <si>
    <t>CGO</t>
  </si>
  <si>
    <t>Cigoong</t>
  </si>
  <si>
    <t>411</t>
  </si>
  <si>
    <t>101969121</t>
  </si>
  <si>
    <t>CKTB</t>
  </si>
  <si>
    <t>Cikalong Kolot B</t>
  </si>
  <si>
    <t>1324</t>
  </si>
  <si>
    <t>18141313</t>
  </si>
  <si>
    <t>BJG</t>
  </si>
  <si>
    <t>Bojong</t>
  </si>
  <si>
    <t>241</t>
  </si>
  <si>
    <t>BJGA</t>
  </si>
  <si>
    <t>Bojong A</t>
  </si>
  <si>
    <t>15069592</t>
  </si>
  <si>
    <t>PLA</t>
  </si>
  <si>
    <t>280</t>
  </si>
  <si>
    <t>184311674</t>
  </si>
  <si>
    <t>BRD</t>
  </si>
  <si>
    <t>Baru Rende</t>
  </si>
  <si>
    <t>245</t>
  </si>
  <si>
    <t>67157</t>
  </si>
  <si>
    <t>BRDA</t>
  </si>
  <si>
    <t>Baru Rende A</t>
  </si>
  <si>
    <t>1282</t>
  </si>
  <si>
    <t>LUCKY LIGHT GLOBALINDO</t>
  </si>
  <si>
    <t>1736D016D3</t>
  </si>
  <si>
    <t>Operasi Oktober 2017</t>
  </si>
  <si>
    <t>SAPI</t>
  </si>
  <si>
    <t>PT SAPI LIAR INDONESIA</t>
  </si>
  <si>
    <t>APK</t>
  </si>
  <si>
    <t>Apin Kurniawan</t>
  </si>
  <si>
    <t>1262</t>
  </si>
  <si>
    <t>HWW</t>
  </si>
  <si>
    <t>PT Kwanduk World Wide</t>
  </si>
  <si>
    <t>CBP</t>
  </si>
  <si>
    <t>Citra Brahma Putra</t>
  </si>
  <si>
    <t>961</t>
  </si>
  <si>
    <t>20080402</t>
  </si>
  <si>
    <t>Dangdeur</t>
  </si>
  <si>
    <t>198</t>
  </si>
  <si>
    <t>85111128</t>
  </si>
  <si>
    <t>DDRA</t>
  </si>
  <si>
    <t>Dangdeur A</t>
  </si>
  <si>
    <t>25C0251000-230</t>
  </si>
  <si>
    <t>CNS</t>
  </si>
  <si>
    <t>Cinagsi</t>
  </si>
  <si>
    <t>180</t>
  </si>
  <si>
    <t>30952</t>
  </si>
  <si>
    <t>MPG</t>
  </si>
  <si>
    <t>Malingping</t>
  </si>
  <si>
    <t>209</t>
  </si>
  <si>
    <t>CGD</t>
  </si>
  <si>
    <t>Ciganda</t>
  </si>
  <si>
    <t>169</t>
  </si>
  <si>
    <t>7009508</t>
  </si>
  <si>
    <t>CHL</t>
  </si>
  <si>
    <t>Ciganda Hilir</t>
  </si>
  <si>
    <t>171</t>
  </si>
  <si>
    <t>CHLA</t>
  </si>
  <si>
    <t>Ciganda Hilir A</t>
  </si>
  <si>
    <t>190602B0444A</t>
  </si>
  <si>
    <t>PNS</t>
  </si>
  <si>
    <t>Pinagsiang</t>
  </si>
  <si>
    <t>216</t>
  </si>
  <si>
    <t>SHENYANG</t>
  </si>
  <si>
    <t>RDH</t>
  </si>
  <si>
    <t>Rendeh</t>
  </si>
  <si>
    <t>221</t>
  </si>
  <si>
    <t>Mutasi 6 Mei 2024</t>
  </si>
  <si>
    <t>PHPR</t>
  </si>
  <si>
    <t>Perumahan Hanan Permai Rendeh</t>
  </si>
  <si>
    <t>Op 06 Mei 2024</t>
  </si>
  <si>
    <t>RDHA</t>
  </si>
  <si>
    <t>Rendeh A</t>
  </si>
  <si>
    <t>2201601002-106</t>
  </si>
  <si>
    <t>SBH</t>
  </si>
  <si>
    <t>Sukabetah</t>
  </si>
  <si>
    <t>225</t>
  </si>
  <si>
    <t>1503150A121</t>
  </si>
  <si>
    <t>2015</t>
  </si>
  <si>
    <t>MUTASI 02/03/20</t>
  </si>
  <si>
    <t>CHS</t>
  </si>
  <si>
    <t>Ciharashas</t>
  </si>
  <si>
    <t>172</t>
  </si>
  <si>
    <t>CHSA</t>
  </si>
  <si>
    <t>Ciharashas A</t>
  </si>
  <si>
    <t>193310563</t>
  </si>
  <si>
    <t>OP 08-08-2019</t>
  </si>
  <si>
    <t>GLT</t>
  </si>
  <si>
    <t>Gunung Leutik</t>
  </si>
  <si>
    <t>201</t>
  </si>
  <si>
    <t>GLTA</t>
  </si>
  <si>
    <t>Gunung Leutik A</t>
  </si>
  <si>
    <t>154308510</t>
  </si>
  <si>
    <t>SMN</t>
  </si>
  <si>
    <t>Sukamanah</t>
  </si>
  <si>
    <t>229</t>
  </si>
  <si>
    <t>A,68199048</t>
  </si>
  <si>
    <t>TMR</t>
  </si>
  <si>
    <t>Tegal Mandor</t>
  </si>
  <si>
    <t>697</t>
  </si>
  <si>
    <t>87705</t>
  </si>
  <si>
    <t>1988</t>
  </si>
  <si>
    <t>PTN</t>
  </si>
  <si>
    <t>696</t>
  </si>
  <si>
    <t>278877</t>
  </si>
  <si>
    <t>CGL</t>
  </si>
  <si>
    <t>170</t>
  </si>
  <si>
    <t>10008208</t>
  </si>
  <si>
    <t>CPRG</t>
  </si>
  <si>
    <t>Ciporang</t>
  </si>
  <si>
    <t>530</t>
  </si>
  <si>
    <t>173300106</t>
  </si>
  <si>
    <t>Mutasi Desember 2017</t>
  </si>
  <si>
    <t>CJW</t>
  </si>
  <si>
    <t>Cijawa</t>
  </si>
  <si>
    <t>175</t>
  </si>
  <si>
    <t>CJWA</t>
  </si>
  <si>
    <t>Cijawa A</t>
  </si>
  <si>
    <t>106</t>
  </si>
  <si>
    <t>11075004</t>
  </si>
  <si>
    <t>SKJ</t>
  </si>
  <si>
    <t>Sukamaju</t>
  </si>
  <si>
    <t>228</t>
  </si>
  <si>
    <t>010648</t>
  </si>
  <si>
    <t>CLA</t>
  </si>
  <si>
    <t>Cileutak</t>
  </si>
  <si>
    <t>179</t>
  </si>
  <si>
    <t>184312579</t>
  </si>
  <si>
    <t>CSU</t>
  </si>
  <si>
    <t>Cisauheun</t>
  </si>
  <si>
    <t>189</t>
  </si>
  <si>
    <t>1000621034-035</t>
  </si>
  <si>
    <t>SHI</t>
  </si>
  <si>
    <t>Sukahaji</t>
  </si>
  <si>
    <t>227</t>
  </si>
  <si>
    <t>18094364</t>
  </si>
  <si>
    <t>31  07 2018</t>
  </si>
  <si>
    <t>KWW</t>
  </si>
  <si>
    <t>971</t>
  </si>
  <si>
    <t>MRAB</t>
  </si>
  <si>
    <t>1326</t>
  </si>
  <si>
    <t>10009220</t>
  </si>
  <si>
    <t>DEPAN MRAA</t>
  </si>
  <si>
    <t>SHU</t>
  </si>
  <si>
    <t>PT SERENA HARSA UTAMA</t>
  </si>
  <si>
    <t>D84090259</t>
  </si>
  <si>
    <t>SIN</t>
  </si>
  <si>
    <t>PT SAMUDRA INDUSTRI</t>
  </si>
  <si>
    <t>CGTA</t>
  </si>
  <si>
    <t>1200</t>
  </si>
  <si>
    <t>1223811005501</t>
  </si>
  <si>
    <t>CAT</t>
  </si>
  <si>
    <t>167</t>
  </si>
  <si>
    <t>DMO</t>
  </si>
  <si>
    <t>Dam Woo</t>
  </si>
  <si>
    <t>BCAS</t>
  </si>
  <si>
    <t>Bumi Campaka Asri</t>
  </si>
  <si>
    <t>130905C0124</t>
  </si>
  <si>
    <t>BCAI</t>
  </si>
  <si>
    <t>1266</t>
  </si>
  <si>
    <t>16002412</t>
  </si>
  <si>
    <t>WJT</t>
  </si>
  <si>
    <t>Warung Jati</t>
  </si>
  <si>
    <t>18034532</t>
  </si>
  <si>
    <t>DWO</t>
  </si>
  <si>
    <t>1110</t>
  </si>
  <si>
    <t>CPDA</t>
  </si>
  <si>
    <t>Cipeundeuy A</t>
  </si>
  <si>
    <t>1268</t>
  </si>
  <si>
    <t>Trafindo</t>
  </si>
  <si>
    <t>164311336</t>
  </si>
  <si>
    <t>CIWA</t>
  </si>
  <si>
    <t>Ciung Wanara</t>
  </si>
  <si>
    <t>13308465</t>
  </si>
  <si>
    <t>CKRH</t>
  </si>
  <si>
    <t>BDK</t>
  </si>
  <si>
    <t>Berdikari</t>
  </si>
  <si>
    <t>992</t>
  </si>
  <si>
    <t>230511</t>
  </si>
  <si>
    <t>PPL</t>
  </si>
  <si>
    <t>PAM Padalarang</t>
  </si>
  <si>
    <t>681</t>
  </si>
  <si>
    <t>BJK</t>
  </si>
  <si>
    <t>Bangun Jaya Kiara</t>
  </si>
  <si>
    <t>GD535851640</t>
  </si>
  <si>
    <t>SUN</t>
  </si>
  <si>
    <t>Sun Dial</t>
  </si>
  <si>
    <t>996</t>
  </si>
  <si>
    <t>B &amp; D Rev</t>
  </si>
  <si>
    <t>20080820</t>
  </si>
  <si>
    <t>GIAN</t>
  </si>
  <si>
    <t>Giant</t>
  </si>
  <si>
    <t>PTT</t>
  </si>
  <si>
    <t>Patra Trading</t>
  </si>
  <si>
    <t>140205C0187</t>
  </si>
  <si>
    <t>MFA</t>
  </si>
  <si>
    <t>Mustika Fortuna Abadi</t>
  </si>
  <si>
    <t>197</t>
  </si>
  <si>
    <t>MJR</t>
  </si>
  <si>
    <t>Margajaya Residen</t>
  </si>
  <si>
    <t>1317</t>
  </si>
  <si>
    <t>184312566</t>
  </si>
  <si>
    <t>operasi maret 2019</t>
  </si>
  <si>
    <t>CSS</t>
  </si>
  <si>
    <t>047</t>
  </si>
  <si>
    <t>SMU</t>
  </si>
  <si>
    <t>Sutex Mitra Utama</t>
  </si>
  <si>
    <t>233</t>
  </si>
  <si>
    <t>VFS</t>
  </si>
  <si>
    <t>VINFAST</t>
  </si>
  <si>
    <t>CMI</t>
  </si>
  <si>
    <t>Cimareme Indah</t>
  </si>
  <si>
    <t>074</t>
  </si>
  <si>
    <t>911374</t>
  </si>
  <si>
    <t>Perum Cilame Permai</t>
  </si>
  <si>
    <t>120</t>
  </si>
  <si>
    <t>PCPA</t>
  </si>
  <si>
    <t>308</t>
  </si>
  <si>
    <t>1700141004</t>
  </si>
  <si>
    <t>CMPA</t>
  </si>
  <si>
    <t>Ciampel</t>
  </si>
  <si>
    <t>136</t>
  </si>
  <si>
    <t>20100489</t>
  </si>
  <si>
    <t>WDS</t>
  </si>
  <si>
    <t>WEDISON</t>
  </si>
  <si>
    <t>25FF021228</t>
  </si>
  <si>
    <t>AZC</t>
  </si>
  <si>
    <t>Advent Zending C</t>
  </si>
  <si>
    <t>24C008101-044</t>
  </si>
  <si>
    <t>AZA</t>
  </si>
  <si>
    <t>109</t>
  </si>
  <si>
    <t>19ADN01109</t>
  </si>
  <si>
    <t>PCFA</t>
  </si>
  <si>
    <t>PT Citra Food Abadi</t>
  </si>
  <si>
    <t>TPL</t>
  </si>
  <si>
    <t>PT Tempo Land</t>
  </si>
  <si>
    <t>218</t>
  </si>
  <si>
    <t>BRM</t>
  </si>
  <si>
    <t>Super Market Borma</t>
  </si>
  <si>
    <t>230</t>
  </si>
  <si>
    <t>AZB</t>
  </si>
  <si>
    <t>343</t>
  </si>
  <si>
    <t>09133120</t>
  </si>
  <si>
    <t>GIJ</t>
  </si>
  <si>
    <t>PT.Gobus Indah Jaya</t>
  </si>
  <si>
    <t>279</t>
  </si>
  <si>
    <t>17318</t>
  </si>
  <si>
    <t>GIJA</t>
  </si>
  <si>
    <t>PT.Gobus Indah Jaya A</t>
  </si>
  <si>
    <t>1281</t>
  </si>
  <si>
    <t>LBT</t>
  </si>
  <si>
    <t>Perum Lembah Teratai</t>
  </si>
  <si>
    <t>078</t>
  </si>
  <si>
    <t>'25AFH00867</t>
  </si>
  <si>
    <t>KSO P3</t>
  </si>
  <si>
    <t>KSST</t>
  </si>
  <si>
    <t>Kantor Samsat</t>
  </si>
  <si>
    <t>1331</t>
  </si>
  <si>
    <t>19AFH00506</t>
  </si>
  <si>
    <t>Operasi 12/6/2019</t>
  </si>
  <si>
    <t>AWR</t>
  </si>
  <si>
    <t>Perum Awani Regensi</t>
  </si>
  <si>
    <t>306</t>
  </si>
  <si>
    <t>20100994</t>
  </si>
  <si>
    <t>AWRA</t>
  </si>
  <si>
    <t>23F0508</t>
  </si>
  <si>
    <t>IMC</t>
  </si>
  <si>
    <t>Indra Medical Check Up</t>
  </si>
  <si>
    <t>1205</t>
  </si>
  <si>
    <t>1206085</t>
  </si>
  <si>
    <t>RSKC</t>
  </si>
  <si>
    <t>RS. KARISMA CIMAHI</t>
  </si>
  <si>
    <t>KLM</t>
  </si>
  <si>
    <t>PT. Karya Lima Mahardika</t>
  </si>
  <si>
    <t>943</t>
  </si>
  <si>
    <t>AKP</t>
  </si>
  <si>
    <t>Arta Kartika Putra</t>
  </si>
  <si>
    <t>935</t>
  </si>
  <si>
    <t>BCM</t>
  </si>
  <si>
    <t>BHINEKA BAHTERA GEMILANG</t>
  </si>
  <si>
    <t>22ADB00191</t>
  </si>
  <si>
    <t>JTTR</t>
  </si>
  <si>
    <t>Janto Taher</t>
  </si>
  <si>
    <t>1310</t>
  </si>
  <si>
    <t>1800181043-002</t>
  </si>
  <si>
    <t>JTR</t>
  </si>
  <si>
    <t>25R292676</t>
  </si>
  <si>
    <t>UTP</t>
  </si>
  <si>
    <t>Union Trophy</t>
  </si>
  <si>
    <t>921</t>
  </si>
  <si>
    <t>FRL</t>
  </si>
  <si>
    <t>Feriliadi</t>
  </si>
  <si>
    <t>986</t>
  </si>
  <si>
    <t>25FF020162</t>
  </si>
  <si>
    <t>PDCI</t>
  </si>
  <si>
    <t>PT Dynamic Chemicals Indonesia</t>
  </si>
  <si>
    <t>OP 24/11/22</t>
  </si>
  <si>
    <t>RAMA</t>
  </si>
  <si>
    <t>RAMAN LOGAWA</t>
  </si>
  <si>
    <t>ATM</t>
  </si>
  <si>
    <t>Altas Mitra Metal</t>
  </si>
  <si>
    <t>003</t>
  </si>
  <si>
    <t>17367</t>
  </si>
  <si>
    <t>AKO</t>
  </si>
  <si>
    <t>ALKINDO NARATAMA</t>
  </si>
  <si>
    <t>GD535851551</t>
  </si>
  <si>
    <t>CMR</t>
  </si>
  <si>
    <t>Cimerang</t>
  </si>
  <si>
    <t>041</t>
  </si>
  <si>
    <t>20041665</t>
  </si>
  <si>
    <t>PGH</t>
  </si>
  <si>
    <t>PERUMAHAN GRIYA HARMONI</t>
  </si>
  <si>
    <t>GD535851635</t>
  </si>
  <si>
    <t>24C0081016-067</t>
  </si>
  <si>
    <t>BKN</t>
  </si>
  <si>
    <t>Babakan</t>
  </si>
  <si>
    <t>013</t>
  </si>
  <si>
    <t>L.08303036</t>
  </si>
  <si>
    <t>CUC</t>
  </si>
  <si>
    <t>Ciluncat</t>
  </si>
  <si>
    <t>049</t>
  </si>
  <si>
    <t>L.08305091</t>
  </si>
  <si>
    <t>PSPR</t>
  </si>
  <si>
    <t>Perum Star Parahyangan Residence</t>
  </si>
  <si>
    <t>20AFH01198</t>
  </si>
  <si>
    <t>OP 03/4/21</t>
  </si>
  <si>
    <t>KCM</t>
  </si>
  <si>
    <t>Kampung Cimerang</t>
  </si>
  <si>
    <t>084</t>
  </si>
  <si>
    <t>KCMA</t>
  </si>
  <si>
    <t>Kampung Cimerang A</t>
  </si>
  <si>
    <t>25ADN00277</t>
  </si>
  <si>
    <t>RYL</t>
  </si>
  <si>
    <t>PT ROYAL</t>
  </si>
  <si>
    <t>2404001008-154</t>
  </si>
  <si>
    <t>SSA</t>
  </si>
  <si>
    <t>PT SIMPAN SINI AJA</t>
  </si>
  <si>
    <t>LGE</t>
  </si>
  <si>
    <t>Legok Embok</t>
  </si>
  <si>
    <t>097</t>
  </si>
  <si>
    <t>5087972</t>
  </si>
  <si>
    <t>CSC</t>
  </si>
  <si>
    <t>Cluster Selaras Cimareme</t>
  </si>
  <si>
    <t>12197116</t>
  </si>
  <si>
    <t>PPMI</t>
  </si>
  <si>
    <t>PT Prosper Mega Industri</t>
  </si>
  <si>
    <t>2201601002-1227</t>
  </si>
  <si>
    <t>TPR</t>
  </si>
  <si>
    <t>Tipar</t>
  </si>
  <si>
    <t>157</t>
  </si>
  <si>
    <t>TPRA</t>
  </si>
  <si>
    <t>1279</t>
  </si>
  <si>
    <t>PCIP</t>
  </si>
  <si>
    <t>Perumahan Cipta Indah Pertiwi</t>
  </si>
  <si>
    <t>1315</t>
  </si>
  <si>
    <t>18A00172</t>
  </si>
  <si>
    <t>EMDA</t>
  </si>
  <si>
    <t>Eksa Mardiana DRA</t>
  </si>
  <si>
    <t>1272</t>
  </si>
  <si>
    <t>RAT</t>
  </si>
  <si>
    <t>Ratna Ningsih</t>
  </si>
  <si>
    <t>671</t>
  </si>
  <si>
    <t>MPI</t>
  </si>
  <si>
    <t>CV. Mutiara Perkasa Abai</t>
  </si>
  <si>
    <t>1304</t>
  </si>
  <si>
    <t>18034240</t>
  </si>
  <si>
    <t>AES</t>
  </si>
  <si>
    <t>Arta Estetika</t>
  </si>
  <si>
    <t>781</t>
  </si>
  <si>
    <t>L.08303040</t>
  </si>
  <si>
    <t>TLC</t>
  </si>
  <si>
    <t>Triliman Cemerlang</t>
  </si>
  <si>
    <t>982</t>
  </si>
  <si>
    <t>19AFH00825</t>
  </si>
  <si>
    <t>BDHA</t>
  </si>
  <si>
    <t>Budhi Haryadi A</t>
  </si>
  <si>
    <t>541</t>
  </si>
  <si>
    <t>89171</t>
  </si>
  <si>
    <t>BDHB</t>
  </si>
  <si>
    <t>Budhi Haryadi B</t>
  </si>
  <si>
    <t>1168</t>
  </si>
  <si>
    <t>130705C0020</t>
  </si>
  <si>
    <t>RKO</t>
  </si>
  <si>
    <t>Rudi Kisjanto</t>
  </si>
  <si>
    <t>1301</t>
  </si>
  <si>
    <t>1800324</t>
  </si>
  <si>
    <t>2 JURUSAN MASIH KOSONG</t>
  </si>
  <si>
    <t>SSI</t>
  </si>
  <si>
    <t>Sindangsari</t>
  </si>
  <si>
    <t>147</t>
  </si>
  <si>
    <t>19034136</t>
  </si>
  <si>
    <t>MUTASI 170918</t>
  </si>
  <si>
    <t>HRK</t>
  </si>
  <si>
    <t>Hendrik</t>
  </si>
  <si>
    <t>140205C0219</t>
  </si>
  <si>
    <t>GPA</t>
  </si>
  <si>
    <t>Gunung Panganten A</t>
  </si>
  <si>
    <t>BDH</t>
  </si>
  <si>
    <t>Budhi Haryadi</t>
  </si>
  <si>
    <t>772</t>
  </si>
  <si>
    <t>14020500188</t>
  </si>
  <si>
    <t>WJN</t>
  </si>
  <si>
    <t>Warna Jaya Nusantara</t>
  </si>
  <si>
    <t>10012387</t>
  </si>
  <si>
    <t>LKR</t>
  </si>
  <si>
    <t>Lucky Rejeki</t>
  </si>
  <si>
    <t>565</t>
  </si>
  <si>
    <t>RNR</t>
  </si>
  <si>
    <t>Roni Noviani Rinjani</t>
  </si>
  <si>
    <t>023</t>
  </si>
  <si>
    <t>24675</t>
  </si>
  <si>
    <t>DGP</t>
  </si>
  <si>
    <t>Dirga Bakti Persada</t>
  </si>
  <si>
    <t>PLBV</t>
  </si>
  <si>
    <t>Perum Lembah Batujajar Village</t>
  </si>
  <si>
    <t>1330</t>
  </si>
  <si>
    <t>020519</t>
  </si>
  <si>
    <t>MTA</t>
  </si>
  <si>
    <t>Mektan</t>
  </si>
  <si>
    <t>820</t>
  </si>
  <si>
    <t>TMM</t>
  </si>
  <si>
    <t>PT Tran Makin Mulya</t>
  </si>
  <si>
    <t>328</t>
  </si>
  <si>
    <t>J &amp; P</t>
  </si>
  <si>
    <t>1500959</t>
  </si>
  <si>
    <t>BAR</t>
  </si>
  <si>
    <t>Batujajar Regensi</t>
  </si>
  <si>
    <t>349</t>
  </si>
  <si>
    <t>85111</t>
  </si>
  <si>
    <t>MBT</t>
  </si>
  <si>
    <t>Mega Bintang Teknik</t>
  </si>
  <si>
    <t>291</t>
  </si>
  <si>
    <t>10009218</t>
  </si>
  <si>
    <t>BARA</t>
  </si>
  <si>
    <t>019</t>
  </si>
  <si>
    <t>180105C0020</t>
  </si>
  <si>
    <t>GKPA</t>
  </si>
  <si>
    <t>GEDUNG KANTOR PENGADIKAN AGAMA</t>
  </si>
  <si>
    <t>BARB</t>
  </si>
  <si>
    <t>SSIA</t>
  </si>
  <si>
    <t>1034</t>
  </si>
  <si>
    <t>131041</t>
  </si>
  <si>
    <t>SSIB</t>
  </si>
  <si>
    <t>Sindangsari B</t>
  </si>
  <si>
    <t>20081129</t>
  </si>
  <si>
    <t>2008</t>
  </si>
  <si>
    <t>LPMP</t>
  </si>
  <si>
    <t>Lembaga Penjamin Mutu Pendidikan</t>
  </si>
  <si>
    <t>193308209</t>
  </si>
  <si>
    <t>RSW</t>
  </si>
  <si>
    <t>Rusunawa</t>
  </si>
  <si>
    <t>12066147</t>
  </si>
  <si>
    <t>RTO</t>
  </si>
  <si>
    <t>Rohto</t>
  </si>
  <si>
    <t>12-36199</t>
  </si>
  <si>
    <t>LGDR / I</t>
  </si>
  <si>
    <t>BTJR</t>
  </si>
  <si>
    <t>MRK</t>
  </si>
  <si>
    <t>Rusdi Marta Susana</t>
  </si>
  <si>
    <t>701</t>
  </si>
  <si>
    <t xml:space="preserve">AMTRA </t>
  </si>
  <si>
    <t>PGP</t>
  </si>
  <si>
    <t>BGL</t>
  </si>
  <si>
    <t>Bukit Galudra</t>
  </si>
  <si>
    <t>563</t>
  </si>
  <si>
    <t>CENTRADO</t>
  </si>
  <si>
    <t>BGA</t>
  </si>
  <si>
    <t>561</t>
  </si>
  <si>
    <t>CMN</t>
  </si>
  <si>
    <t>Cipameutingan</t>
  </si>
  <si>
    <t>564</t>
  </si>
  <si>
    <t>08011065</t>
  </si>
  <si>
    <t>PEC</t>
  </si>
  <si>
    <t>Priangan Endah Cilame</t>
  </si>
  <si>
    <t>1090</t>
  </si>
  <si>
    <t>PSV</t>
  </si>
  <si>
    <t>Perumahan Srimaya View</t>
  </si>
  <si>
    <t>1329</t>
  </si>
  <si>
    <t>184300923</t>
  </si>
  <si>
    <t>OP 10 05 19</t>
  </si>
  <si>
    <t>PMEL</t>
  </si>
  <si>
    <t>Perum Mekarsari Eco Living</t>
  </si>
  <si>
    <t>74994</t>
  </si>
  <si>
    <t>2002</t>
  </si>
  <si>
    <t>TBC</t>
  </si>
  <si>
    <t>Taman Bukit Cilame</t>
  </si>
  <si>
    <t>058</t>
  </si>
  <si>
    <t>Mutasi 22 Mei 2024</t>
  </si>
  <si>
    <t>TBCA</t>
  </si>
  <si>
    <t>Taman Bukit Cilame A</t>
  </si>
  <si>
    <t>103</t>
  </si>
  <si>
    <t>BGDA</t>
  </si>
  <si>
    <t>562</t>
  </si>
  <si>
    <t>21ADN01678</t>
  </si>
  <si>
    <t>CLM</t>
  </si>
  <si>
    <t>Cilame</t>
  </si>
  <si>
    <t>290</t>
  </si>
  <si>
    <t>18141511</t>
  </si>
  <si>
    <t>CBS</t>
  </si>
  <si>
    <t>Cibodas</t>
  </si>
  <si>
    <t>773</t>
  </si>
  <si>
    <t>PMSP</t>
  </si>
  <si>
    <t>Pondok Mas</t>
  </si>
  <si>
    <t>080</t>
  </si>
  <si>
    <t>CBSG</t>
  </si>
  <si>
    <t>Cibodas Girang</t>
  </si>
  <si>
    <t>059</t>
  </si>
  <si>
    <t>2000611004-104</t>
  </si>
  <si>
    <t>BRP</t>
  </si>
  <si>
    <t>Perum Bukit Rahman Permai</t>
  </si>
  <si>
    <t>156</t>
  </si>
  <si>
    <t>BRPA</t>
  </si>
  <si>
    <t>165</t>
  </si>
  <si>
    <t>BRPB</t>
  </si>
  <si>
    <t>195</t>
  </si>
  <si>
    <t>CMNA</t>
  </si>
  <si>
    <t>163302784</t>
  </si>
  <si>
    <t>BATU</t>
  </si>
  <si>
    <t>Perum Batu Indah Regency</t>
  </si>
  <si>
    <t>84821</t>
  </si>
  <si>
    <t>SWAB</t>
  </si>
  <si>
    <t>Sawah Lega B</t>
  </si>
  <si>
    <t>SWA</t>
  </si>
  <si>
    <t>Sawah Lega</t>
  </si>
  <si>
    <t>382</t>
  </si>
  <si>
    <t>SWAA</t>
  </si>
  <si>
    <t>11059152</t>
  </si>
  <si>
    <t>PAR</t>
  </si>
  <si>
    <t>Puspa Regency</t>
  </si>
  <si>
    <t>367</t>
  </si>
  <si>
    <t>0003126</t>
  </si>
  <si>
    <t>PARA</t>
  </si>
  <si>
    <t>207</t>
  </si>
  <si>
    <t>JP 2009</t>
  </si>
  <si>
    <t>MJS</t>
  </si>
  <si>
    <t>MAHUGI JAYA SEJAHTERA</t>
  </si>
  <si>
    <t>JP 2025</t>
  </si>
  <si>
    <t>Perum. Batujajar Indah</t>
  </si>
  <si>
    <t>368</t>
  </si>
  <si>
    <t>18034637</t>
  </si>
  <si>
    <t>PIL</t>
  </si>
  <si>
    <t>Perum Puri Indah Lestari</t>
  </si>
  <si>
    <t>PILA</t>
  </si>
  <si>
    <t>11124670</t>
  </si>
  <si>
    <t>PILB</t>
  </si>
  <si>
    <t>11124642</t>
  </si>
  <si>
    <t>GKBA</t>
  </si>
  <si>
    <t>Graha Kencana Batujajar A</t>
  </si>
  <si>
    <t>1258</t>
  </si>
  <si>
    <t>163303962</t>
  </si>
  <si>
    <t>GKBB</t>
  </si>
  <si>
    <t>Graha Kencana Batujajar B</t>
  </si>
  <si>
    <t>1300</t>
  </si>
  <si>
    <t>1802941</t>
  </si>
  <si>
    <t>HRG</t>
  </si>
  <si>
    <t>Haur Ngambang</t>
  </si>
  <si>
    <t>MUTASI 03 2018</t>
  </si>
  <si>
    <t>HRGA</t>
  </si>
  <si>
    <t>2401601002-435</t>
  </si>
  <si>
    <t>BUR</t>
  </si>
  <si>
    <t>Bungur</t>
  </si>
  <si>
    <t>314</t>
  </si>
  <si>
    <t>BURA</t>
  </si>
  <si>
    <t>Bungur A</t>
  </si>
  <si>
    <t>29/3/22</t>
  </si>
  <si>
    <t>SBW</t>
  </si>
  <si>
    <t>SALUYU BUMI WANGSA</t>
  </si>
  <si>
    <t>25AFH00011</t>
  </si>
  <si>
    <t>PPR</t>
  </si>
  <si>
    <t>Plastic Rechicle</t>
  </si>
  <si>
    <t>311</t>
  </si>
  <si>
    <t>0633897</t>
  </si>
  <si>
    <t>LKS</t>
  </si>
  <si>
    <t>Lie Ko Siong</t>
  </si>
  <si>
    <t>316</t>
  </si>
  <si>
    <t>24R283341</t>
  </si>
  <si>
    <t>MJB</t>
  </si>
  <si>
    <t>MERAK JAYA BETON</t>
  </si>
  <si>
    <t>24R288519</t>
  </si>
  <si>
    <t>RMK</t>
  </si>
  <si>
    <t>Remaja Karya</t>
  </si>
  <si>
    <t>NSI</t>
  </si>
  <si>
    <t>New Sweet Indonesia</t>
  </si>
  <si>
    <t>GD535851643</t>
  </si>
  <si>
    <t>ASN</t>
  </si>
  <si>
    <t>Amindo Sinar Nusa</t>
  </si>
  <si>
    <t>152</t>
  </si>
  <si>
    <t>NGI</t>
  </si>
  <si>
    <t>Negla Sari</t>
  </si>
  <si>
    <t>365</t>
  </si>
  <si>
    <t>HND</t>
  </si>
  <si>
    <t>Hau Nyondol</t>
  </si>
  <si>
    <t>344</t>
  </si>
  <si>
    <t>HNDA</t>
  </si>
  <si>
    <t>Hau Nyondol A</t>
  </si>
  <si>
    <t>144</t>
  </si>
  <si>
    <t>16001410194086B</t>
  </si>
  <si>
    <t>Mutasi Agustus 2017</t>
  </si>
  <si>
    <t>HNDB</t>
  </si>
  <si>
    <t>Hau Nyondol B</t>
  </si>
  <si>
    <t>1002</t>
  </si>
  <si>
    <t>1803007</t>
  </si>
  <si>
    <t>30/05/2018</t>
  </si>
  <si>
    <t>KRN</t>
  </si>
  <si>
    <t>1016</t>
  </si>
  <si>
    <t>HNDC</t>
  </si>
  <si>
    <t>Hau Nyondol C</t>
  </si>
  <si>
    <t>1325</t>
  </si>
  <si>
    <t>1802818</t>
  </si>
  <si>
    <t>TRK</t>
  </si>
  <si>
    <t>TRIKA</t>
  </si>
  <si>
    <t>241810674</t>
  </si>
  <si>
    <t>PKMC</t>
  </si>
  <si>
    <t>PERUMAHAN KRIYA MAHACITRA</t>
  </si>
  <si>
    <t>24ADN00019</t>
  </si>
  <si>
    <t>BCP</t>
  </si>
  <si>
    <t>Bumi Cibingbin Permai</t>
  </si>
  <si>
    <t>094</t>
  </si>
  <si>
    <t>BCPA</t>
  </si>
  <si>
    <t>1273</t>
  </si>
  <si>
    <t>183303742</t>
  </si>
  <si>
    <t>MUTASI 07/10/20</t>
  </si>
  <si>
    <t>Operasi Juli 2017</t>
  </si>
  <si>
    <t>PTHC</t>
  </si>
  <si>
    <t>PT.Hybrid Chimical</t>
  </si>
  <si>
    <t>1313</t>
  </si>
  <si>
    <t>33180440099</t>
  </si>
  <si>
    <t>Operasi Maret 2019</t>
  </si>
  <si>
    <t>SLO</t>
  </si>
  <si>
    <t>Seke Loa</t>
  </si>
  <si>
    <t>379</t>
  </si>
  <si>
    <t>SCK</t>
  </si>
  <si>
    <t>Seke Cengek</t>
  </si>
  <si>
    <t>376</t>
  </si>
  <si>
    <t>SI NTRA</t>
  </si>
  <si>
    <t>PCLV</t>
  </si>
  <si>
    <t>Perumahan Cangkorah Lake View</t>
  </si>
  <si>
    <t>OP 20/04/2021</t>
  </si>
  <si>
    <t>GMTS</t>
  </si>
  <si>
    <t>Girimanik Tien Suhentin</t>
  </si>
  <si>
    <t>OP JULI 2021</t>
  </si>
  <si>
    <t>CLVA</t>
  </si>
  <si>
    <t>Perumahan Cangkorah Lake View A</t>
  </si>
  <si>
    <t>21.49.DO25.847</t>
  </si>
  <si>
    <t>SKO</t>
  </si>
  <si>
    <t>Seke Tando</t>
  </si>
  <si>
    <t>173303765</t>
  </si>
  <si>
    <t>Mutasi Agistus 2017</t>
  </si>
  <si>
    <t>CML</t>
  </si>
  <si>
    <t>Cimanglid</t>
  </si>
  <si>
    <t>321</t>
  </si>
  <si>
    <t>IAS</t>
  </si>
  <si>
    <t>Indonesia Anugerah Semesta</t>
  </si>
  <si>
    <t>983</t>
  </si>
  <si>
    <t>18141321</t>
  </si>
  <si>
    <t>TJA</t>
  </si>
  <si>
    <t xml:space="preserve">JUJUN TJAKLASANA </t>
  </si>
  <si>
    <t>CSP</t>
  </si>
  <si>
    <t>Ciseupan</t>
  </si>
  <si>
    <t>322</t>
  </si>
  <si>
    <t>1700181005</t>
  </si>
  <si>
    <t>CSPC</t>
  </si>
  <si>
    <t>Ciseupan C</t>
  </si>
  <si>
    <t>CSPA</t>
  </si>
  <si>
    <t>Ciseupan A</t>
  </si>
  <si>
    <t>333</t>
  </si>
  <si>
    <t>06132196</t>
  </si>
  <si>
    <t>CSPB</t>
  </si>
  <si>
    <t>Ciseupan B</t>
  </si>
  <si>
    <t>193307516</t>
  </si>
  <si>
    <t>OP APRIL 2021</t>
  </si>
  <si>
    <t>MPS</t>
  </si>
  <si>
    <t>Marlindo Perkasa</t>
  </si>
  <si>
    <t>140105C0112</t>
  </si>
  <si>
    <t>KJI</t>
  </si>
  <si>
    <t>Kramat Jati</t>
  </si>
  <si>
    <t>889</t>
  </si>
  <si>
    <t>50358</t>
  </si>
  <si>
    <t>GLK</t>
  </si>
  <si>
    <t>338</t>
  </si>
  <si>
    <t>153306632</t>
  </si>
  <si>
    <t>GKBC</t>
  </si>
  <si>
    <t>Graha Kencana Batujajar C</t>
  </si>
  <si>
    <t>240101002-147</t>
  </si>
  <si>
    <t>Operasi 28 Mei 2024</t>
  </si>
  <si>
    <t>GKB</t>
  </si>
  <si>
    <t>Graha Kencana Batujajar</t>
  </si>
  <si>
    <t>133312873</t>
  </si>
  <si>
    <t>KMX</t>
  </si>
  <si>
    <t xml:space="preserve">PT KOMAX SINAR UTAMA </t>
  </si>
  <si>
    <t>20200307U</t>
  </si>
  <si>
    <t>Mutasi tgl 15-03-2024</t>
  </si>
  <si>
    <t>SRY</t>
  </si>
  <si>
    <t>PD Surya</t>
  </si>
  <si>
    <t>342</t>
  </si>
  <si>
    <t>HRWY</t>
  </si>
  <si>
    <t>Hendra Wijaya</t>
  </si>
  <si>
    <t>1320</t>
  </si>
  <si>
    <t>1601715</t>
  </si>
  <si>
    <t>BAL</t>
  </si>
  <si>
    <t>Brata Adi Laksana</t>
  </si>
  <si>
    <t>CIPA</t>
  </si>
  <si>
    <t>CIPTA ADI PRADANA</t>
  </si>
  <si>
    <t>1194</t>
  </si>
  <si>
    <t>JAS</t>
  </si>
  <si>
    <t>JAYA ASIH PT</t>
  </si>
  <si>
    <t>1177</t>
  </si>
  <si>
    <t>153306546</t>
  </si>
  <si>
    <t>DUDU</t>
  </si>
  <si>
    <t>H. DUDU</t>
  </si>
  <si>
    <t>1253</t>
  </si>
  <si>
    <t>1605122</t>
  </si>
  <si>
    <t>BNB</t>
  </si>
  <si>
    <t>BUANA NUR BAROKAH</t>
  </si>
  <si>
    <t>1221</t>
  </si>
  <si>
    <t>GLNG</t>
  </si>
  <si>
    <t>Sinar Jaya</t>
  </si>
  <si>
    <t>381</t>
  </si>
  <si>
    <t>1203159</t>
  </si>
  <si>
    <t>MUTASI TANGGAL 9/5/2019</t>
  </si>
  <si>
    <t>SNJC</t>
  </si>
  <si>
    <t>Sinar Jaya C</t>
  </si>
  <si>
    <t>007009523</t>
  </si>
  <si>
    <t>SNJA</t>
  </si>
  <si>
    <t>Sinar JayaA</t>
  </si>
  <si>
    <t>KBPA</t>
  </si>
  <si>
    <t>Komp. Blok Para A</t>
  </si>
  <si>
    <t>384</t>
  </si>
  <si>
    <t>1501662</t>
  </si>
  <si>
    <t>DPA</t>
  </si>
  <si>
    <t>Dungus Purna</t>
  </si>
  <si>
    <t>330</t>
  </si>
  <si>
    <t>1189157</t>
  </si>
  <si>
    <t>DPAB</t>
  </si>
  <si>
    <t>Dungus Purna B</t>
  </si>
  <si>
    <t>143</t>
  </si>
  <si>
    <t>74083</t>
  </si>
  <si>
    <t>DPAC</t>
  </si>
  <si>
    <t>Dungus Purna C</t>
  </si>
  <si>
    <t>07010086</t>
  </si>
  <si>
    <t>MUTASI TANGGAL 17/09/2019</t>
  </si>
  <si>
    <t>GLG</t>
  </si>
  <si>
    <t>Galanggang</t>
  </si>
  <si>
    <t>337</t>
  </si>
  <si>
    <t>1607545</t>
  </si>
  <si>
    <t>GLGA</t>
  </si>
  <si>
    <t>1203</t>
  </si>
  <si>
    <t>PJR</t>
  </si>
  <si>
    <t>Pajajaran</t>
  </si>
  <si>
    <t>369</t>
  </si>
  <si>
    <t>25R89862</t>
  </si>
  <si>
    <t>PVTB</t>
  </si>
  <si>
    <t>Perumahan Taman Vellag Batujajar</t>
  </si>
  <si>
    <t>PPBJ</t>
  </si>
  <si>
    <t>Perumahan Pesona Bintang Batujajar</t>
  </si>
  <si>
    <t>1318</t>
  </si>
  <si>
    <t>184302611</t>
  </si>
  <si>
    <t>OP APR 2019</t>
  </si>
  <si>
    <t>PBNL</t>
  </si>
  <si>
    <t>Perum Bumi Nursantosa Lestari</t>
  </si>
  <si>
    <t>OP 13/4/23</t>
  </si>
  <si>
    <t>PNB</t>
  </si>
  <si>
    <t>Pangauban</t>
  </si>
  <si>
    <t>370</t>
  </si>
  <si>
    <t>173303568</t>
  </si>
  <si>
    <t>PNBA</t>
  </si>
  <si>
    <t>Pangauban A</t>
  </si>
  <si>
    <t>KSP</t>
  </si>
  <si>
    <t>354</t>
  </si>
  <si>
    <t>PCHR</t>
  </si>
  <si>
    <t>Perumahan Cihuripan Residence</t>
  </si>
  <si>
    <t>1297</t>
  </si>
  <si>
    <t>PPSA</t>
  </si>
  <si>
    <t>Perumahan Pangauban Silih Asih</t>
  </si>
  <si>
    <t>1198</t>
  </si>
  <si>
    <t>151205C 0433</t>
  </si>
  <si>
    <t>PPSB</t>
  </si>
  <si>
    <t>1265</t>
  </si>
  <si>
    <t>1610804</t>
  </si>
  <si>
    <t>Operasi Maret 2017</t>
  </si>
  <si>
    <t>PPSC</t>
  </si>
  <si>
    <t>1278</t>
  </si>
  <si>
    <t>PPSD</t>
  </si>
  <si>
    <t>24R83401</t>
  </si>
  <si>
    <t>PPSE</t>
  </si>
  <si>
    <t>Perumahan Pangauban Silih Asih E</t>
  </si>
  <si>
    <t>26ADN00122</t>
  </si>
  <si>
    <t>SNJP</t>
  </si>
  <si>
    <t>Sinar Jaya Permai</t>
  </si>
  <si>
    <t>1276</t>
  </si>
  <si>
    <t>174310855</t>
  </si>
  <si>
    <t>mwti</t>
  </si>
  <si>
    <t>SLCU</t>
  </si>
  <si>
    <t>SLUP</t>
  </si>
  <si>
    <t>Sela Cau</t>
  </si>
  <si>
    <t>380</t>
  </si>
  <si>
    <t>1800181043-056</t>
  </si>
  <si>
    <t>Daya</t>
  </si>
  <si>
    <t>Jml</t>
  </si>
  <si>
    <t>SLUA</t>
  </si>
  <si>
    <t>Sela Cau A</t>
  </si>
  <si>
    <t>Perumahan Kopkar Regency</t>
  </si>
  <si>
    <t>240101002-131</t>
  </si>
  <si>
    <t>Operasi 1 6 Mei 2024</t>
  </si>
  <si>
    <t>GWI</t>
  </si>
  <si>
    <t>Giri Wangi</t>
  </si>
  <si>
    <t>340</t>
  </si>
  <si>
    <t>04002493</t>
  </si>
  <si>
    <t>GWIA</t>
  </si>
  <si>
    <t>199</t>
  </si>
  <si>
    <t>GWIB</t>
  </si>
  <si>
    <t>1204</t>
  </si>
  <si>
    <t>12063513</t>
  </si>
  <si>
    <t>GNDK</t>
  </si>
  <si>
    <t>SLC</t>
  </si>
  <si>
    <t>378</t>
  </si>
  <si>
    <t>1002531022040</t>
  </si>
  <si>
    <t>CPTK</t>
  </si>
  <si>
    <t>SLCA</t>
  </si>
  <si>
    <t>8310125</t>
  </si>
  <si>
    <t>SLCB</t>
  </si>
  <si>
    <t>Sela Cau B</t>
  </si>
  <si>
    <t>SENYANG</t>
  </si>
  <si>
    <t>OP OKT 22</t>
  </si>
  <si>
    <t>REKAP GARDU</t>
  </si>
  <si>
    <t>PLN</t>
  </si>
  <si>
    <t>Total Daya</t>
  </si>
  <si>
    <t>WILAYAH KERJA</t>
  </si>
  <si>
    <t>JML</t>
  </si>
  <si>
    <t>UMUM</t>
  </si>
  <si>
    <t>TOTAL</t>
  </si>
  <si>
    <t>CAMPURAN</t>
  </si>
  <si>
    <t>pgp</t>
  </si>
  <si>
    <t>KIOS</t>
  </si>
  <si>
    <t>PCC</t>
  </si>
  <si>
    <t>OT</t>
  </si>
  <si>
    <t>PELANGGAN</t>
  </si>
  <si>
    <t>slcu</t>
  </si>
  <si>
    <t>NAP</t>
  </si>
  <si>
    <t>glng</t>
  </si>
  <si>
    <t xml:space="preserve"> </t>
  </si>
  <si>
    <t>prby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</si>
</sst>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name val="Comic Sans MS"/>
      <family val="4"/>
    </font>
    <font>
      <sz val="10"/>
      <name val="Arial"/>
      <family val="2"/>
    </font>
    <font>
      <sz val="10"/>
      <name val="Tahoma"/>
      <family val="2"/>
    </font>
    <font>
      <b/>
      <sz val="9"/>
      <name val="Tahoma"/>
      <family val="2"/>
    </font>
    <font>
      <sz val="9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230">
    <xf numFmtId="0" fontId="0" fillId="0" borderId="0" xfId="0"/>
    <xf numFmtId="1" fontId="2" fillId="0" borderId="0" xfId="1" applyNumberFormat="1" applyAlignment="1">
      <alignment horizontal="center" vertical="center"/>
    </xf>
    <xf numFmtId="0" fontId="2" fillId="0" borderId="0" xfId="1" applyAlignment="1">
      <alignment horizontal="center" vertical="center"/>
    </xf>
    <xf numFmtId="49" fontId="2" fillId="0" borderId="0" xfId="1" applyNumberFormat="1" applyAlignment="1">
      <alignment horizontal="center" vertical="center"/>
    </xf>
    <xf numFmtId="0" fontId="2" fillId="0" borderId="0" xfId="1" applyAlignment="1">
      <alignment horizontal="left" vertical="center"/>
    </xf>
    <xf numFmtId="0" fontId="2" fillId="0" borderId="0" xfId="1" applyAlignment="1">
      <alignment horizontal="center"/>
    </xf>
    <xf numFmtId="0" fontId="2" fillId="0" borderId="0" xfId="1"/>
    <xf numFmtId="0" fontId="4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6" fillId="0" borderId="1" xfId="1" applyFont="1" applyBorder="1" applyAlignment="1">
      <alignment horizontal="center"/>
    </xf>
    <xf numFmtId="0" fontId="2" fillId="0" borderId="1" xfId="1" applyBorder="1" applyAlignment="1">
      <alignment horizontal="left" vertical="center"/>
    </xf>
    <xf numFmtId="0" fontId="2" fillId="0" borderId="1" xfId="1" quotePrefix="1" applyBorder="1" applyAlignment="1">
      <alignment horizontal="center" vertical="center"/>
    </xf>
    <xf numFmtId="49" fontId="2" fillId="0" borderId="0" xfId="1" applyNumberFormat="1"/>
    <xf numFmtId="49" fontId="2" fillId="0" borderId="1" xfId="1" applyNumberFormat="1" applyBorder="1" applyAlignment="1">
      <alignment horizontal="center" vertical="center"/>
    </xf>
    <xf numFmtId="0" fontId="2" fillId="0" borderId="1" xfId="1" applyBorder="1" applyAlignment="1">
      <alignment horizontal="center"/>
    </xf>
    <xf numFmtId="49" fontId="2" fillId="0" borderId="1" xfId="1" applyNumberFormat="1" applyBorder="1" applyAlignment="1">
      <alignment horizontal="center"/>
    </xf>
    <xf numFmtId="0" fontId="2" fillId="3" borderId="1" xfId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/>
    </xf>
    <xf numFmtId="0" fontId="2" fillId="3" borderId="1" xfId="1" applyFill="1" applyBorder="1" applyAlignment="1">
      <alignment horizontal="left" vertical="center"/>
    </xf>
    <xf numFmtId="0" fontId="2" fillId="3" borderId="1" xfId="1" quotePrefix="1" applyFill="1" applyBorder="1" applyAlignment="1">
      <alignment horizontal="center" vertical="center"/>
    </xf>
    <xf numFmtId="0" fontId="2" fillId="3" borderId="1" xfId="1" applyFill="1" applyBorder="1" applyAlignment="1">
      <alignment horizontal="center"/>
    </xf>
    <xf numFmtId="49" fontId="2" fillId="3" borderId="0" xfId="1" applyNumberFormat="1" applyFill="1"/>
    <xf numFmtId="49" fontId="2" fillId="3" borderId="1" xfId="1" applyNumberFormat="1" applyFill="1" applyBorder="1" applyAlignment="1">
      <alignment horizontal="center"/>
    </xf>
    <xf numFmtId="0" fontId="6" fillId="0" borderId="2" xfId="1" applyFont="1" applyBorder="1" applyAlignment="1">
      <alignment horizontal="center" vertical="center"/>
    </xf>
    <xf numFmtId="0" fontId="2" fillId="0" borderId="2" xfId="1" applyBorder="1" applyAlignment="1">
      <alignment horizontal="center" vertical="center"/>
    </xf>
    <xf numFmtId="0" fontId="2" fillId="0" borderId="2" xfId="1" applyBorder="1" applyAlignment="1">
      <alignment horizontal="left" vertical="center"/>
    </xf>
    <xf numFmtId="0" fontId="2" fillId="0" borderId="2" xfId="1" quotePrefix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2" fillId="4" borderId="3" xfId="1" applyFill="1" applyBorder="1" applyAlignment="1">
      <alignment horizontal="left" vertical="center"/>
    </xf>
    <xf numFmtId="0" fontId="2" fillId="5" borderId="1" xfId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center"/>
    </xf>
    <xf numFmtId="0" fontId="2" fillId="5" borderId="1" xfId="1" applyFill="1" applyBorder="1" applyAlignment="1">
      <alignment horizontal="left" vertical="center"/>
    </xf>
    <xf numFmtId="0" fontId="2" fillId="5" borderId="1" xfId="1" quotePrefix="1" applyFill="1" applyBorder="1" applyAlignment="1">
      <alignment horizontal="center" vertical="center"/>
    </xf>
    <xf numFmtId="0" fontId="2" fillId="5" borderId="1" xfId="1" applyFill="1" applyBorder="1" applyAlignment="1">
      <alignment horizontal="center"/>
    </xf>
    <xf numFmtId="49" fontId="2" fillId="5" borderId="0" xfId="1" applyNumberFormat="1" applyFill="1"/>
    <xf numFmtId="49" fontId="2" fillId="5" borderId="1" xfId="1" applyNumberFormat="1" applyFill="1" applyBorder="1" applyAlignment="1">
      <alignment horizontal="center"/>
    </xf>
    <xf numFmtId="0" fontId="2" fillId="6" borderId="1" xfId="1" applyFill="1" applyBorder="1" applyAlignment="1">
      <alignment horizontal="center" vertical="center"/>
    </xf>
    <xf numFmtId="0" fontId="6" fillId="6" borderId="1" xfId="1" applyFont="1" applyFill="1" applyBorder="1" applyAlignment="1">
      <alignment horizontal="center"/>
    </xf>
    <xf numFmtId="0" fontId="2" fillId="6" borderId="1" xfId="1" applyFill="1" applyBorder="1" applyAlignment="1">
      <alignment horizontal="left" vertical="center"/>
    </xf>
    <xf numFmtId="0" fontId="2" fillId="6" borderId="1" xfId="1" quotePrefix="1" applyFill="1" applyBorder="1" applyAlignment="1">
      <alignment horizontal="center" vertical="center"/>
    </xf>
    <xf numFmtId="0" fontId="2" fillId="6" borderId="1" xfId="1" applyFill="1" applyBorder="1" applyAlignment="1">
      <alignment horizontal="center"/>
    </xf>
    <xf numFmtId="49" fontId="2" fillId="6" borderId="0" xfId="1" applyNumberFormat="1" applyFill="1"/>
    <xf numFmtId="49" fontId="2" fillId="6" borderId="1" xfId="1" applyNumberFormat="1" applyFill="1" applyBorder="1" applyAlignment="1">
      <alignment horizontal="center"/>
    </xf>
    <xf numFmtId="0" fontId="2" fillId="0" borderId="2" xfId="1" applyBorder="1" applyAlignment="1">
      <alignment vertical="center"/>
    </xf>
    <xf numFmtId="0" fontId="2" fillId="0" borderId="2" xfId="1" applyBorder="1"/>
    <xf numFmtId="49" fontId="2" fillId="0" borderId="2" xfId="1" applyNumberFormat="1" applyBorder="1"/>
    <xf numFmtId="0" fontId="2" fillId="0" borderId="3" xfId="1" applyBorder="1" applyAlignment="1">
      <alignment horizontal="center" vertical="center"/>
    </xf>
    <xf numFmtId="0" fontId="2" fillId="0" borderId="3" xfId="1" applyBorder="1" applyAlignment="1">
      <alignment vertical="center"/>
    </xf>
    <xf numFmtId="0" fontId="2" fillId="0" borderId="3" xfId="1" applyBorder="1"/>
    <xf numFmtId="49" fontId="2" fillId="0" borderId="3" xfId="1" applyNumberFormat="1" applyBorder="1"/>
    <xf numFmtId="0" fontId="2" fillId="7" borderId="1" xfId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/>
    </xf>
    <xf numFmtId="0" fontId="2" fillId="7" borderId="1" xfId="1" applyFill="1" applyBorder="1" applyAlignment="1">
      <alignment horizontal="left" vertical="center"/>
    </xf>
    <xf numFmtId="49" fontId="2" fillId="7" borderId="1" xfId="1" applyNumberFormat="1" applyFill="1" applyBorder="1" applyAlignment="1">
      <alignment horizontal="center" vertical="center"/>
    </xf>
    <xf numFmtId="0" fontId="2" fillId="7" borderId="1" xfId="1" applyFill="1" applyBorder="1" applyAlignment="1">
      <alignment horizontal="center"/>
    </xf>
    <xf numFmtId="49" fontId="2" fillId="7" borderId="0" xfId="1" applyNumberFormat="1" applyFill="1"/>
    <xf numFmtId="49" fontId="2" fillId="7" borderId="1" xfId="1" applyNumberFormat="1" applyFill="1" applyBorder="1" applyAlignment="1">
      <alignment horizontal="center"/>
    </xf>
    <xf numFmtId="0" fontId="6" fillId="6" borderId="2" xfId="1" applyFont="1" applyFill="1" applyBorder="1" applyAlignment="1">
      <alignment horizontal="center" vertical="center"/>
    </xf>
    <xf numFmtId="0" fontId="2" fillId="6" borderId="2" xfId="1" applyFill="1" applyBorder="1" applyAlignment="1">
      <alignment horizontal="center" vertical="center"/>
    </xf>
    <xf numFmtId="0" fontId="2" fillId="6" borderId="2" xfId="1" applyFill="1" applyBorder="1" applyAlignment="1">
      <alignment horizontal="left" vertical="center"/>
    </xf>
    <xf numFmtId="0" fontId="2" fillId="8" borderId="3" xfId="1" applyFill="1" applyBorder="1" applyAlignment="1">
      <alignment horizontal="center" vertical="center"/>
    </xf>
    <xf numFmtId="0" fontId="6" fillId="8" borderId="1" xfId="1" applyFont="1" applyFill="1" applyBorder="1" applyAlignment="1">
      <alignment horizontal="center"/>
    </xf>
    <xf numFmtId="0" fontId="2" fillId="8" borderId="1" xfId="1" applyFill="1" applyBorder="1" applyAlignment="1">
      <alignment horizontal="center" vertical="center"/>
    </xf>
    <xf numFmtId="0" fontId="2" fillId="8" borderId="2" xfId="1" applyFill="1" applyBorder="1" applyAlignment="1">
      <alignment horizontal="left" vertical="center"/>
    </xf>
    <xf numFmtId="49" fontId="2" fillId="8" borderId="1" xfId="1" applyNumberFormat="1" applyFill="1" applyBorder="1" applyAlignment="1">
      <alignment horizontal="center" vertical="center"/>
    </xf>
    <xf numFmtId="0" fontId="2" fillId="8" borderId="1" xfId="1" applyFill="1" applyBorder="1" applyAlignment="1">
      <alignment horizontal="center"/>
    </xf>
    <xf numFmtId="49" fontId="2" fillId="8" borderId="0" xfId="1" applyNumberFormat="1" applyFill="1"/>
    <xf numFmtId="49" fontId="2" fillId="8" borderId="1" xfId="1" applyNumberFormat="1" applyFill="1" applyBorder="1" applyAlignment="1">
      <alignment horizontal="center"/>
    </xf>
    <xf numFmtId="0" fontId="2" fillId="6" borderId="2" xfId="1" quotePrefix="1" applyFill="1" applyBorder="1" applyAlignment="1">
      <alignment horizontal="center" vertical="center"/>
    </xf>
    <xf numFmtId="0" fontId="2" fillId="9" borderId="1" xfId="1" applyFill="1" applyBorder="1" applyAlignment="1">
      <alignment horizontal="center" vertical="center"/>
    </xf>
    <xf numFmtId="0" fontId="6" fillId="9" borderId="1" xfId="1" applyFont="1" applyFill="1" applyBorder="1" applyAlignment="1">
      <alignment horizontal="center"/>
    </xf>
    <xf numFmtId="0" fontId="2" fillId="9" borderId="1" xfId="1" applyFill="1" applyBorder="1" applyAlignment="1">
      <alignment horizontal="left" vertical="center"/>
    </xf>
    <xf numFmtId="0" fontId="2" fillId="9" borderId="1" xfId="1" quotePrefix="1" applyFill="1" applyBorder="1" applyAlignment="1">
      <alignment horizontal="center" vertical="center"/>
    </xf>
    <xf numFmtId="0" fontId="2" fillId="9" borderId="1" xfId="1" applyFill="1" applyBorder="1" applyAlignment="1">
      <alignment horizontal="center"/>
    </xf>
    <xf numFmtId="49" fontId="2" fillId="9" borderId="0" xfId="1" applyNumberFormat="1" applyFill="1"/>
    <xf numFmtId="49" fontId="2" fillId="9" borderId="1" xfId="1" applyNumberFormat="1" applyFill="1" applyBorder="1" applyAlignment="1">
      <alignment horizontal="center"/>
    </xf>
    <xf numFmtId="0" fontId="2" fillId="5" borderId="2" xfId="1" applyFill="1" applyBorder="1" applyAlignment="1">
      <alignment horizontal="center" vertical="center"/>
    </xf>
    <xf numFmtId="0" fontId="6" fillId="5" borderId="2" xfId="1" applyFont="1" applyFill="1" applyBorder="1" applyAlignment="1">
      <alignment horizontal="center" vertical="center"/>
    </xf>
    <xf numFmtId="0" fontId="2" fillId="5" borderId="2" xfId="1" applyFill="1" applyBorder="1" applyAlignment="1">
      <alignment horizontal="left" vertical="center"/>
    </xf>
    <xf numFmtId="0" fontId="2" fillId="5" borderId="3" xfId="1" applyFill="1" applyBorder="1" applyAlignment="1">
      <alignment horizontal="center" vertical="center"/>
    </xf>
    <xf numFmtId="0" fontId="6" fillId="5" borderId="3" xfId="1" applyFont="1" applyFill="1" applyBorder="1" applyAlignment="1">
      <alignment horizontal="center" vertical="center"/>
    </xf>
    <xf numFmtId="0" fontId="2" fillId="5" borderId="3" xfId="1" applyFill="1" applyBorder="1" applyAlignment="1">
      <alignment horizontal="left" vertical="center"/>
    </xf>
    <xf numFmtId="0" fontId="2" fillId="7" borderId="1" xfId="1" quotePrefix="1" applyFill="1" applyBorder="1" applyAlignment="1">
      <alignment horizontal="center" vertical="center"/>
    </xf>
    <xf numFmtId="0" fontId="2" fillId="5" borderId="2" xfId="1" quotePrefix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2" fillId="10" borderId="1" xfId="1" applyFill="1" applyBorder="1" applyAlignment="1">
      <alignment horizontal="center" vertical="center"/>
    </xf>
    <xf numFmtId="0" fontId="6" fillId="10" borderId="1" xfId="1" applyFont="1" applyFill="1" applyBorder="1" applyAlignment="1">
      <alignment horizontal="center"/>
    </xf>
    <xf numFmtId="0" fontId="2" fillId="10" borderId="1" xfId="1" applyFill="1" applyBorder="1" applyAlignment="1">
      <alignment horizontal="left" vertical="center"/>
    </xf>
    <xf numFmtId="0" fontId="2" fillId="10" borderId="1" xfId="1" quotePrefix="1" applyFill="1" applyBorder="1" applyAlignment="1">
      <alignment horizontal="center" vertical="center"/>
    </xf>
    <xf numFmtId="0" fontId="2" fillId="10" borderId="1" xfId="1" applyFill="1" applyBorder="1" applyAlignment="1">
      <alignment horizontal="center"/>
    </xf>
    <xf numFmtId="49" fontId="2" fillId="10" borderId="0" xfId="1" applyNumberFormat="1" applyFill="1"/>
    <xf numFmtId="49" fontId="2" fillId="10" borderId="1" xfId="1" applyNumberFormat="1" applyFill="1" applyBorder="1" applyAlignment="1">
      <alignment horizontal="center"/>
    </xf>
    <xf numFmtId="0" fontId="2" fillId="11" borderId="1" xfId="1" applyFill="1" applyBorder="1" applyAlignment="1">
      <alignment horizontal="center" vertical="center"/>
    </xf>
    <xf numFmtId="0" fontId="6" fillId="11" borderId="1" xfId="1" applyFont="1" applyFill="1" applyBorder="1" applyAlignment="1">
      <alignment horizontal="center"/>
    </xf>
    <xf numFmtId="0" fontId="2" fillId="11" borderId="1" xfId="1" applyFill="1" applyBorder="1" applyAlignment="1">
      <alignment horizontal="left" vertical="center"/>
    </xf>
    <xf numFmtId="0" fontId="2" fillId="11" borderId="1" xfId="1" applyFill="1" applyBorder="1" applyAlignment="1">
      <alignment horizontal="center"/>
    </xf>
    <xf numFmtId="49" fontId="2" fillId="11" borderId="0" xfId="1" applyNumberFormat="1" applyFill="1"/>
    <xf numFmtId="49" fontId="2" fillId="11" borderId="1" xfId="1" applyNumberFormat="1" applyFill="1" applyBorder="1" applyAlignment="1">
      <alignment horizontal="center"/>
    </xf>
    <xf numFmtId="0" fontId="6" fillId="12" borderId="1" xfId="1" applyFont="1" applyFill="1" applyBorder="1" applyAlignment="1">
      <alignment horizontal="center"/>
    </xf>
    <xf numFmtId="0" fontId="2" fillId="12" borderId="1" xfId="1" applyFill="1" applyBorder="1" applyAlignment="1">
      <alignment horizontal="center" vertical="center"/>
    </xf>
    <xf numFmtId="0" fontId="2" fillId="12" borderId="1" xfId="1" applyFill="1" applyBorder="1" applyAlignment="1">
      <alignment horizontal="left" vertical="center"/>
    </xf>
    <xf numFmtId="0" fontId="4" fillId="0" borderId="1" xfId="1" applyFont="1" applyBorder="1"/>
    <xf numFmtId="0" fontId="2" fillId="11" borderId="1" xfId="1" quotePrefix="1" applyFill="1" applyBorder="1" applyAlignment="1">
      <alignment horizontal="center" vertical="center"/>
    </xf>
    <xf numFmtId="49" fontId="2" fillId="6" borderId="1" xfId="1" applyNumberFormat="1" applyFill="1" applyBorder="1" applyAlignment="1">
      <alignment horizontal="center" vertical="center"/>
    </xf>
    <xf numFmtId="0" fontId="2" fillId="0" borderId="3" xfId="1" applyBorder="1" applyAlignment="1">
      <alignment horizontal="left" vertical="center"/>
    </xf>
    <xf numFmtId="0" fontId="2" fillId="0" borderId="3" xfId="1" quotePrefix="1" applyBorder="1" applyAlignment="1">
      <alignment horizontal="center" vertical="center"/>
    </xf>
    <xf numFmtId="0" fontId="7" fillId="0" borderId="4" xfId="1" applyFont="1" applyBorder="1" applyAlignment="1">
      <alignment horizontal="center"/>
    </xf>
    <xf numFmtId="0" fontId="8" fillId="0" borderId="4" xfId="1" applyFont="1" applyBorder="1" applyAlignment="1">
      <alignment horizontal="center"/>
    </xf>
    <xf numFmtId="0" fontId="2" fillId="13" borderId="1" xfId="1" applyFill="1" applyBorder="1" applyAlignment="1">
      <alignment horizontal="center" vertical="center"/>
    </xf>
    <xf numFmtId="0" fontId="6" fillId="13" borderId="1" xfId="1" applyFont="1" applyFill="1" applyBorder="1" applyAlignment="1">
      <alignment horizontal="center"/>
    </xf>
    <xf numFmtId="0" fontId="2" fillId="13" borderId="1" xfId="1" applyFill="1" applyBorder="1" applyAlignment="1">
      <alignment horizontal="left" vertical="center"/>
    </xf>
    <xf numFmtId="0" fontId="2" fillId="13" borderId="1" xfId="1" applyFill="1" applyBorder="1" applyAlignment="1">
      <alignment horizontal="center"/>
    </xf>
    <xf numFmtId="49" fontId="2" fillId="13" borderId="0" xfId="1" applyNumberFormat="1" applyFill="1"/>
    <xf numFmtId="49" fontId="2" fillId="13" borderId="1" xfId="1" applyNumberFormat="1" applyFill="1" applyBorder="1" applyAlignment="1">
      <alignment horizontal="center"/>
    </xf>
    <xf numFmtId="49" fontId="2" fillId="11" borderId="1" xfId="1" applyNumberFormat="1" applyFill="1" applyBorder="1" applyAlignment="1">
      <alignment horizontal="center" vertical="center"/>
    </xf>
    <xf numFmtId="0" fontId="2" fillId="14" borderId="1" xfId="1" applyFill="1" applyBorder="1" applyAlignment="1">
      <alignment horizontal="center" vertical="center"/>
    </xf>
    <xf numFmtId="0" fontId="6" fillId="14" borderId="1" xfId="1" applyFont="1" applyFill="1" applyBorder="1" applyAlignment="1">
      <alignment horizontal="center"/>
    </xf>
    <xf numFmtId="0" fontId="2" fillId="14" borderId="1" xfId="1" applyFill="1" applyBorder="1" applyAlignment="1">
      <alignment horizontal="left" vertical="center"/>
    </xf>
    <xf numFmtId="0" fontId="2" fillId="14" borderId="1" xfId="1" quotePrefix="1" applyFill="1" applyBorder="1" applyAlignment="1">
      <alignment horizontal="center" vertical="center"/>
    </xf>
    <xf numFmtId="0" fontId="2" fillId="14" borderId="1" xfId="1" applyFill="1" applyBorder="1" applyAlignment="1">
      <alignment horizontal="center"/>
    </xf>
    <xf numFmtId="49" fontId="2" fillId="14" borderId="0" xfId="1" applyNumberFormat="1" applyFill="1"/>
    <xf numFmtId="49" fontId="2" fillId="14" borderId="1" xfId="1" applyNumberFormat="1" applyFill="1" applyBorder="1" applyAlignment="1">
      <alignment horizontal="center"/>
    </xf>
    <xf numFmtId="0" fontId="2" fillId="13" borderId="1" xfId="1" quotePrefix="1" applyFill="1" applyBorder="1" applyAlignment="1">
      <alignment horizontal="center" vertical="center"/>
    </xf>
    <xf numFmtId="49" fontId="2" fillId="13" borderId="1" xfId="1" applyNumberFormat="1" applyFill="1" applyBorder="1" applyAlignment="1">
      <alignment horizontal="center" vertical="center"/>
    </xf>
    <xf numFmtId="0" fontId="6" fillId="13" borderId="1" xfId="1" applyFont="1" applyFill="1" applyBorder="1" applyAlignment="1">
      <alignment horizontal="center" vertical="center"/>
    </xf>
    <xf numFmtId="0" fontId="3" fillId="13" borderId="1" xfId="1" applyFont="1" applyFill="1" applyBorder="1" applyAlignment="1">
      <alignment horizontal="center" vertical="center"/>
    </xf>
    <xf numFmtId="0" fontId="0" fillId="11" borderId="4" xfId="0" applyFill="1" applyBorder="1" applyAlignment="1">
      <alignment horizontal="center"/>
    </xf>
    <xf numFmtId="0" fontId="1" fillId="11" borderId="1" xfId="1" applyFont="1" applyFill="1" applyBorder="1" applyAlignment="1">
      <alignment horizontal="center" vertical="center"/>
    </xf>
    <xf numFmtId="0" fontId="1" fillId="11" borderId="1" xfId="1" applyFont="1" applyFill="1" applyBorder="1" applyAlignment="1">
      <alignment horizontal="center"/>
    </xf>
    <xf numFmtId="49" fontId="1" fillId="11" borderId="1" xfId="1" applyNumberFormat="1" applyFont="1" applyFill="1" applyBorder="1" applyAlignment="1">
      <alignment horizontal="center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left" vertical="center"/>
    </xf>
    <xf numFmtId="0" fontId="1" fillId="0" borderId="1" xfId="1" quotePrefix="1" applyFont="1" applyBorder="1" applyAlignment="1">
      <alignment horizontal="center" vertical="center"/>
    </xf>
    <xf numFmtId="0" fontId="1" fillId="0" borderId="1" xfId="1" applyFont="1" applyBorder="1" applyAlignment="1">
      <alignment horizontal="center"/>
    </xf>
    <xf numFmtId="49" fontId="1" fillId="0" borderId="1" xfId="1" applyNumberFormat="1" applyFont="1" applyBorder="1" applyAlignment="1">
      <alignment horizontal="center"/>
    </xf>
    <xf numFmtId="49" fontId="1" fillId="0" borderId="1" xfId="1" applyNumberFormat="1" applyFont="1" applyBorder="1" applyAlignment="1">
      <alignment horizontal="center" vertical="center"/>
    </xf>
    <xf numFmtId="0" fontId="1" fillId="11" borderId="1" xfId="1" applyFont="1" applyFill="1" applyBorder="1" applyAlignment="1">
      <alignment horizontal="left" vertical="center"/>
    </xf>
    <xf numFmtId="0" fontId="1" fillId="11" borderId="1" xfId="1" quotePrefix="1" applyFont="1" applyFill="1" applyBorder="1" applyAlignment="1">
      <alignment horizontal="center" vertical="center"/>
    </xf>
    <xf numFmtId="0" fontId="1" fillId="10" borderId="1" xfId="1" applyFont="1" applyFill="1" applyBorder="1" applyAlignment="1">
      <alignment horizontal="center" vertical="center"/>
    </xf>
    <xf numFmtId="0" fontId="1" fillId="10" borderId="1" xfId="1" applyFont="1" applyFill="1" applyBorder="1" applyAlignment="1">
      <alignment horizontal="left" vertical="center"/>
    </xf>
    <xf numFmtId="0" fontId="1" fillId="10" borderId="1" xfId="1" applyFont="1" applyFill="1" applyBorder="1" applyAlignment="1">
      <alignment horizontal="center"/>
    </xf>
    <xf numFmtId="49" fontId="1" fillId="10" borderId="1" xfId="1" applyNumberFormat="1" applyFont="1" applyFill="1" applyBorder="1" applyAlignment="1">
      <alignment horizontal="center"/>
    </xf>
    <xf numFmtId="0" fontId="1" fillId="0" borderId="1" xfId="2" applyBorder="1" applyAlignment="1">
      <alignment horizontal="center" vertical="center"/>
    </xf>
    <xf numFmtId="0" fontId="7" fillId="0" borderId="1" xfId="1" applyFont="1" applyBorder="1" applyAlignment="1">
      <alignment horizontal="center"/>
    </xf>
    <xf numFmtId="0" fontId="7" fillId="0" borderId="1" xfId="1" applyFont="1" applyBorder="1"/>
    <xf numFmtId="1" fontId="1" fillId="0" borderId="1" xfId="1" applyNumberFormat="1" applyFont="1" applyBorder="1" applyAlignment="1">
      <alignment horizontal="center" vertical="center"/>
    </xf>
    <xf numFmtId="0" fontId="9" fillId="11" borderId="4" xfId="0" applyFont="1" applyFill="1" applyBorder="1" applyAlignment="1">
      <alignment horizontal="center"/>
    </xf>
    <xf numFmtId="49" fontId="2" fillId="11" borderId="0" xfId="1" applyNumberFormat="1" applyFill="1" applyAlignment="1">
      <alignment horizontal="center"/>
    </xf>
    <xf numFmtId="49" fontId="1" fillId="11" borderId="1" xfId="1" applyNumberFormat="1" applyFont="1" applyFill="1" applyBorder="1" applyAlignment="1">
      <alignment horizontal="center" vertical="center"/>
    </xf>
    <xf numFmtId="0" fontId="1" fillId="0" borderId="1" xfId="3" applyBorder="1" applyAlignment="1">
      <alignment horizontal="center" vertical="center"/>
    </xf>
    <xf numFmtId="0" fontId="6" fillId="0" borderId="5" xfId="1" applyFont="1" applyBorder="1" applyAlignment="1">
      <alignment horizontal="center"/>
    </xf>
    <xf numFmtId="0" fontId="1" fillId="5" borderId="1" xfId="1" applyFont="1" applyFill="1" applyBorder="1" applyAlignment="1">
      <alignment horizontal="center" vertical="center"/>
    </xf>
    <xf numFmtId="0" fontId="1" fillId="5" borderId="1" xfId="1" applyFont="1" applyFill="1" applyBorder="1" applyAlignment="1">
      <alignment horizontal="left" vertical="center"/>
    </xf>
    <xf numFmtId="0" fontId="1" fillId="5" borderId="1" xfId="1" quotePrefix="1" applyFont="1" applyFill="1" applyBorder="1" applyAlignment="1">
      <alignment horizontal="center" vertical="center"/>
    </xf>
    <xf numFmtId="0" fontId="1" fillId="5" borderId="1" xfId="1" applyFont="1" applyFill="1" applyBorder="1" applyAlignment="1">
      <alignment horizontal="center"/>
    </xf>
    <xf numFmtId="49" fontId="1" fillId="5" borderId="1" xfId="1" applyNumberFormat="1" applyFont="1" applyFill="1" applyBorder="1" applyAlignment="1">
      <alignment horizontal="center"/>
    </xf>
    <xf numFmtId="0" fontId="6" fillId="0" borderId="4" xfId="1" applyFont="1" applyBorder="1" applyAlignment="1">
      <alignment horizontal="center"/>
    </xf>
    <xf numFmtId="0" fontId="6" fillId="0" borderId="4" xfId="1" quotePrefix="1" applyFont="1" applyBorder="1" applyAlignment="1">
      <alignment horizontal="center"/>
    </xf>
    <xf numFmtId="0" fontId="1" fillId="0" borderId="2" xfId="1" applyFont="1" applyBorder="1" applyAlignment="1">
      <alignment horizontal="center" vertical="center"/>
    </xf>
    <xf numFmtId="0" fontId="1" fillId="0" borderId="2" xfId="1" applyFont="1" applyBorder="1" applyAlignment="1">
      <alignment horizontal="left" vertical="center"/>
    </xf>
    <xf numFmtId="0" fontId="1" fillId="0" borderId="2" xfId="1" quotePrefix="1" applyFont="1" applyBorder="1" applyAlignment="1">
      <alignment horizontal="center" vertical="center"/>
    </xf>
    <xf numFmtId="49" fontId="2" fillId="0" borderId="0" xfId="1" applyNumberFormat="1" applyAlignment="1">
      <alignment horizontal="center"/>
    </xf>
    <xf numFmtId="0" fontId="1" fillId="4" borderId="3" xfId="1" applyFont="1" applyFill="1" applyBorder="1" applyAlignment="1">
      <alignment horizontal="center" vertical="center"/>
    </xf>
    <xf numFmtId="0" fontId="1" fillId="4" borderId="3" xfId="1" applyFont="1" applyFill="1" applyBorder="1" applyAlignment="1">
      <alignment horizontal="left" vertical="center"/>
    </xf>
    <xf numFmtId="0" fontId="1" fillId="0" borderId="3" xfId="1" applyFont="1" applyBorder="1" applyAlignment="1">
      <alignment horizontal="center" vertical="center"/>
    </xf>
    <xf numFmtId="49" fontId="10" fillId="0" borderId="4" xfId="2" applyNumberFormat="1" applyFont="1" applyBorder="1" applyAlignment="1">
      <alignment horizontal="center"/>
    </xf>
    <xf numFmtId="0" fontId="1" fillId="8" borderId="1" xfId="1" applyFont="1" applyFill="1" applyBorder="1" applyAlignment="1">
      <alignment horizontal="center" vertical="center"/>
    </xf>
    <xf numFmtId="0" fontId="1" fillId="8" borderId="1" xfId="1" applyFont="1" applyFill="1" applyBorder="1" applyAlignment="1">
      <alignment horizontal="left" vertical="center"/>
    </xf>
    <xf numFmtId="0" fontId="1" fillId="8" borderId="1" xfId="1" quotePrefix="1" applyFont="1" applyFill="1" applyBorder="1" applyAlignment="1">
      <alignment horizontal="center" vertical="center"/>
    </xf>
    <xf numFmtId="0" fontId="1" fillId="8" borderId="1" xfId="1" applyFont="1" applyFill="1" applyBorder="1" applyAlignment="1">
      <alignment horizontal="center"/>
    </xf>
    <xf numFmtId="49" fontId="1" fillId="8" borderId="1" xfId="1" applyNumberFormat="1" applyFont="1" applyFill="1" applyBorder="1" applyAlignment="1">
      <alignment horizontal="center"/>
    </xf>
    <xf numFmtId="49" fontId="1" fillId="0" borderId="0" xfId="2" applyNumberFormat="1"/>
    <xf numFmtId="0" fontId="1" fillId="15" borderId="1" xfId="1" applyFont="1" applyFill="1" applyBorder="1" applyAlignment="1">
      <alignment horizontal="center" vertical="center"/>
    </xf>
    <xf numFmtId="49" fontId="1" fillId="11" borderId="0" xfId="2" applyNumberFormat="1" applyFill="1"/>
    <xf numFmtId="0" fontId="1" fillId="9" borderId="1" xfId="1" applyFont="1" applyFill="1" applyBorder="1" applyAlignment="1">
      <alignment horizontal="center" vertical="center"/>
    </xf>
    <xf numFmtId="0" fontId="1" fillId="9" borderId="1" xfId="1" applyFont="1" applyFill="1" applyBorder="1" applyAlignment="1">
      <alignment horizontal="left" vertical="center"/>
    </xf>
    <xf numFmtId="0" fontId="1" fillId="9" borderId="1" xfId="1" quotePrefix="1" applyFont="1" applyFill="1" applyBorder="1" applyAlignment="1">
      <alignment horizontal="center" vertical="center"/>
    </xf>
    <xf numFmtId="0" fontId="1" fillId="9" borderId="1" xfId="1" applyFont="1" applyFill="1" applyBorder="1" applyAlignment="1">
      <alignment horizontal="center"/>
    </xf>
    <xf numFmtId="49" fontId="1" fillId="9" borderId="1" xfId="1" applyNumberFormat="1" applyFont="1" applyFill="1" applyBorder="1" applyAlignment="1">
      <alignment horizontal="center"/>
    </xf>
    <xf numFmtId="0" fontId="10" fillId="0" borderId="5" xfId="1" applyFont="1" applyBorder="1" applyAlignment="1">
      <alignment horizontal="center"/>
    </xf>
    <xf numFmtId="0" fontId="1" fillId="10" borderId="1" xfId="1" quotePrefix="1" applyFont="1" applyFill="1" applyBorder="1" applyAlignment="1">
      <alignment horizontal="center" vertical="center"/>
    </xf>
    <xf numFmtId="0" fontId="7" fillId="0" borderId="6" xfId="1" applyFont="1" applyBorder="1" applyAlignment="1">
      <alignment horizontal="center"/>
    </xf>
    <xf numFmtId="0" fontId="7" fillId="0" borderId="6" xfId="1" applyFont="1" applyBorder="1"/>
    <xf numFmtId="0" fontId="1" fillId="0" borderId="3" xfId="1" applyFont="1" applyBorder="1" applyAlignment="1">
      <alignment horizontal="left" vertical="center"/>
    </xf>
    <xf numFmtId="0" fontId="1" fillId="15" borderId="1" xfId="1" applyFont="1" applyFill="1" applyBorder="1" applyAlignment="1">
      <alignment horizontal="left" vertical="center"/>
    </xf>
    <xf numFmtId="49" fontId="0" fillId="11" borderId="4" xfId="0" applyNumberFormat="1" applyFill="1" applyBorder="1" applyAlignment="1">
      <alignment horizontal="center"/>
    </xf>
    <xf numFmtId="0" fontId="7" fillId="5" borderId="4" xfId="1" applyFont="1" applyFill="1" applyBorder="1" applyAlignment="1">
      <alignment horizontal="center"/>
    </xf>
    <xf numFmtId="0" fontId="7" fillId="5" borderId="4" xfId="1" applyFont="1" applyFill="1" applyBorder="1"/>
    <xf numFmtId="0" fontId="6" fillId="15" borderId="1" xfId="1" applyFont="1" applyFill="1" applyBorder="1" applyAlignment="1">
      <alignment horizontal="center"/>
    </xf>
    <xf numFmtId="0" fontId="1" fillId="15" borderId="1" xfId="1" applyFont="1" applyFill="1" applyBorder="1" applyAlignment="1">
      <alignment horizontal="center"/>
    </xf>
    <xf numFmtId="49" fontId="2" fillId="15" borderId="0" xfId="1" applyNumberFormat="1" applyFill="1"/>
    <xf numFmtId="49" fontId="1" fillId="15" borderId="1" xfId="1" applyNumberFormat="1" applyFont="1" applyFill="1" applyBorder="1" applyAlignment="1">
      <alignment horizontal="center"/>
    </xf>
    <xf numFmtId="0" fontId="1" fillId="15" borderId="1" xfId="1" quotePrefix="1" applyFont="1" applyFill="1" applyBorder="1" applyAlignment="1">
      <alignment horizontal="center" vertical="center"/>
    </xf>
    <xf numFmtId="0" fontId="1" fillId="13" borderId="1" xfId="1" applyFont="1" applyFill="1" applyBorder="1" applyAlignment="1">
      <alignment horizontal="center" vertical="center"/>
    </xf>
    <xf numFmtId="0" fontId="1" fillId="13" borderId="1" xfId="1" applyFont="1" applyFill="1" applyBorder="1" applyAlignment="1">
      <alignment horizontal="left" vertical="center"/>
    </xf>
    <xf numFmtId="0" fontId="1" fillId="13" borderId="1" xfId="1" quotePrefix="1" applyFont="1" applyFill="1" applyBorder="1" applyAlignment="1">
      <alignment horizontal="center" vertical="center"/>
    </xf>
    <xf numFmtId="0" fontId="1" fillId="13" borderId="1" xfId="1" applyFont="1" applyFill="1" applyBorder="1" applyAlignment="1">
      <alignment horizontal="center"/>
    </xf>
    <xf numFmtId="49" fontId="1" fillId="13" borderId="1" xfId="1" applyNumberFormat="1" applyFont="1" applyFill="1" applyBorder="1" applyAlignment="1">
      <alignment horizontal="center"/>
    </xf>
    <xf numFmtId="0" fontId="1" fillId="0" borderId="7" xfId="1" applyFont="1" applyBorder="1" applyAlignment="1">
      <alignment horizontal="center" vertical="center"/>
    </xf>
    <xf numFmtId="0" fontId="6" fillId="0" borderId="6" xfId="1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" fillId="0" borderId="0" xfId="1" applyFont="1" applyAlignment="1">
      <alignment horizontal="center" vertical="center"/>
    </xf>
    <xf numFmtId="0" fontId="6" fillId="0" borderId="0" xfId="1" applyFont="1" applyAlignment="1">
      <alignment horizontal="center"/>
    </xf>
    <xf numFmtId="0" fontId="1" fillId="0" borderId="0" xfId="1" applyFont="1" applyAlignment="1">
      <alignment horizontal="left" vertical="center"/>
    </xf>
    <xf numFmtId="0" fontId="1" fillId="0" borderId="0" xfId="1" applyFont="1" applyAlignment="1">
      <alignment horizontal="center"/>
    </xf>
    <xf numFmtId="49" fontId="1" fillId="0" borderId="0" xfId="1" applyNumberFormat="1" applyFont="1" applyAlignment="1">
      <alignment horizontal="center"/>
    </xf>
    <xf numFmtId="0" fontId="4" fillId="10" borderId="1" xfId="1" applyFont="1" applyFill="1" applyBorder="1" applyAlignment="1">
      <alignment horizontal="center" vertical="center"/>
    </xf>
    <xf numFmtId="0" fontId="4" fillId="15" borderId="1" xfId="1" applyFont="1" applyFill="1" applyBorder="1" applyAlignment="1">
      <alignment horizontal="center" vertical="center"/>
    </xf>
    <xf numFmtId="0" fontId="4" fillId="15" borderId="0" xfId="1" applyFont="1" applyFill="1" applyAlignment="1">
      <alignment horizontal="center" vertical="center"/>
    </xf>
    <xf numFmtId="0" fontId="2" fillId="0" borderId="8" xfId="1" applyBorder="1" applyAlignment="1">
      <alignment horizontal="center" vertical="center"/>
    </xf>
    <xf numFmtId="0" fontId="2" fillId="0" borderId="0" xfId="1" applyAlignment="1">
      <alignment horizontal="center" vertical="center"/>
    </xf>
    <xf numFmtId="0" fontId="2" fillId="0" borderId="2" xfId="1" applyBorder="1" applyAlignment="1">
      <alignment horizontal="center" vertical="center"/>
    </xf>
    <xf numFmtId="0" fontId="2" fillId="0" borderId="3" xfId="1" applyBorder="1" applyAlignment="1">
      <alignment horizontal="center" vertical="center"/>
    </xf>
    <xf numFmtId="0" fontId="2" fillId="0" borderId="2" xfId="1" applyBorder="1" applyAlignment="1">
      <alignment horizontal="center"/>
    </xf>
    <xf numFmtId="0" fontId="2" fillId="0" borderId="3" xfId="1" applyBorder="1" applyAlignment="1">
      <alignment horizontal="center"/>
    </xf>
    <xf numFmtId="49" fontId="2" fillId="0" borderId="2" xfId="1" applyNumberFormat="1" applyBorder="1" applyAlignment="1">
      <alignment horizontal="center"/>
    </xf>
    <xf numFmtId="49" fontId="2" fillId="0" borderId="3" xfId="1" applyNumberFormat="1" applyBorder="1" applyAlignment="1">
      <alignment horizontal="center"/>
    </xf>
    <xf numFmtId="0" fontId="1" fillId="0" borderId="2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2" fillId="0" borderId="2" xfId="1" applyBorder="1" applyAlignment="1">
      <alignment horizontal="left" vertical="center"/>
    </xf>
    <xf numFmtId="0" fontId="2" fillId="0" borderId="3" xfId="1" applyBorder="1" applyAlignment="1">
      <alignment horizontal="left" vertical="center"/>
    </xf>
    <xf numFmtId="0" fontId="6" fillId="0" borderId="2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4" fillId="2" borderId="1" xfId="1" applyFont="1" applyFill="1" applyBorder="1" applyAlignment="1">
      <alignment horizontal="center" vertical="center"/>
    </xf>
    <xf numFmtId="0" fontId="5" fillId="0" borderId="0" xfId="1" applyFont="1" applyAlignment="1">
      <alignment horizontal="center"/>
    </xf>
    <xf numFmtId="0" fontId="4" fillId="2" borderId="2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</cellXfs>
  <cellStyles count="4">
    <cellStyle name="Normal" xfId="0" builtinId="0"/>
    <cellStyle name="Normal 100 20 10" xfId="2" xr:uid="{824054B8-A3E5-46D8-B786-2D3ECC171DCE}"/>
    <cellStyle name="Normal 126 6 10" xfId="3" xr:uid="{8522AD51-4DF1-4E8D-9F96-D7E856C23ACB}"/>
    <cellStyle name="Normal 133 10" xfId="1" xr:uid="{BEBB312C-A054-4DD0-8AAF-CDF1F61B63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6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83.xml"/><Relationship Id="rId138" Type="http://schemas.openxmlformats.org/officeDocument/2006/relationships/externalLink" Target="externalLinks/externalLink137.xml"/><Relationship Id="rId159" Type="http://schemas.openxmlformats.org/officeDocument/2006/relationships/externalLink" Target="externalLinks/externalLink158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73.xml"/><Relationship Id="rId128" Type="http://schemas.openxmlformats.org/officeDocument/2006/relationships/externalLink" Target="externalLinks/externalLink127.xml"/><Relationship Id="rId149" Type="http://schemas.openxmlformats.org/officeDocument/2006/relationships/externalLink" Target="externalLinks/externalLink148.xml"/><Relationship Id="rId5" Type="http://schemas.openxmlformats.org/officeDocument/2006/relationships/externalLink" Target="externalLinks/externalLink4.xml"/><Relationship Id="rId95" Type="http://schemas.openxmlformats.org/officeDocument/2006/relationships/externalLink" Target="externalLinks/externalLink94.xml"/><Relationship Id="rId160" Type="http://schemas.openxmlformats.org/officeDocument/2006/relationships/externalLink" Target="externalLinks/externalLink159.xml"/><Relationship Id="rId22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63.xml"/><Relationship Id="rId118" Type="http://schemas.openxmlformats.org/officeDocument/2006/relationships/externalLink" Target="externalLinks/externalLink117.xml"/><Relationship Id="rId139" Type="http://schemas.openxmlformats.org/officeDocument/2006/relationships/externalLink" Target="externalLinks/externalLink138.xml"/><Relationship Id="rId85" Type="http://schemas.openxmlformats.org/officeDocument/2006/relationships/externalLink" Target="externalLinks/externalLink84.xml"/><Relationship Id="rId150" Type="http://schemas.openxmlformats.org/officeDocument/2006/relationships/externalLink" Target="externalLinks/externalLink149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08" Type="http://schemas.openxmlformats.org/officeDocument/2006/relationships/externalLink" Target="externalLinks/externalLink107.xml"/><Relationship Id="rId124" Type="http://schemas.openxmlformats.org/officeDocument/2006/relationships/externalLink" Target="externalLinks/externalLink123.xml"/><Relationship Id="rId129" Type="http://schemas.openxmlformats.org/officeDocument/2006/relationships/externalLink" Target="externalLinks/externalLink128.xml"/><Relationship Id="rId54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40" Type="http://schemas.openxmlformats.org/officeDocument/2006/relationships/externalLink" Target="externalLinks/externalLink139.xml"/><Relationship Id="rId145" Type="http://schemas.openxmlformats.org/officeDocument/2006/relationships/externalLink" Target="externalLinks/externalLink144.xml"/><Relationship Id="rId161" Type="http://schemas.openxmlformats.org/officeDocument/2006/relationships/externalLink" Target="externalLinks/externalLink160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externalLink" Target="externalLinks/externalLink113.xml"/><Relationship Id="rId119" Type="http://schemas.openxmlformats.org/officeDocument/2006/relationships/externalLink" Target="externalLinks/externalLink118.xml"/><Relationship Id="rId44" Type="http://schemas.openxmlformats.org/officeDocument/2006/relationships/externalLink" Target="externalLinks/externalLink43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130" Type="http://schemas.openxmlformats.org/officeDocument/2006/relationships/externalLink" Target="externalLinks/externalLink129.xml"/><Relationship Id="rId135" Type="http://schemas.openxmlformats.org/officeDocument/2006/relationships/externalLink" Target="externalLinks/externalLink134.xml"/><Relationship Id="rId151" Type="http://schemas.openxmlformats.org/officeDocument/2006/relationships/externalLink" Target="externalLinks/externalLink150.xml"/><Relationship Id="rId156" Type="http://schemas.openxmlformats.org/officeDocument/2006/relationships/externalLink" Target="externalLinks/externalLink155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120" Type="http://schemas.openxmlformats.org/officeDocument/2006/relationships/externalLink" Target="externalLinks/externalLink119.xml"/><Relationship Id="rId125" Type="http://schemas.openxmlformats.org/officeDocument/2006/relationships/externalLink" Target="externalLinks/externalLink124.xml"/><Relationship Id="rId141" Type="http://schemas.openxmlformats.org/officeDocument/2006/relationships/externalLink" Target="externalLinks/externalLink140.xml"/><Relationship Id="rId146" Type="http://schemas.openxmlformats.org/officeDocument/2006/relationships/externalLink" Target="externalLinks/externalLink14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162" Type="http://schemas.openxmlformats.org/officeDocument/2006/relationships/externalLink" Target="externalLinks/externalLink16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externalLink" Target="externalLinks/externalLink114.xml"/><Relationship Id="rId131" Type="http://schemas.openxmlformats.org/officeDocument/2006/relationships/externalLink" Target="externalLinks/externalLink130.xml"/><Relationship Id="rId136" Type="http://schemas.openxmlformats.org/officeDocument/2006/relationships/externalLink" Target="externalLinks/externalLink135.xml"/><Relationship Id="rId157" Type="http://schemas.openxmlformats.org/officeDocument/2006/relationships/externalLink" Target="externalLinks/externalLink156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52" Type="http://schemas.openxmlformats.org/officeDocument/2006/relationships/externalLink" Target="externalLinks/externalLink15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126" Type="http://schemas.openxmlformats.org/officeDocument/2006/relationships/externalLink" Target="externalLinks/externalLink125.xml"/><Relationship Id="rId147" Type="http://schemas.openxmlformats.org/officeDocument/2006/relationships/externalLink" Target="externalLinks/externalLink14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121" Type="http://schemas.openxmlformats.org/officeDocument/2006/relationships/externalLink" Target="externalLinks/externalLink120.xml"/><Relationship Id="rId142" Type="http://schemas.openxmlformats.org/officeDocument/2006/relationships/externalLink" Target="externalLinks/externalLink141.xml"/><Relationship Id="rId163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externalLink" Target="externalLinks/externalLink115.xml"/><Relationship Id="rId137" Type="http://schemas.openxmlformats.org/officeDocument/2006/relationships/externalLink" Target="externalLinks/externalLink136.xml"/><Relationship Id="rId158" Type="http://schemas.openxmlformats.org/officeDocument/2006/relationships/externalLink" Target="externalLinks/externalLink157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32" Type="http://schemas.openxmlformats.org/officeDocument/2006/relationships/externalLink" Target="externalLinks/externalLink131.xml"/><Relationship Id="rId153" Type="http://schemas.openxmlformats.org/officeDocument/2006/relationships/externalLink" Target="externalLinks/externalLink152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Relationship Id="rId127" Type="http://schemas.openxmlformats.org/officeDocument/2006/relationships/externalLink" Target="externalLinks/externalLink12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122" Type="http://schemas.openxmlformats.org/officeDocument/2006/relationships/externalLink" Target="externalLinks/externalLink121.xml"/><Relationship Id="rId143" Type="http://schemas.openxmlformats.org/officeDocument/2006/relationships/externalLink" Target="externalLinks/externalLink142.xml"/><Relationship Id="rId148" Type="http://schemas.openxmlformats.org/officeDocument/2006/relationships/externalLink" Target="externalLinks/externalLink147.xml"/><Relationship Id="rId164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26" Type="http://schemas.openxmlformats.org/officeDocument/2006/relationships/externalLink" Target="externalLinks/externalLink25.xml"/><Relationship Id="rId47" Type="http://schemas.openxmlformats.org/officeDocument/2006/relationships/externalLink" Target="externalLinks/externalLink46.xml"/><Relationship Id="rId68" Type="http://schemas.openxmlformats.org/officeDocument/2006/relationships/externalLink" Target="externalLinks/externalLink67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33" Type="http://schemas.openxmlformats.org/officeDocument/2006/relationships/externalLink" Target="externalLinks/externalLink132.xml"/><Relationship Id="rId154" Type="http://schemas.openxmlformats.org/officeDocument/2006/relationships/externalLink" Target="externalLinks/externalLink153.xml"/><Relationship Id="rId16" Type="http://schemas.openxmlformats.org/officeDocument/2006/relationships/externalLink" Target="externalLinks/externalLink15.xml"/><Relationship Id="rId37" Type="http://schemas.openxmlformats.org/officeDocument/2006/relationships/externalLink" Target="externalLinks/externalLink36.xml"/><Relationship Id="rId58" Type="http://schemas.openxmlformats.org/officeDocument/2006/relationships/externalLink" Target="externalLinks/externalLink57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123" Type="http://schemas.openxmlformats.org/officeDocument/2006/relationships/externalLink" Target="externalLinks/externalLink122.xml"/><Relationship Id="rId144" Type="http://schemas.openxmlformats.org/officeDocument/2006/relationships/externalLink" Target="externalLinks/externalLink143.xml"/><Relationship Id="rId90" Type="http://schemas.openxmlformats.org/officeDocument/2006/relationships/externalLink" Target="externalLinks/externalLink89.xml"/><Relationship Id="rId165" Type="http://schemas.openxmlformats.org/officeDocument/2006/relationships/sharedStrings" Target="sharedStrings.xml"/><Relationship Id="rId27" Type="http://schemas.openxmlformats.org/officeDocument/2006/relationships/externalLink" Target="externalLinks/externalLink26.xml"/><Relationship Id="rId48" Type="http://schemas.openxmlformats.org/officeDocument/2006/relationships/externalLink" Target="externalLinks/externalLink47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134" Type="http://schemas.openxmlformats.org/officeDocument/2006/relationships/externalLink" Target="externalLinks/externalLink133.xml"/><Relationship Id="rId80" Type="http://schemas.openxmlformats.org/officeDocument/2006/relationships/externalLink" Target="externalLinks/externalLink79.xml"/><Relationship Id="rId155" Type="http://schemas.openxmlformats.org/officeDocument/2006/relationships/externalLink" Target="externalLinks/externalLink15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H/Documents%20and%20Settings/abdul.kudus/Local%20Settings/Temporary%20Internet%20Files/Content.Outlook/OC98C3O1/ENERGI%20PRIMER/RKAP/RKAP%202010/NE/20100119%20RKAP%202010%20-%20All%20Regional%20Rasional_9,4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C\RKAP-2015\SUMUT\DRAFT%20LKAO%20&amp;%20LKAI%20SUMUT%20Th.%202015\G\F\RAPAT%20PALEMBANG\LKAI%20FIX%20TGL%2031%20OKTOBER%202013\M%20BURUNG\RAPAT%20PALEMBANG\FIX%20LKAI%20522%20DAN%20700%20M\H\My%20Document%20Rusdi\SUBSIDI%20LISTRIK\SUBSIDI%202007\ESTIMASI%20SUBSIDI%202007%20DEPKEU%2017%20MEI%2006-OK.xls?19DA5BC5" TargetMode="External"/><Relationship Id="rId1" Type="http://schemas.openxmlformats.org/officeDocument/2006/relationships/externalLinkPath" Target="/19DA5BC5/ESTIMASI%20SUBSIDI%202007%20DEPKEU%2017%20MEI%2006-OK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/data%20staff%20amr/SUSUT/SUSUT%20AREA/2014/4.%20DIST/Users/user/AppData/Roaming/Microsoft/Excel/Documents%20and%20Settings/Administrator/My%20Documents/KERJAAN/2007/EVALUASI%202007/EVALUASI%20TAHUNAN%202007/KINERJA%20KITLUR%20%202007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binsar.wibawa/Desktop/10.17.1.250/databank/MISC/Congviec/Ta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/Documents/Data%20Bank/Husnul%20Y%20Hadist/PERENCANAAN%20KIT/ANGGARAN/My%20Documents/SEKUM/Adm%20Sekum%20Mona/My%20Documents/RKAP-RGT-2004-WIL-R/LKAI-RGT-2004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binsar.wibawa/Desktop/Dispatcher_2/MY%20DOCUMENTS/MAIL/REN%20SEPT%202005/I.September/up/RAKORKIT-KALTIM/My%20Documents/BZK/REN-DMA-09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binsar.wibawa/Desktop/Divaga-dni-pc3/c/uai/uai-2001/revisi-1/lk-TRANS-2001-(8R)-rev-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/AREA%20BENGKULU/INVESTASI%20BASKET%205%202013/INVESTASI%20AREA%20BENGKULU%202013/Usulan%20Basket%205%20Area%20Bengkulu%202013/My%20Documents/Office/Dinas_PU/Yunaldi/1-BOQ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binsar.wibawa/Desktop/Divaga-dni-pc3/c/SDR/ankom/ANALIS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/Users/hp/AppData/Roaming/Microsoft/Excel/Documents%20and%20Settings/Ari%20Agus%20Salim/Local%20Settings/Temp/NERACA%20TAHAP%20PERTAM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/AREA%20BENGKULU/INVESTASI%20BASKET%205%202013/INVESTASI%20AREA%20BENGKULU%202013/Usulan%20Basket%205%20Area%20Bengkulu%202013/Documents%20and%20Settings/benny/My%20Documents/DPU%20TA%202005/Perencanaan%20GOR/EVALUASI%20Perenc%20Gor%20(Prakualifikasi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/03%20Supervisor%20Sek%20dan%20SDM/00%20Sudarmaya/PLN%20APD-Gedung-07/RAB-PAGAR%20HALAMAN-07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binsar.wibawa/Desktop/Divaga-dni-pc3/c/windows/TEMP/UAI-200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binsar.wibawa/Desktop/Tagih/c/T309-00/wanci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A/Clients/PLN/PLN%20Budget/PLN%20budget%20forms/Lk200312-02-03-04.xls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C\RKAP-2015\SUMUT\DRAFT%20LKAO%20&amp;%20LKAI%20SUMUT%20Th.%202015\G\F\RAPAT%20PALEMBANG\LKAI%20FIX%20TGL%2031%20OKTOBER%202013\M%20BURUNG\RAPAT%20PALEMBANG\FIX%20LKAI%20522%20DAN%20700%20M\@\Divaga-dni-pc3\c\uai\uai-2001\revisi-1\lk-TRANS-2001-(8R)-rev-1.xls?5E40FEF8" TargetMode="External"/><Relationship Id="rId1" Type="http://schemas.openxmlformats.org/officeDocument/2006/relationships/externalLinkPath" Target="/5E40FEF8/lk-TRANS-2001-(8R)-rev-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/RKAP-2015/SUMUT/DRAFT%20LKAO%20&amp;%20LKAI%20SUMUT%20Th.%202015/G/F/RAPAT%20PALEMBANG/LKAI%20FIX%20TGL%2031%20OKTOBER%202013/M%20BURUNG/RAPAT%20PALEMBANG/FIX%20LKAI%20522%20DAN%20700%20M/@/Divaga-dni-pc3/c/SDR/ankom/ANALISA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Kopkar3/d/barli%20mustari/GAJI%20PCM%202004%20contoh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/Documents%20and%20Settings/Ari%20Agus%20Salim/Local%20Settings/Temp/NERACA%20TAHAP%20PERTAMA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A/GI%20PENYULANG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/data%20staff%20amr/SUSUT/VESUT/2014/2.%20TW%201%202014/Data/Ongko/Dokumen/Laporan%20AKTB%20ke%20wilayah/2013/DATA%202010/RKAP%202010%20FINAL%20PRY/losses/LOSGABbali20031%20de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/data%20staff%20amr/SUSUT/VESUT/2014/2.%20TW%201%202014/Data/Ongko/Dokumen/Laporan%20AKTB%20ke%20wilayah/2013/DATA%202010/RKAP%202010%20FINAL%20PRY/Final%20RKAP%202010-Baru/DRIE%20Keren%20Titip/SAIDI%20SAIFI%20ARSIP/Se31&amp;Grafik-2007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A/WINDOWS/Profiles/BASUKI/BUKA-PINTU/BOX-1/a-LAP-TAHUNAN/TAHUN-2002/WINDOWS/Profiles/Mujiono/Pail%20Gue/RENC.%20TAHUNAN/2002/up/RAKORKIT-KALTIM/My%20Documents/BZK/REN-DMA-09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H\H\H\Users\Feisal\Desktop\RKAP%202009\RKAP%202008\Documents%20and%20Settings\Achmad\Local%20Settings\Temporary%20Internet%20Files\OLK317\Documents%20and%20Settings\Feisal\Desktop\Documents%20and%20Settings\User\Local%20Settings\Temporary%20Intern?42F6CD2F" TargetMode="External"/><Relationship Id="rId1" Type="http://schemas.openxmlformats.org/officeDocument/2006/relationships/externalLinkPath" Target="/42F6CD2F/Temporary%20Intern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C\RKAP-2015\SUMUT\DRAFT%20LKAO%20&amp;%20LKAI%20SUMUT%20Th.%202015\G\F\RAPAT%20PALEMBANG\LKAI%20FIX%20TGL%2031%20OKTOBER%202013\M%20BURUNG\RAPAT%20PALEMBANG\FIX%20LKAI%20522%20DAN%20700%20M\@\dsngc001pn1\_widjajsh$\My%20Documents\Energizer%20Model%20-%20V7_4%20(ONLY%20FOR%20HISTORICAL).xls?B40B5833" TargetMode="External"/><Relationship Id="rId1" Type="http://schemas.openxmlformats.org/officeDocument/2006/relationships/externalLinkPath" Target="/B40B5833/Energizer%20Model%20-%20V7_4%20(ONLY%20FOR%20HISTORICAL)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binsar.wibawa/Desktop/dsngc001pn1/_widjajsh$/My%20Documents/Energizer%20Model%20-%20V7_4%20(ONLY%20FOR%20HISTORICAL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07.%20Imam%20bahtiyar/2018/PENGUKURAN%20GARDU/Documents%20and%20Settings/PC7/My%20Documents/Documents%20and%20Settings/TETE%20KARPIDIN/My%20Documents/sppdrev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H/Documents%20and%20Settings/Ari%20Agus%20Salim/Local%20Settings/Temp/NERACA%20TAHAP%20PERTAMA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/AREA%20BENGKULU/Gawean/SKKI%20AREA%20BENGKULU/SKKI%20BENGKULU%202014/Pembahasan%20SKKI/RKAP/2007/PENETAPAN%2009FEB07/TM109FEB07/unzipped/RKAP%20Laba_Rugi%201/LKTW101/LAPORAN/CashFlow012001Anggaran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H/Users/sri.mumpuni/AppData/Local/Microsoft/Windows/Temporary%20Internet%20Files/Content.Outlook/AOA7956B/20120329%20NE%20Roadmap%202011%20-%202016%20(Upd%202012f)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H/Documents%20and%20Settings/abdul.kudus/Local%20Settings/Temporary%20Internet%20Files/Content.Outlook/OC98C3O1/Documents%20and%20Settings/SONY/Desktop/Feisal%20BPP%20-%20BPK/ARKAP%2006%20CPYG/RKAP_06_UAI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/data%20staff%20amr/SUSUT/VESUT/2014/2.%20TW%201%202014/Data/Ongko/Dokumen/Laporan%20AKTB%20ke%20wilayah/2013/DATA%202010/RKAP%202010%20FINAL%20PRY/My%20Documents/Muchsin/Exel/rab/rkap2002_SCADTEL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/LLG%20RKAP%202014%20OK/LAHAT/USULAN%20SKKO%20-%20SKKI/SKKO%20THN%202013/skki%20no.002%20fix/$$_KERJAAN_PLN_$$/diklat_rensis_ws2jb/INHOUSE%20TRAINING%20KKO-KKF-AMR%20BENGKULU/Training_KKO_KKF_061228/KKF/recon_SUTM.xls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H\Documents%20and%20Settings\abdul.kudus\Local%20Settings\Temporary%20Internet%20Files\Content.Outlook\OC98C3O1\Documents%20and%20Settings\user\My%20Documents\FILE_AYAH\RKAP_MURNI%20HPS_2009\RKAP%202009%20JUNI08\RJBR\UAI%202009-%20RJBR-Rev%20Jun%202008.xls?CF7B0EF4" TargetMode="External"/><Relationship Id="rId1" Type="http://schemas.openxmlformats.org/officeDocument/2006/relationships/externalLinkPath" Target="/CF7B0EF4/UAI%202009-%20RJBR-Rev%20Jun%202008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H/Documents%20and%20Settings/Administrator/Desktop/JONI/LELANG%20-%20MANREN-BATAL/lelang-2002/01/041-L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M/PLN2005/DATA%20LAPTEK/Laptek%20Dist%20sem%20II%202005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H/Documents%20and%20Settings/abdul.kudus/Local%20Settings/Temporary%20Internet%20Files/Content.Outlook/OC98C3O1/DOCUME~1/Alamirf/LOCALS~1/Temp/notes6030C8/Metering/Download%20Result/2005/0501,%20Download%20Meter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A/My%20Documents/ERI%20P/KINERJA%20NTB/LKTW101/LAPORAN/CashFlow012001Anggaran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binsar.wibawa/Desktop/Master/databank/RKAP/2006/2006%20TAP/BIPEG%202006/Anggaran%20Kepeg%20Riau%202006.XLS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H\H\HP%20v245o\Users\Nainggolan\AppData\Roaming\Microsoft\Excel\Users\Didik\AppData\Local\Microsoft\Windows\Temporary%20Internet%20Files\Content.Outlook\2J1OHGR2\Documents%20and%20Settings\User\Local%20Settings\Temp\20100118%20RKAP%202010%20Rev23.xls?B060017F" TargetMode="External"/><Relationship Id="rId1" Type="http://schemas.openxmlformats.org/officeDocument/2006/relationships/externalLinkPath" Target="/B060017F/20100118%20RKAP%202010%20Rev2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/Expansion%20Drive/LKAI%202012%20WILSU%20ke%20PLN%20PUSAT%20tgl%2030%20NovKurang%2065%20M%202011/LKAI/LKAI%202012%20Global%20Sumut/My%20Documents/HAR%20GARDU%20TERPADU/RP19/gardu%20terpadu%20rp143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/RKAP%202004/RKAP%20AI%202004/INVESTASI/Sat/RKAP%202002/6%20Sept%202001/APBN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/Expansion%20Drive/LKAI%202012%20WILSU%20ke%20PLN%20PUSAT%20tgl%2030%20NovKurang%2065%20M%202011/LKAI/LKAI%202012%20Global%20Sumut/Pembahasan%20LKAI/LKAI%202010%20Terbaru%20di%20SIDIMPUAN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/Expansion%20Drive/LKAI%202012%20WILSU%20ke%20PLN%20PUSAT%20tgl%2030%20NovKurang%2065%20M%202011/LKAI/LKAI%202012%20Global%20Sumut/My%20Documents/HAR%20GARDU%20TERPADU/RP19/gardu%20terpadu%20sg8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H/noll%20tm/Trw%20i%20&amp;%20ii/Trw%20i%2009/My%20Documents/PHI/D%20P%20P%20M/FUJI%2012V%2032X/WINDOWS/TEMP/Customer&amp;PLN/2000/umum/KSO%20GMT/010516%20Pnwr%20harga%20GMT%20stl%20nego%20GMT%20Q188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T%20MUKTI%20ELEKTRIK/TAGIHAN%20HARDIS%20BARAT/TAGIHAN%20HARDIS%20BARAT%202015/TAGIHAN%20HARDIST%20BARAT%20JANUARI%202015/barli%20mustari/kumpulan%20daftar2/DAFTAR%20PEGAWAI%20&amp;%20Biodata.xls" TargetMode="External"/></Relationships>
</file>

<file path=xl/externalLinks/_rels/externalLink47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H\Damayanti%20File%20Bekup\PLN%20-%20Data%20File\SKI%20AT\DATA%20SKI%20AT\perhitungan%20dan%20data\PIKITRING%20&amp;%20UP%20FAST%20TRACK\Data%20RKAP2009\RKAP%20Aplikasi\Data%20Diterima\Data%2024Des%202004\KASELTENG%20adjstd\PLN%20Budget%20Reports%20V1.2\Reports\RKAP%20Laba_%20Rugi1.xls?D8C4E3F9" TargetMode="External"/><Relationship Id="rId1" Type="http://schemas.openxmlformats.org/officeDocument/2006/relationships/externalLinkPath" Target="/D8C4E3F9/RKAP%20Laba_%20Rugi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H/H/H/Documents%20and%20Settings/suyyud/Local%20Settings/Temporary%20Internet%20Files/OLK5B/Forum%20RKAP%202008/RKAP%202008%20Bandung%209-10%20Ags07%20(Target%20KPUB)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/RKAP-2015/SUMUT/DRAFT%20LKAO%20&amp;%20LKAI%20SUMUT%20Th.%202015/G/F/RAPAT%20PALEMBANG/LKAI%20FIX%20TGL%2031%20OKTOBER%202013/M%20BURUNG/RAPAT%20PALEMBANG/FIX%20LKAI%20522%20DAN%20700%20M/H/ARKAP%2006%20CPYG/RKAP_06_UAI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H/Documents%20and%20Settings/abdul.kudus/Local%20Settings/Temporary%20Internet%20Files/Content.Outlook/OC98C3O1/My%20Document%20Rusdi/SUBSIDI%20LISTRIK/SUBSIDI%202004/HPP%20&amp;%20Subs%202004%20-%20KMK-%20Audited-R-19-8-05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H/Documents%20and%20Settings/Wirabumi/My%20Documents/Forum%20Perencanaan/WILUS-KALTIM/TRANS+DIST/DIST0-high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L/Losses/Losses%202004/Susut%202004/Tugas/Losses/Forecast2002/Kumulatif-POLA-A1%202002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/data%20staff%20amr/SUSUT/SUSUT%20AREA/2014/4.%20DIST/Ongko/Dokumen/Laporan%20AKTB%20ke%20wilayah/2013/DATA%202010/RKAP%202010%20FINAL%20PRY/Final%20RKAP%202010-Baru/DRIE%20Keren%20Titip/SAIDI%20SAIFI%20ARSIP/Se31&amp;Grafik-2007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A/SLD/KODYABKL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binsar.wibawa/Desktop/Lu_thanh_binh/d/Luu_Tru/Ltb_ktkh/DZ220KV_Dau_Noi_sau_tram_500kV_Ha_Tinh/Gia_thau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/Backup%20document/RPTL%202005/DKL%20KALTIM%202005/_calinvestrptl2003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/DOCUME~1/mara/LOCALS~1/Temp/Kalkulasi,%20Breakdown%20&amp;%20Jadwal%20Pekerjaan/Calculation%20Scada%20Projects/Calculation%20Scada%20Bali-(versi%202)-2007.xls" TargetMode="External"/></Relationships>
</file>

<file path=xl/externalLinks/_rels/externalLink58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C\RKAP-2015\SUMUT\DRAFT%20LKAO%20&amp;%20LKAI%20SUMUT%20Th.%202015\G\F\RAPAT%20PALEMBANG\LKAI%20FIX%20TGL%2031%20OKTOBER%202013\M%20BURUNG\RAPAT%20PALEMBANG\FIX%20LKAI%20522%20DAN%20700%20M\H\Documents%20and%20Settings\SONY\Desktop\Feisal%20BPP%20-%20BPK\DARMAWANGSA%20RKAP\RKAP2004.xls?51042613" TargetMode="External"/><Relationship Id="rId1" Type="http://schemas.openxmlformats.org/officeDocument/2006/relationships/externalLinkPath" Target="/51042613/RKAP20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L/DATA/data%20renkor/RKAP/2007/RKAP/1-Anggaran%20Kepeg%202007%20Lampung%20-%20PUSAT/7-Wil.%20Lampung-'07%20-%20T1000%20-%20v3%20Final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binsar.wibawa/Desktop/10.17.1.250/databank/MISC/DO-HUONG/GT-BO/TKTC10-8/phong%20nen/DT-THL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A/My%20Documents/RKAP2003/PUSAT/WilusTarakan2003Pusat2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binsar.wibawa/Desktop/Master/databank/Usul%20Kursus%202005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/AREA%20BENGKULU/Gawean/SKKI%20AREA%20BENGKULU/SKKI%20BENGKULU%202014/Pembahasan%20SKKI/RKAP/2007/PENETAPAN%2009FEB07/TM109FEB07/unzipped/RKAP%20Laba_Rugi%201/LKTW201/@PJB/LKSEM2001PJB.xls" TargetMode="External"/></Relationships>
</file>

<file path=xl/externalLinks/_rels/externalLink64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H\Documents%20and%20Settings\abdul.kudus\Local%20Settings\Temporary%20Internet%20Files\Content.Outlook\OC98C3O1\Documents%20and%20Settings\rastito\My%20Documents\RKAP%20Trans%20Revisi-1%20per%20kategori\PIKITRING%20KALIMANTAN\RKAP'09%20R1%20(trans%20&amp;%20gi%20+%20kit).xls?E75071B1" TargetMode="External"/><Relationship Id="rId1" Type="http://schemas.openxmlformats.org/officeDocument/2006/relationships/externalLinkPath" Target="/E75071B1/RKAP'09%20R1%20(trans%20&amp;%20gi%20+%20kit).xls" TargetMode="External"/></Relationships>
</file>

<file path=xl/externalLinks/_rels/externalLink65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C\RKAP-2015\SUMUT\DRAFT%20LKAO%20&amp;%20LKAI%20SUMUT%20Th.%202015\G\F\RAPAT%20PALEMBANG\LKAI%20FIX%20TGL%2031%20OKTOBER%202013\M%20BURUNG\RAPAT%20PALEMBANG\FIX%20LKAI%20522%20DAN%20700%20M\I\Documents%20and%20Settings\bram\My%20Documents\CEIC\Bram's\Harga%20BBM%20Indonesia.xls?7B275B9B" TargetMode="External"/><Relationship Id="rId1" Type="http://schemas.openxmlformats.org/officeDocument/2006/relationships/externalLinkPath" Target="/7B275B9B/Harga%20BBM%20Indonesia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/Expansion%20Drive/LKAI%202012%20WILSU%20ke%20PLN%20PUSAT%20tgl%2030%20NovKurang%2065%20M%202011/LKAI/A-Presentasi2004/2005formnewrev2/2005newformrev2/RKAP2005%20UNIT/TM1/RKAP%20Investasi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/data%20staff%20amr/SUSUT/VESUT/2014/2.%20TW%201%202014/Data/Ongko/Dokumen/Laporan%20AKTB%20ke%20wilayah/2013/DATA%202010/RKAP%202010%20FINAL%20PRY/buku%202002/Data%20Dari%20Luar/LH%20APRIL%202000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/data%20staff%20amr/SUSUT/VESUT/2014/2.%20TW%201%202014/Data/Users/user/AppData/Roaming/Microsoft/Excel/Documents%20and%20Settings/Pak%20Subeno/My%20Documents/RKAPAIPRY07/data_PRY/AI2007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/Users/dahliana.WSUKWRENSIS06/AppData/Roaming/Microsoft/Excel/Users/spss/Documents/Bluetooth%20Exchange%20Folder/LKAI%20RENC%20USULAN%202014%20OK5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H/USULAN%20PEL%20TM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H/2013/Korp%20&amp;%20Unit%202013/RKAP%202013/20121210%20RKAP%202013%20Ver5.2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H/Documents%20and%20Settings/abdul.kudus/Local%20Settings/Temporary%20Internet%20Files/Content.Outlook/OC98C3O1/DATA%20DISTRIBUSI/EVALUASI%20BA%20PEMBANGKIT/DSPL/DSPL-2008/DSPL%20Okt%202008/BA2_Summary_Ammendment_No_1_2002_Rev2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A/revisi%20diskon%20b%20&amp;%20I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/Losses%202009/Susut%20Cab%202009%20unit-unit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/Users/hp/AppData/Roaming/Microsoft/Excel/ARIEF/Z%20-%20KKO%20KKF%20Uprating/KKF%20-%20Kendari%2070%20kV/Documents%20and%20Settings/Aris/My%20Documents/File%20Gawean/KKO_KKF%20SUMATERA/SUMATERA/PLTA%20PEUSANGAN/EC-Peusangan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binsar.wibawa/Desktop/Distribusi-3/c/My%20Documents/Gundule%20Sumarjo/Pnylggn2001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H/H/H/Damayanti%20File%20Bekup/PLN%20-%20Data%20File/SKI%20AT/DATA%20SKI%20AT/perhitungan%20dan%20data/PIKITRING%20&amp;%20UP%20FAST%20TRACK/Data%20RKAP2009/unzipped/RKAP%20Laba_Rugi%201/LKTW101/LAPORAN/CashFlow012001Anggaran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binsar.wibawa/Desktop/10.1.132.30/shared/Documents%20and%20Settings/Armand_Widjaja/Local%20Settings/Temporary%20Internet%20Files/OLK6F/PLN%20staffing%20v18-v31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/data%20staff%20amr/SUSUT/SUSUT%20AREA/2014/4.%20DIST/Users/user/AppData/Roaming/Microsoft/Excel/Documents%20and%20Settings/PLN/My%20Documents/JK/KANTOR/RKAP/2009/SIDIR-060808/SIDIR-060808/POS%2052%20Gabungan%2009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A/RAB%20GEDUNG%20BARU%20UPD%20LT%20III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/LLG%20RKAP%202014%20OK/LAHAT/USULAN%20SKKO%20-%20SKKI/SKKO%20THN%202013/skki%20no.002%20fix/DOCUME~1/ARTOPD~1/LOCALS~1/Temp/Rar$DI00.438/Beban%20Feb%202010%20new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/data%20staff%20amr/SUSUT/VESUT/2014/2.%20TW%201%202014/Data/Users/user/AppData/Roaming/Microsoft/Excel/2007/SAIDI/master%20WKSKT/FGTM03%2015022007%20Kalselteng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H/LKAI%202015/NIAS%20LKAI%202015/DISTRIBUSI%202007/R%20A%20B/RAB%20SBG/RAB%20BTS%20telkomsel/site%20gido_gst-807_ds.hiliwito_16.5kva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/Documents%20and%20Settings/Administrator/My%20Documents/PENAWARAN%202005/ANALISA%202006-BABEL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H/PEMASARAN/PEMASARAN%202012/SURVEY%202012/RAB/New%20RAB/RAB%20%20%20DENGAN%20RUMUS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/Expansion%20Drive/LKAI%202012%20WILSU%20ke%20PLN%20PUSAT%20tgl%2030%20NovKurang%2065%20M%202011/LKAI/LKAI%202012%20Global%20Sumut/Documents%20and%20Settings/wind/Desktop/LKAI%20Global%20Sumut%202011%20Final%20.xlsx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/RKAP-2015/SUMUT/DRAFT%20LKAO%20&amp;%20LKAI%20SUMUT%20Th.%202015/G/F/RAPAT%20PALEMBANG/LKAI%20FIX%20TGL%2031%20OKTOBER%202013/M%20BURUNG/RAPAT%20PALEMBANG/FIX%20LKAI%20522%20DAN%20700%20M/H/310808%20RKAP%202009%20-%20Produksi.xlsx" TargetMode="External"/></Relationships>
</file>

<file path=xl/externalLinks/_rels/externalLink88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C\RKAP-2015\SUMUT\DRAFT%20LKAO%20&amp;%20LKAI%20SUMUT%20Th.%202015\G\F\RAPAT%20PALEMBANG\LKAI%20FIX%20TGL%2031%20OKTOBER%202013\M%20BURUNG\RAPAT%20PALEMBANG\FIX%20LKAI%20522%20DAN%20700%20M\H\Documents%20and%20Settings\SONY\Desktop\Feisal%20BPP%20-%20BPK\ARKAP%2006%20CPYG\RKAP_06_UAI.xls?4E149FB8" TargetMode="External"/><Relationship Id="rId1" Type="http://schemas.openxmlformats.org/officeDocument/2006/relationships/externalLinkPath" Target="/4E149FB8/RKAP_06_UAI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H/Documents%20and%20Settings/abdul.kudus/Local%20Settings/Temporary%20Internet%20Files/Content.Outlook/OC98C3O1/DATA/LAPORAN%20BAHAN%20BAKAR%202011/Database%20EPI%202011-RevJun3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FADILA/YANTEK/Yantek%202014/PENUNJANG-OPERASI/REVISI%20CIMAHI/RAB%20PENUNJANG%20Rev1%20(4)%20(2).xlsx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/data%20staff%20amr/SUSUT/VESUT/2014/2.%20TW%201%202014/Data/Ongko/Dokumen/Laporan%20AKTB%20ke%20wilayah/2013/DATA%202010/RKAP%202010%20FINAL%20PRY/REAL_KEND-0608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/data%20staff%20amr/SUSUT/VESUT/2014/2.%20TW%201%202014/Data/Ongko/Dokumen/Laporan%20AKTB%20ke%20wilayah/2013/DATA%202010/RKAP%202010%20FINAL%20PRY/REAL_INST-III08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L/backup%20(C)/My%20Documents/lely/RENCANA%20BULANAN/2007/RENCANA%20OKTOBER%202007/Documents%20and%20Settings/HP_Owner/My%20Documents/01RenOp/02ROB/Buku%20Rencana%20Bulan%20Desember%202005/Neraca%20Daya%20Desember%202005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/Kopkar1/c/LAINHARD/MYDOCU~1/pot04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LP%20PADALARANG/LAPORAN%20BULANAN/2026/05.%20MEI/05.%20PADALARANG_LAGACI_%20MEI%202026.xlsx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A/MENDI/RKAP-BALI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/AGUS/ADJ%202010/DJ%20PUNYA/Listrik%20mati/Rekap%20Listrik%20Mati09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L/Neraca%20Energi%202004%20(Ver8)%20Edit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/RKAP-2015/SUMUT/DRAFT%20LKAO%20&amp;%20LKAI%20SUMUT%20Th.%202015/G/F/RAPAT%20PALEMBANG/LKAI%20FIX%20TGL%2031%20OKTOBER%202013/M%20BURUNG/RAPAT%20PALEMBANG/FIX%20LKAI%20522%20DAN%20700%20M/H/My%20Documents/ANAKANAK/LkTW200/AT1999/AKPENY-J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L/RKAP%202007%20Kalselteng/Wilayah/NANING/RKAP_2005/Lk203TW1/LAPORAN/KontrolLaporanTW12003.xls" TargetMode="External"/></Relationships>
</file>

<file path=xl/externalLinks/_rels/externalLink101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H\Documents%20and%20Settings\abdul.kudus\Local%20Settings\Temporary%20Internet%20Files\Content.Outlook\OC98C3O1\Documents%20and%20Settings\anisa.yulia\Local%20Settings\Temporary%20Internet%20Files\Content.Outlook\IV8DZL0I\MNL\Evaluasi%20BA-MNL\0812%20dec%20.XLS?950BBC81" TargetMode="External"/><Relationship Id="rId1" Type="http://schemas.openxmlformats.org/officeDocument/2006/relationships/externalLinkPath" Target="/950BBC81/0812%20dec%20.XLS" TargetMode="External"/></Relationships>
</file>

<file path=xl/externalLinks/_rels/externalLink102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H\Documents%20and%20Settings\abdul.kudus\Local%20Settings\Temporary%20Internet%20Files\Content.Outlook\OC98C3O1\Documents%20and%20Settings\anisa.yulia\Local%20Settings\Temporary%20Internet%20Files\Content.Outlook\IV8DZL0I\MNL\Evaluasi%20BA-MNL\0711%20ESC%20nov%2007.xls?950BBC81" TargetMode="External"/><Relationship Id="rId1" Type="http://schemas.openxmlformats.org/officeDocument/2006/relationships/externalLinkPath" Target="/950BBC81/0711%20ESC%20nov%2007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T%20MUKTI%20ELEKTRIK/TAGIHAN%20HARDIS%20BARAT/TAGIHAN%20HARDIS%20BARAT%202015/TAGIHAN%20HARDIST%20BARAT%20JANUARI%202015/Tagihan%20APJ%20per%20September%202010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H/Documents%20and%20Settings/abdul.kudus/Local%20Settings/Temporary%20Internet%20Files/Content.Outlook/OC98C3O1/Damayanti%20File%20Bekup/PLN%20-%20Data%20File/RKAP%202010/A%20Program%202010/20090913%20RKAP%202010%20Rev3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Achmad%20Hariadi/Local%20Settings/Temporary%20Internet%20Files/Content.Outlook/5VWG30AD/ENTANG%20S/DATA_2007/12%20RB%20KEPDIR%20217%202007/12%20RB%20KEPDIR%20217%202007%20DJBB/12%20RB%20%20JUL%202007%20KEPDIR%20217%20DJBB%20GAB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binsar.wibawa/Desktop/10.18.40.93/Documents%20and%20Settings/DATA%20SEKO/fungsi-4/SURAT%20PERMOHONAN%20BLANGKO%20TUL%20III-03/blangko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H/H/H/Damayanti%20File%20Bekup/PLN%20-%20Data%20File/SKI%20AT/DATA%20SKI%20AT/perhitungan%20dan%20data/PIKITRING%20&amp;%20UP%20FAST%20TRACK/Data%20RKAP2009/PLANNING%20SESION-06/REGION_2/My%20Documents/NAMA%20NOMOR%20HP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/Users/hp/AppData/Roaming/Microsoft/Excel/DATA%20%20%20ITJUK/itjoek/DATA%20AKHIR%20REV-ITJOEK/El-For-AI'99'02/DElFor-pro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realisasi.SPK%20&amp;%20lsg.INVES%2008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A/My%20Documents/ERI%20P/KINERJA%20NTB/TARGET%20kit_p3b2003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/Kopkar3/d/barli%20mustari/Keuangan,%20tarif,%20upah,%20gaji%20dll/Gaji%20Anyar%2004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/Pcm/d/barli%20mustari/Keuangan,%20tarif,%20upah,%20gaji%20dll/gaji%20per%20unit/Gaji%20Adm%202005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/Pcm/d/barli%20mustari/Keuangan,%20tarif,%20upah,%20gaji%20dll/gaji%20per%20unit/Gaji%20Front%20Liner%202005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/Pcm/d/barli%20mustari/Keuangan,%20tarif,%20upah,%20gaji%20dll/gaji%20per%20unit/Gaji%20Operator%202005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/Pcm/d/barli%20mustari/Keuangan,%20tarif,%20upah,%20gaji%20dll/gaji%20per%20unit/Gaji%20Pgd%202005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/Pcm/d/barli%20mustari/Keuangan,%20tarif,%20upah,%20gaji%20dll/gaji%20per%20unit/Gaji%20Pengemudi%202005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H/LKAI%202015/PSP/LKAI%202015%20PSP/DATA%20PSP%20R-43%20RAB%202014/RAB%20SKKO%202014/230/FCO%20LA/2013/BANK%20RAB/BANK%20RAB%20SKKO%202013/RAB%20EMERGENCY%20TRW%20-%20I%202013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/RKAP-2015/SUMUT/DRAFT%20LKAO%20&amp;%20LKAI%20SUMUT%20Th.%202015/BANK%20DATA%20RONALD%20PLN%202012/FILE%20AI%202013/TEMPLATE%20USULAN%20BY%20SAP/01.%20Material%20Master/DM-MM-Deploy-Material%20Master-Distribusi-Wilayah%20Sumatera%20Utara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H/noll%20tm/Trw%20i%20&amp;%20ii/Trw%20i%2009/My%20Documents/PHI/D%20P%20P%20M/FUJI%2012V%2032X/Spareparts%20Standard%20TO%20Rehab%203%20Mesin%20Fuji%2012V-32X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/Documents%20and%20Settings/Sulendra/Local%20Settings/Temporary%20Internet%20Files/OLK26/RKAP%202004/RKAP%20AI%202004/2001/PROG-RKAP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/Documents%20and%20Settings/SONY/Desktop/Feisal%20BPP%20-%20BPK/Documents%20and%20Settings/suyyud.PUSAT/My%20Documents/DPR/DRAFTREVISI090605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binsar.wibawa/Desktop/Perencanaan/2006/RENKOR/2004/KINERJA%202004/Saidi-saifi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L/Documents%20and%20Settings/My%20Documents/fuad/2007/lkai/Lkai-P1/Jatim%20LKAI2007%20%2016062006%200.32%20(Prioritas%201)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L/data%20ke%20pusat%20rkap/Documents%20and%20Settings/Pratiwi1/Local%20Settings/Temporary%20Internet%20Files/OLK1A/RKAPNeraca-15-02-05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A/up/RAKORKIT-KALTIM/My%20Documents/BZK/REN-DMA-09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/Documents%20and%20Settings/AKT-RGT/My%20Documents/B's%20Datas/excel%20datas/ANEV/Thn%202006/Documents%20and%20Settings/Administrator/My%20Documents/excel%20data/ANEV/My%20Documents/Keuangan/My%20Do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binsar.wibawa/Desktop/KENIA-NIAGA-8/uai03/FORM-LKAI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/BIDANG_TEKNIK/1.%20PENGUSAHAAN/AP-10/Lap%20Wil%20Riau/Laporan%20Pengusahaan%20Tek%20V%20217-1_2010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binsar.wibawa/Desktop/Brs01/c/My%20Documents/NERACA%20SISTEM-030599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/My%20Documents/Doc%20Dist/data%20distribusi%20seko/DAFTAR%20GARDU%20OVER%20LOAD%20SEBERANG%20KOTA%202004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H/Dataku/data%20inu/job/RKAP/Damayanti%20File%20Bekup/PLN%20-%20Data%20File/SKI%20AT/DATA%20SKI%20AT/perhitungan%20dan%20data/PIKITRING%20&amp;%20UP%20FAST%20TRACK/unzipped/RKAP%20Laba_Rugi%201/LKTW101/LAPORAN/CashFlow012001Anggaran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A/hotman/DisJaya/CC/FIN%20ANALISIS-DISJAYA-CALL%20CENTRE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User/Desktop/D/A/hotman/DisJaya/CC/FIN%20ANALISIS-DISJAYA-CALL%20CENTRE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A/My%20Documents/RKAP2003/USULAN/tar-unt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H/Documents%20and%20Settings/abdul.kudus/Local%20Settings/Temporary%20Internet%20Files/Content.Outlook/OC98C3O1/RKAP%202008%20AI/REVISI%20PAGU%20INVEST%20(RAKER)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/data%20staff%20amr/SUSUT/VESUT/2014/2.%20TW%201%202014/Data/Users/user/AppData/Roaming/Microsoft/Excel/TER-UPDATE/FGTM03_30092009_Kalselteng(2)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L/DOCUME~1/HP_ADM~1/LOCALS~1/Temp/scp45796/Yohanes/LPRN%20BULANAN%202007/STAND%20KWH%20TH%202007-F12RB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/data%20staff%20amr/SUSUT/VESUT/2014/2.%20TW%201%202014/Data/Users/user/AppData/Roaming/Microsoft/Excel/DATA-SIS_PBUN/SLinepbun2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Achmad%20Hariadi/Local%20Settings/Temporary%20Internet%20Files/Content.Outlook/5VWG30AD/Documents%20and%20Settings/Zaenal_Niaga/My%20Documents/LOSSES%20UPJ%20DES/kwh%20GARDU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/Users/hp/AppData/Roaming/Microsoft/Excel/Documents%20and%20Settings/dani/Application%20Data/Microsoft/Excel/BAU-BAU/USULAN%20UAI%20TRW%20II,III,IV%202007/PROGRAM%20KINERJA/KINERJA%20CAB%20BAUS/lossss203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H/Documents%20and%20Settings/abdul.kudus/Local%20Settings/Temporary%20Internet%20Files/Content.Outlook/OC98C3O1/Documents%20and%20Settings/naturi/Local%20Settings/Temporary%20Internet%20Files/OLK5D/IPP%20(version%201)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/Documents%20and%20Settings/SONY/Desktop/Feisal%20BPP%20-%20BPK/RKAP%20Aplikasi/Bogor/TM1%20Output%20templates%201.31/RKAP%20Output%20Laba_%20Rugi1_31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binsar.wibawa/Desktop/Perencanaan/2006/My%20Documents/JOB%20DATAS/BIDANG%20RENUS/KINERJA/TARGET%20kit_p3b2003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I/RKAP%202009/AO_PSP_%202009/Daftar%20Nama%20MSA-OS%20PSP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I/RKAP/AO_PSP_%202009/Daftar%20Nama%20MSA-OS%20PSP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binsar.wibawa/Desktop/10.1.8.38/lm/LAMPIRAN%20LM%20TW%20IV%202004/gabungan%20pendukung%20lm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/AREA%20BENGKULU/INVESTASI%20BASKET%205%202013/INVESTASI%20AREA%20BENGKULU%202013/Usulan%20Basket%205%20Area%20Bengkulu%202013/GAWE%20TA.%202006/SPK/YUS/CETAK%20KHUSU%20IV/My%20Documents/Office/Dinas_PU/Yunaldi/1-BOQ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User/Desktop/D/DATA%20HP/Kangcepy-pc/LM-PDK-EXCEL-2006/BABEL/PEMADAMAN%20CABANG/Tabel%20Wilayah-cabang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RUDI/Application%20Data/Microsoft/Excel/TAGIHAN%20PT.MKM%20Cab.BJR%202010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/2%20wil/Desember/SSCABANG/Juli%202005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Documents%20and%20Settings/user/Application%20Data/Microsoft/Excel/Users/irahmansyah/Documents/Research%20Assistant/PLN/Data%20dari%20PLN/Worksheet%20in%206300%20TOP%20REPORT%20%20ADB%20-%201983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binsar.wibawa/Desktop/10.17.1.250/databank/MISC/Hoai/B-CAOQ~1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H/Documents%20and%20Settings/abdul.kudus/Local%20Settings/Temporary%20Internet%20Files/Content.Outlook/OC98C3O1/Operations/PLN/Metering/Download%20Result/2005/0510,%20Download%20Meter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H/Documents%20and%20Settings/abdul.kudus/Local%20Settings/Temporary%20Internet%20Files/Content.Outlook/OC98C3O1/Documents%20and%20Settings/Budyanto/My%20Documents/Form%20Distribusi%202006/LKAI2006W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/2009/Monitoring%20Anggaran/My%20Documents/MR.HALOHO/DAUS%20KIT.2003/FORM.12,13,14,12RB,FJK%20TH%202003/LAP.BULANAN%20KIT%20TH.2004/Id-Rengat-2004.xls" TargetMode="External"/></Relationships>
</file>

<file path=xl/externalLinks/_rels/externalLink157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C\data%20staff%20amr\SUSUT\SUSUT%20AREA\2014\4.%20DIST\Users\user\AppData\Roaming\Microsoft\Excel\Rekap%20Kinerja%20Distribusi\2011\TARGET%202011\pekerjaan\2009\distribusi\kinerja\target\target%20kin%2009(dr%20ren)\REN-SBTO%202007\RKAP%202008\TND\HPS2006.XLS?AABD3CB0" TargetMode="External"/><Relationship Id="rId1" Type="http://schemas.openxmlformats.org/officeDocument/2006/relationships/externalLinkPath" Target="/AABD3CB0/HPS2006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L/Form%20Isian/Babel%20090331%20SD%20TW%2009-01%20Rekapitulasi%20Laporan%20Distribusi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/AREA%20BENGKULU/INVESTASI%20BASKET%205%202013/INVESTASI%20AREA%20BENGKULU%202013/Usulan%20Basket%205%20Area%20Bengkulu%202013/My%20Documents/Office/P3FPD%202004/Land%20Clearing,%20Cut%20&amp;%20Fill%20SLTP/Land%20Clearing,%20Cut%20&amp;%20Fill%20SLTP%20(Penawaran)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/Neraca%20Energi%202004%20(Ver8)%20Edit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H/H/H/Documents%20and%20Settings/suyyud.PUSAT/My%20Documents/Documents%20and%20Settings/Manajer%20Teknik/Desktop/WINNT/Profiles/wkongsamut/Temporary%20Internet%20Files/Content.IE5/CDERGTUV/Danfoss%20Submission%20form%202004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"/>
      <sheetName val="rkap2010_latihan"/>
      <sheetName val="Amandemen-2004"/>
      <sheetName val="Selisih Prod"/>
      <sheetName val="Sheet1"/>
      <sheetName val="Pembelian"/>
      <sheetName val="TM1Beli"/>
      <sheetName val="Tap2006"/>
      <sheetName val="Sheet3"/>
      <sheetName val="NEKons"/>
      <sheetName val="NerSubsis"/>
      <sheetName val="Penjualan08"/>
      <sheetName val="Penjualan09"/>
      <sheetName val="Beli"/>
      <sheetName val="Sewa"/>
      <sheetName val="Penjualan10"/>
      <sheetName val="Sale10vAGA"/>
      <sheetName val="Gab 2010-2011 Ver1"/>
      <sheetName val="Visi Dis 2012"/>
      <sheetName val="Banding"/>
      <sheetName val="rkap2010"/>
      <sheetName val="Sheet5"/>
      <sheetName val="Sheet4"/>
      <sheetName val="Uraian"/>
      <sheetName val="Prod01"/>
      <sheetName val="Prod2"/>
      <sheetName val="List"/>
      <sheetName val="Kamus"/>
      <sheetName val="TaraKalor"/>
      <sheetName val="Catatan"/>
      <sheetName val="Sheet2"/>
      <sheetName val="KSU"/>
      <sheetName val="KSS"/>
      <sheetName val="Sampul"/>
      <sheetName val="Chek"/>
      <sheetName val="kCal"/>
      <sheetName val="HitBln"/>
      <sheetName val="BBkr"/>
      <sheetName val="Compatibility Report"/>
      <sheetName val="20100119 RKAP 2010 - All Reg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72">
          <cell r="AB72">
            <v>4323911</v>
          </cell>
        </row>
        <row r="121">
          <cell r="AB121">
            <v>215711</v>
          </cell>
        </row>
        <row r="289">
          <cell r="AB289">
            <v>1527170</v>
          </cell>
        </row>
        <row r="380">
          <cell r="AB380">
            <v>3600000</v>
          </cell>
        </row>
        <row r="586">
          <cell r="R586">
            <v>390</v>
          </cell>
        </row>
        <row r="625">
          <cell r="AB625">
            <v>17029951.0257481</v>
          </cell>
        </row>
        <row r="684">
          <cell r="AB684">
            <v>6765876.6806400008</v>
          </cell>
        </row>
        <row r="689">
          <cell r="U689">
            <v>28152928.496560022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>
        <row r="142">
          <cell r="C142">
            <v>5621.16</v>
          </cell>
        </row>
        <row r="143">
          <cell r="C143">
            <v>5415.05</v>
          </cell>
        </row>
        <row r="144">
          <cell r="C144">
            <v>3820.15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"/>
      <sheetName val="C"/>
      <sheetName val="I"/>
      <sheetName val="LR"/>
      <sheetName val="RL-BPP"/>
      <sheetName val="Asumsi "/>
      <sheetName val="BPP"/>
      <sheetName val="Harga BBM"/>
      <sheetName val="SubLis-07"/>
      <sheetName val="Rekap Sublis"/>
      <sheetName val="Rekap BPP"/>
      <sheetName val="D"/>
      <sheetName val="E"/>
      <sheetName val="F"/>
      <sheetName val="G"/>
      <sheetName val="H"/>
      <sheetName val="J"/>
      <sheetName val="K"/>
      <sheetName val="L"/>
      <sheetName val="M"/>
      <sheetName val="By Non BPP-06"/>
      <sheetName val="LRAnak"/>
      <sheetName val="KWHJUAL"/>
      <sheetName val="Indk"/>
      <sheetName val="Debcap"/>
      <sheetName val="asumsi-or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3">
          <cell r="F3">
            <v>1997</v>
          </cell>
          <cell r="G3">
            <v>1998</v>
          </cell>
          <cell r="H3">
            <v>1999</v>
          </cell>
          <cell r="I3">
            <v>2000</v>
          </cell>
          <cell r="J3">
            <v>2001</v>
          </cell>
          <cell r="K3">
            <v>2002</v>
          </cell>
          <cell r="L3">
            <v>2003</v>
          </cell>
          <cell r="M3">
            <v>2004</v>
          </cell>
          <cell r="N3">
            <v>2005</v>
          </cell>
          <cell r="V3">
            <v>0</v>
          </cell>
          <cell r="W3">
            <v>0</v>
          </cell>
          <cell r="X3" t="e">
            <v>#REF!</v>
          </cell>
          <cell r="Y3" t="e">
            <v>#REF!</v>
          </cell>
          <cell r="Z3" t="e">
            <v>#REF!</v>
          </cell>
          <cell r="AA3" t="e">
            <v>#REF!</v>
          </cell>
          <cell r="AB3" t="e">
            <v>#REF!</v>
          </cell>
          <cell r="AC3" t="e">
            <v>#REF!</v>
          </cell>
          <cell r="AD3" t="e">
            <v>#REF!</v>
          </cell>
          <cell r="AL3" t="e">
            <v>#REF!</v>
          </cell>
          <cell r="AM3" t="e">
            <v>#REF!</v>
          </cell>
          <cell r="AN3" t="e">
            <v>#REF!</v>
          </cell>
          <cell r="AO3" t="e">
            <v>#REF!</v>
          </cell>
          <cell r="AP3" t="e">
            <v>#REF!</v>
          </cell>
          <cell r="AQ3" t="e">
            <v>#REF!</v>
          </cell>
          <cell r="AR3" t="e">
            <v>#REF!</v>
          </cell>
          <cell r="AS3" t="e">
            <v>#REF!</v>
          </cell>
          <cell r="AT3" t="e">
            <v>#REF!</v>
          </cell>
        </row>
        <row r="5">
          <cell r="F5">
            <v>1621.373253</v>
          </cell>
          <cell r="G5">
            <v>1749.61048669</v>
          </cell>
          <cell r="H5">
            <v>2163.9659999999999</v>
          </cell>
          <cell r="I5">
            <v>2689.9989999999998</v>
          </cell>
          <cell r="J5">
            <v>4470.1688299999996</v>
          </cell>
          <cell r="K5">
            <v>9081.7746199999983</v>
          </cell>
          <cell r="L5">
            <v>14841.591936119999</v>
          </cell>
          <cell r="M5">
            <v>13829.510993346001</v>
          </cell>
          <cell r="N5">
            <v>27862.944825465998</v>
          </cell>
          <cell r="V5" t="e">
            <v>#REF!</v>
          </cell>
          <cell r="W5" t="e">
            <v>#REF!</v>
          </cell>
          <cell r="X5" t="e">
            <v>#REF!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F6">
            <v>623.81799599999999</v>
          </cell>
          <cell r="G6">
            <v>796.31061119999993</v>
          </cell>
          <cell r="H6">
            <v>1770.49</v>
          </cell>
          <cell r="I6">
            <v>2020.136</v>
          </cell>
          <cell r="J6">
            <v>2798.1249870000001</v>
          </cell>
          <cell r="K6">
            <v>3088.502</v>
          </cell>
          <cell r="L6">
            <v>3499.984888</v>
          </cell>
          <cell r="M6">
            <v>3583.683</v>
          </cell>
          <cell r="N6">
            <v>4337.67066978</v>
          </cell>
          <cell r="V6" t="e">
            <v>#REF!</v>
          </cell>
          <cell r="W6" t="e">
            <v>#REF!</v>
          </cell>
          <cell r="X6" t="e">
            <v>#REF!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F7">
            <v>1851.6610048238483</v>
          </cell>
          <cell r="G7">
            <v>5865.5384139999996</v>
          </cell>
          <cell r="H7">
            <v>5026.7420000000002</v>
          </cell>
          <cell r="I7">
            <v>4985.8379999999997</v>
          </cell>
          <cell r="J7">
            <v>5801.6897900000004</v>
          </cell>
          <cell r="K7">
            <v>4533.183</v>
          </cell>
          <cell r="L7">
            <v>3911.4524900000001</v>
          </cell>
          <cell r="M7">
            <v>3557.3870000000002</v>
          </cell>
          <cell r="N7">
            <v>3779.9339483160002</v>
          </cell>
          <cell r="V7" t="e">
            <v>#REF!</v>
          </cell>
          <cell r="W7" t="e">
            <v>#REF!</v>
          </cell>
          <cell r="X7" t="e">
            <v>#REF!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F8">
            <v>241.98332500000001</v>
          </cell>
          <cell r="G8">
            <v>965.277939363271</v>
          </cell>
          <cell r="H8">
            <v>698.39</v>
          </cell>
          <cell r="I8">
            <v>648.62900000000002</v>
          </cell>
          <cell r="J8">
            <v>884.31144200000006</v>
          </cell>
          <cell r="K8">
            <v>959.08100000000002</v>
          </cell>
          <cell r="L8">
            <v>1061.6760320000001</v>
          </cell>
          <cell r="M8">
            <v>1035.557</v>
          </cell>
          <cell r="N8">
            <v>1302.235525824</v>
          </cell>
          <cell r="V8" t="e">
            <v>#REF!</v>
          </cell>
          <cell r="W8" t="e">
            <v>#REF!</v>
          </cell>
          <cell r="X8" t="e">
            <v>#REF!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11">
          <cell r="F11">
            <v>2250.7089358696021</v>
          </cell>
          <cell r="G11">
            <v>3074.1489999999999</v>
          </cell>
          <cell r="H11">
            <v>3224.331494</v>
          </cell>
          <cell r="I11">
            <v>3229.5920000000001</v>
          </cell>
          <cell r="J11">
            <v>3404</v>
          </cell>
          <cell r="K11">
            <v>15626.763000000001</v>
          </cell>
          <cell r="L11">
            <v>12745.047489459001</v>
          </cell>
          <cell r="M11">
            <v>9547.5546579999991</v>
          </cell>
          <cell r="N11">
            <v>9722.3153036889998</v>
          </cell>
          <cell r="V11">
            <v>0</v>
          </cell>
          <cell r="W11">
            <v>2006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 t="e">
            <v>#REF!</v>
          </cell>
          <cell r="AD11" t="e">
            <v>#REF!</v>
          </cell>
          <cell r="AL11" t="e">
            <v>#REF!</v>
          </cell>
          <cell r="AM11" t="e">
            <v>#REF!</v>
          </cell>
          <cell r="AN11" t="e">
            <v>#REF!</v>
          </cell>
          <cell r="AO11" t="e">
            <v>#REF!</v>
          </cell>
          <cell r="AP11" t="e">
            <v>#REF!</v>
          </cell>
          <cell r="AQ11" t="e">
            <v>#REF!</v>
          </cell>
          <cell r="AR11" t="e">
            <v>#REF!</v>
          </cell>
          <cell r="AS11" t="e">
            <v>#REF!</v>
          </cell>
          <cell r="AT11" t="e">
            <v>#REF!</v>
          </cell>
        </row>
        <row r="12">
          <cell r="F12">
            <v>2535.0300950000001</v>
          </cell>
          <cell r="G12">
            <v>2439.6970000000001</v>
          </cell>
          <cell r="H12">
            <v>3503.8323729999997</v>
          </cell>
          <cell r="I12">
            <v>4215.029759</v>
          </cell>
          <cell r="J12">
            <v>5810.8356029999995</v>
          </cell>
          <cell r="K12">
            <v>7592.7240000000002</v>
          </cell>
          <cell r="L12">
            <v>13525.783679401</v>
          </cell>
          <cell r="M12">
            <v>13701.349160999998</v>
          </cell>
          <cell r="N12">
            <v>15347.668895265</v>
          </cell>
          <cell r="V12">
            <v>0</v>
          </cell>
          <cell r="W12">
            <v>4007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 t="e">
            <v>#REF!</v>
          </cell>
          <cell r="AD12" t="e">
            <v>#REF!</v>
          </cell>
          <cell r="AL12" t="e">
            <v>#REF!</v>
          </cell>
          <cell r="AM12" t="e">
            <v>#REF!</v>
          </cell>
          <cell r="AN12" t="e">
            <v>#REF!</v>
          </cell>
          <cell r="AO12" t="e">
            <v>#REF!</v>
          </cell>
          <cell r="AP12" t="e">
            <v>#REF!</v>
          </cell>
          <cell r="AQ12" t="e">
            <v>#REF!</v>
          </cell>
          <cell r="AR12" t="e">
            <v>#REF!</v>
          </cell>
          <cell r="AS12" t="e">
            <v>#REF!</v>
          </cell>
          <cell r="AT12" t="e">
            <v>#REF!</v>
          </cell>
        </row>
        <row r="13">
          <cell r="F13">
            <v>4338.8355788238487</v>
          </cell>
          <cell r="G13">
            <v>9408.9660000000003</v>
          </cell>
          <cell r="H13">
            <v>9691.8130000000001</v>
          </cell>
          <cell r="I13">
            <v>10375.826999999999</v>
          </cell>
          <cell r="J13">
            <v>14007.295049</v>
          </cell>
          <cell r="K13">
            <v>17957.261999999999</v>
          </cell>
          <cell r="L13">
            <v>21477.867201000001</v>
          </cell>
          <cell r="M13">
            <v>24491.052475</v>
          </cell>
          <cell r="N13">
            <v>37355.450093312</v>
          </cell>
          <cell r="V13">
            <v>0</v>
          </cell>
          <cell r="W13">
            <v>0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 t="e">
            <v>#REF!</v>
          </cell>
          <cell r="AD13" t="e">
            <v>#REF!</v>
          </cell>
          <cell r="AL13" t="e">
            <v>#REF!</v>
          </cell>
          <cell r="AM13" t="e">
            <v>#REF!</v>
          </cell>
          <cell r="AN13" t="e">
            <v>#REF!</v>
          </cell>
          <cell r="AO13" t="e">
            <v>#REF!</v>
          </cell>
          <cell r="AP13" t="e">
            <v>#REF!</v>
          </cell>
          <cell r="AQ13" t="e">
            <v>#REF!</v>
          </cell>
          <cell r="AR13" t="e">
            <v>#REF!</v>
          </cell>
          <cell r="AS13" t="e">
            <v>#REF!</v>
          </cell>
          <cell r="AT13" t="e">
            <v>#REF!</v>
          </cell>
        </row>
        <row r="14">
          <cell r="F14">
            <v>325.16199999999998</v>
          </cell>
          <cell r="G14">
            <v>1885.9630000000002</v>
          </cell>
          <cell r="H14">
            <v>5082.7030000000004</v>
          </cell>
          <cell r="I14">
            <v>9395.3649999999998</v>
          </cell>
          <cell r="J14">
            <v>8717.1405369999993</v>
          </cell>
          <cell r="K14">
            <v>11168.841317</v>
          </cell>
          <cell r="L14">
            <v>10837.795807893999</v>
          </cell>
          <cell r="M14">
            <v>11970.810670000001</v>
          </cell>
          <cell r="N14">
            <v>13598.16650118</v>
          </cell>
          <cell r="V14">
            <v>0</v>
          </cell>
          <cell r="W14" t="str">
            <v>Bunga pajak revaluasi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 t="e">
            <v>#REF!</v>
          </cell>
          <cell r="AD14" t="e">
            <v>#REF!</v>
          </cell>
          <cell r="AL14" t="e">
            <v>#REF!</v>
          </cell>
          <cell r="AM14" t="e">
            <v>#REF!</v>
          </cell>
          <cell r="AN14" t="e">
            <v>#REF!</v>
          </cell>
          <cell r="AO14" t="e">
            <v>#REF!</v>
          </cell>
          <cell r="AP14" t="e">
            <v>#REF!</v>
          </cell>
          <cell r="AQ14" t="e">
            <v>#REF!</v>
          </cell>
          <cell r="AR14" t="e">
            <v>#REF!</v>
          </cell>
          <cell r="AS14" t="e">
            <v>#REF!</v>
          </cell>
          <cell r="AT14" t="e">
            <v>#REF!</v>
          </cell>
        </row>
        <row r="17"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V17">
            <v>0</v>
          </cell>
          <cell r="W17">
            <v>0</v>
          </cell>
          <cell r="X17" t="e">
            <v>#REF!</v>
          </cell>
          <cell r="Y17" t="e">
            <v>#REF!</v>
          </cell>
          <cell r="Z17" t="e">
            <v>#REF!</v>
          </cell>
          <cell r="AA17" t="e">
            <v>#REF!</v>
          </cell>
          <cell r="AB17" t="e">
            <v>#REF!</v>
          </cell>
          <cell r="AC17" t="e">
            <v>#REF!</v>
          </cell>
          <cell r="AD17" t="e">
            <v>#REF!</v>
          </cell>
          <cell r="AL17" t="e">
            <v>#REF!</v>
          </cell>
          <cell r="AM17" t="e">
            <v>#REF!</v>
          </cell>
          <cell r="AN17" t="e">
            <v>#REF!</v>
          </cell>
          <cell r="AO17" t="e">
            <v>#REF!</v>
          </cell>
          <cell r="AP17" t="e">
            <v>#REF!</v>
          </cell>
          <cell r="AQ17" t="e">
            <v>#REF!</v>
          </cell>
          <cell r="AR17" t="e">
            <v>#REF!</v>
          </cell>
          <cell r="AS17" t="e">
            <v>#REF!</v>
          </cell>
          <cell r="AT17" t="e">
            <v>#REF!</v>
          </cell>
        </row>
        <row r="18">
          <cell r="F18">
            <v>1665.5129999999999</v>
          </cell>
          <cell r="G18">
            <v>2855.1119680000002</v>
          </cell>
          <cell r="H18">
            <v>1965.2539999999999</v>
          </cell>
          <cell r="I18">
            <v>1731.982</v>
          </cell>
          <cell r="J18">
            <v>1080.097</v>
          </cell>
          <cell r="K18">
            <v>1347.008</v>
          </cell>
          <cell r="L18">
            <v>970.48199999999997</v>
          </cell>
          <cell r="M18">
            <v>2017.3400000000001</v>
          </cell>
          <cell r="N18">
            <v>1425</v>
          </cell>
          <cell r="V18">
            <v>0</v>
          </cell>
          <cell r="W18">
            <v>0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  <cell r="AC18" t="e">
            <v>#REF!</v>
          </cell>
          <cell r="AD18" t="e">
            <v>#REF!</v>
          </cell>
          <cell r="AL18" t="e">
            <v>#REF!</v>
          </cell>
          <cell r="AM18" t="e">
            <v>#REF!</v>
          </cell>
          <cell r="AN18" t="e">
            <v>#REF!</v>
          </cell>
          <cell r="AO18" t="e">
            <v>#REF!</v>
          </cell>
          <cell r="AP18" t="e">
            <v>#REF!</v>
          </cell>
          <cell r="AQ18" t="e">
            <v>#REF!</v>
          </cell>
          <cell r="AR18" t="e">
            <v>#REF!</v>
          </cell>
          <cell r="AS18" t="e">
            <v>#REF!</v>
          </cell>
          <cell r="AT18" t="e">
            <v>#REF!</v>
          </cell>
        </row>
        <row r="19">
          <cell r="F19">
            <v>4743.9478183075298</v>
          </cell>
          <cell r="G19">
            <v>7496.09</v>
          </cell>
          <cell r="H19">
            <v>2905.0049903704912</v>
          </cell>
          <cell r="I19">
            <v>1669.0057679999979</v>
          </cell>
          <cell r="J19">
            <v>357.38</v>
          </cell>
          <cell r="K19">
            <v>298.89800000000002</v>
          </cell>
          <cell r="L19">
            <v>701.49675300000001</v>
          </cell>
          <cell r="M19">
            <v>4187.4505666750156</v>
          </cell>
          <cell r="N19">
            <v>4991.5213593369863</v>
          </cell>
          <cell r="V19">
            <v>0</v>
          </cell>
          <cell r="W19">
            <v>0</v>
          </cell>
          <cell r="X19" t="e">
            <v>#REF!</v>
          </cell>
          <cell r="Y19" t="e">
            <v>#REF!</v>
          </cell>
          <cell r="Z19" t="e">
            <v>#REF!</v>
          </cell>
          <cell r="AA19" t="e">
            <v>#REF!</v>
          </cell>
          <cell r="AB19" t="e">
            <v>#REF!</v>
          </cell>
          <cell r="AC19" t="e">
            <v>#REF!</v>
          </cell>
          <cell r="AD19" t="e">
            <v>#REF!</v>
          </cell>
          <cell r="AL19" t="e">
            <v>#REF!</v>
          </cell>
          <cell r="AM19" t="e">
            <v>#REF!</v>
          </cell>
          <cell r="AN19" t="e">
            <v>#REF!</v>
          </cell>
          <cell r="AO19" t="e">
            <v>#REF!</v>
          </cell>
          <cell r="AP19" t="e">
            <v>#REF!</v>
          </cell>
          <cell r="AQ19" t="e">
            <v>#REF!</v>
          </cell>
          <cell r="AR19" t="e">
            <v>#REF!</v>
          </cell>
          <cell r="AS19" t="e">
            <v>#REF!</v>
          </cell>
          <cell r="AT19" t="e">
            <v>#REF!</v>
          </cell>
        </row>
        <row r="20">
          <cell r="F20">
            <v>4295.1447816924701</v>
          </cell>
          <cell r="G20">
            <v>1863.7849952257334</v>
          </cell>
          <cell r="H20">
            <v>1647.4319404086091</v>
          </cell>
          <cell r="I20">
            <v>1232.2012320000022</v>
          </cell>
          <cell r="J20">
            <v>2159.5861580000042</v>
          </cell>
          <cell r="K20">
            <v>2469.5963084543973</v>
          </cell>
          <cell r="L20">
            <v>5685.0557054393366</v>
          </cell>
          <cell r="M20">
            <v>10754.693853324985</v>
          </cell>
          <cell r="N20">
            <v>8771.2956406630146</v>
          </cell>
          <cell r="V20">
            <v>0</v>
          </cell>
          <cell r="W20">
            <v>0</v>
          </cell>
          <cell r="X20" t="e">
            <v>#REF!</v>
          </cell>
          <cell r="Y20" t="e">
            <v>#REF!</v>
          </cell>
          <cell r="Z20" t="e">
            <v>#REF!</v>
          </cell>
          <cell r="AA20" t="e">
            <v>#REF!</v>
          </cell>
          <cell r="AB20" t="e">
            <v>#REF!</v>
          </cell>
          <cell r="AC20" t="e">
            <v>#REF!</v>
          </cell>
          <cell r="AD20" t="e">
            <v>#REF!</v>
          </cell>
          <cell r="AL20" t="e">
            <v>#REF!</v>
          </cell>
          <cell r="AM20" t="e">
            <v>#REF!</v>
          </cell>
          <cell r="AN20" t="e">
            <v>#REF!</v>
          </cell>
          <cell r="AO20" t="e">
            <v>#REF!</v>
          </cell>
          <cell r="AP20" t="e">
            <v>#REF!</v>
          </cell>
          <cell r="AQ20" t="e">
            <v>#REF!</v>
          </cell>
          <cell r="AR20" t="e">
            <v>#REF!</v>
          </cell>
          <cell r="AS20" t="e">
            <v>#REF!</v>
          </cell>
          <cell r="AT20" t="e">
            <v>#REF!</v>
          </cell>
        </row>
        <row r="23">
          <cell r="F23">
            <v>11126.104431800635</v>
          </cell>
          <cell r="G23">
            <v>14035.984774480003</v>
          </cell>
          <cell r="H23">
            <v>15997.499572128003</v>
          </cell>
          <cell r="I23">
            <v>22556.778999999999</v>
          </cell>
          <cell r="J23">
            <v>35359.957516000002</v>
          </cell>
          <cell r="K23">
            <v>44183.353999999999</v>
          </cell>
          <cell r="L23">
            <v>54430.777801407996</v>
          </cell>
          <cell r="M23">
            <v>62273.061744999999</v>
          </cell>
          <cell r="N23">
            <v>76543.32426870201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L23" t="e">
            <v>#REF!</v>
          </cell>
          <cell r="AM23" t="e">
            <v>#REF!</v>
          </cell>
          <cell r="AN23" t="e">
            <v>#REF!</v>
          </cell>
          <cell r="AO23" t="e">
            <v>#REF!</v>
          </cell>
          <cell r="AP23" t="e">
            <v>#REF!</v>
          </cell>
          <cell r="AQ23" t="e">
            <v>#REF!</v>
          </cell>
          <cell r="AR23" t="e">
            <v>#REF!</v>
          </cell>
          <cell r="AS23" t="e">
            <v>#REF!</v>
          </cell>
          <cell r="AT23" t="e">
            <v>#REF!</v>
          </cell>
        </row>
        <row r="24">
          <cell r="F24">
            <v>9449.7366096934511</v>
          </cell>
          <cell r="G24">
            <v>16808.775000000001</v>
          </cell>
          <cell r="H24">
            <v>21502.679866999999</v>
          </cell>
          <cell r="I24">
            <v>27215.813758999997</v>
          </cell>
          <cell r="J24">
            <v>31939.271189000003</v>
          </cell>
          <cell r="K24">
            <v>52345.590317000002</v>
          </cell>
          <cell r="L24">
            <v>58586.494177754001</v>
          </cell>
          <cell r="M24">
            <v>59710.766964000002</v>
          </cell>
          <cell r="N24">
            <v>76023.600793446007</v>
          </cell>
          <cell r="V24">
            <v>0</v>
          </cell>
          <cell r="W24" t="str">
            <v>Jumlah</v>
          </cell>
          <cell r="X24" t="e">
            <v>#REF!</v>
          </cell>
          <cell r="Y24" t="e">
            <v>#REF!</v>
          </cell>
          <cell r="Z24" t="e">
            <v>#REF!</v>
          </cell>
          <cell r="AA24" t="e">
            <v>#REF!</v>
          </cell>
          <cell r="AB24" t="e">
            <v>#REF!</v>
          </cell>
          <cell r="AC24" t="e">
            <v>#REF!</v>
          </cell>
          <cell r="AD24" t="e">
            <v>#REF!</v>
          </cell>
          <cell r="AL24" t="e">
            <v>#REF!</v>
          </cell>
          <cell r="AM24" t="e">
            <v>#REF!</v>
          </cell>
          <cell r="AN24" t="e">
            <v>#REF!</v>
          </cell>
          <cell r="AO24" t="e">
            <v>#REF!</v>
          </cell>
          <cell r="AP24" t="e">
            <v>#REF!</v>
          </cell>
          <cell r="AQ24" t="e">
            <v>#REF!</v>
          </cell>
          <cell r="AR24" t="e">
            <v>#REF!</v>
          </cell>
          <cell r="AS24" t="e">
            <v>#REF!</v>
          </cell>
          <cell r="AT24" t="e">
            <v>#REF!</v>
          </cell>
        </row>
        <row r="27">
          <cell r="F27" t="e">
            <v>#REF!</v>
          </cell>
          <cell r="G27" t="e">
            <v>#REF!</v>
          </cell>
          <cell r="H27">
            <v>-9.2683068618401414</v>
          </cell>
          <cell r="I27">
            <v>-0.91549556327960491</v>
          </cell>
          <cell r="J27">
            <v>3.7973081637382595</v>
          </cell>
          <cell r="K27">
            <v>-5.8121362029247186</v>
          </cell>
          <cell r="L27">
            <v>-3.0753395239041117</v>
          </cell>
          <cell r="M27">
            <v>-0.34677500928398225</v>
          </cell>
          <cell r="N27">
            <v>-1.2466221229384471</v>
          </cell>
          <cell r="V27">
            <v>0</v>
          </cell>
          <cell r="W27">
            <v>0</v>
          </cell>
          <cell r="X27" t="e">
            <v>#REF!</v>
          </cell>
          <cell r="Y27" t="e">
            <v>#REF!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L27" t="e">
            <v>#REF!</v>
          </cell>
          <cell r="AM27" t="e">
            <v>#REF!</v>
          </cell>
          <cell r="AN27" t="e">
            <v>#REF!</v>
          </cell>
          <cell r="AO27" t="e">
            <v>#REF!</v>
          </cell>
          <cell r="AP27" t="e">
            <v>#REF!</v>
          </cell>
          <cell r="AQ27" t="e">
            <v>#REF!</v>
          </cell>
          <cell r="AR27" t="e">
            <v>#REF!</v>
          </cell>
          <cell r="AS27" t="e">
            <v>#REF!</v>
          </cell>
          <cell r="AT27" t="e">
            <v>#REF!</v>
          </cell>
        </row>
        <row r="28">
          <cell r="F28">
            <v>40.288181842214591</v>
          </cell>
          <cell r="G28">
            <v>18.99440492357186</v>
          </cell>
          <cell r="H28">
            <v>20.600420381522607</v>
          </cell>
          <cell r="I28">
            <v>25.0661330418666</v>
          </cell>
          <cell r="J28">
            <v>52.479930652587555</v>
          </cell>
          <cell r="K28">
            <v>49.164286606973683</v>
          </cell>
          <cell r="L28">
            <v>59.985784530167955</v>
          </cell>
          <cell r="M28">
            <v>81.6722612015094</v>
          </cell>
          <cell r="N28">
            <v>81.854108306640711</v>
          </cell>
          <cell r="V28">
            <v>0</v>
          </cell>
          <cell r="W28">
            <v>0</v>
          </cell>
          <cell r="X28" t="e">
            <v>#REF!</v>
          </cell>
          <cell r="Y28" t="e">
            <v>#REF!</v>
          </cell>
          <cell r="Z28" t="e">
            <v>#REF!</v>
          </cell>
          <cell r="AA28" t="e">
            <v>#REF!</v>
          </cell>
          <cell r="AB28" t="e">
            <v>#REF!</v>
          </cell>
          <cell r="AC28" t="e">
            <v>#REF!</v>
          </cell>
          <cell r="AD28" t="e">
            <v>#REF!</v>
          </cell>
          <cell r="AL28" t="e">
            <v>#REF!</v>
          </cell>
          <cell r="AM28" t="e">
            <v>#REF!</v>
          </cell>
          <cell r="AN28" t="e">
            <v>#REF!</v>
          </cell>
          <cell r="AO28" t="e">
            <v>#REF!</v>
          </cell>
          <cell r="AP28" t="e">
            <v>#REF!</v>
          </cell>
          <cell r="AQ28" t="e">
            <v>#REF!</v>
          </cell>
          <cell r="AR28" t="e">
            <v>#REF!</v>
          </cell>
          <cell r="AS28" t="e">
            <v>#REF!</v>
          </cell>
          <cell r="AT28" t="e">
            <v>#REF!</v>
          </cell>
        </row>
        <row r="29">
          <cell r="F29">
            <v>45.265555560409886</v>
          </cell>
          <cell r="G29">
            <v>64.589765815063316</v>
          </cell>
          <cell r="H29">
            <v>78.464231406741163</v>
          </cell>
          <cell r="I29">
            <v>71.976214402918075</v>
          </cell>
          <cell r="J29">
            <v>71.591222205668913</v>
          </cell>
          <cell r="K29">
            <v>26.856252154953076</v>
          </cell>
          <cell r="L29">
            <v>29.598984635550096</v>
          </cell>
          <cell r="M29">
            <v>30.359957236154411</v>
          </cell>
          <cell r="N29">
            <v>34.065524958079443</v>
          </cell>
          <cell r="V29">
            <v>0</v>
          </cell>
          <cell r="W29">
            <v>0</v>
          </cell>
          <cell r="X29" t="e">
            <v>#REF!</v>
          </cell>
          <cell r="Y29" t="e">
            <v>#REF!</v>
          </cell>
          <cell r="Z29" t="e">
            <v>#REF!</v>
          </cell>
          <cell r="AA29" t="e">
            <v>#REF!</v>
          </cell>
          <cell r="AB29" t="e">
            <v>#REF!</v>
          </cell>
          <cell r="AC29" t="e">
            <v>#REF!</v>
          </cell>
          <cell r="AD29" t="e">
            <v>#REF!</v>
          </cell>
        </row>
        <row r="40">
          <cell r="B40" t="str">
            <v>/XMM:C40~</v>
          </cell>
        </row>
        <row r="51">
          <cell r="B51" t="str">
            <v>/XMM:C51~</v>
          </cell>
        </row>
        <row r="136">
          <cell r="D136" t="str">
            <v>{goto}j:a1~</v>
          </cell>
        </row>
        <row r="141">
          <cell r="D141" t="str">
            <v>{goto}k:a1~</v>
          </cell>
        </row>
        <row r="146">
          <cell r="D146" t="str">
            <v>{goto}l:a1~</v>
          </cell>
        </row>
        <row r="151">
          <cell r="D151" t="str">
            <v>/wtc{goto}b:a188~</v>
          </cell>
        </row>
        <row r="156">
          <cell r="D156" t="str">
            <v>/WTC{goto}b:a360~{down}{down}/wth</v>
          </cell>
        </row>
        <row r="161">
          <cell r="D161" t="str">
            <v>/XMM:E161~</v>
          </cell>
        </row>
        <row r="166">
          <cell r="D166" t="str">
            <v>{goto}m:a1~</v>
          </cell>
        </row>
        <row r="169">
          <cell r="C169" t="str">
            <v>/XMM:D169~</v>
          </cell>
        </row>
        <row r="228">
          <cell r="A228" t="str">
            <v>/XMM:B228~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nyulang"/>
      <sheetName val="TOTAL"/>
      <sheetName val="har 70"/>
      <sheetName val="har 150"/>
      <sheetName val="GGN TRANS 150"/>
      <sheetName val="GGN TRANS 70"/>
      <sheetName val="GGN-PENYULANG"/>
      <sheetName val="GGN-TRANSMISI-07"/>
      <sheetName val="GGN-KIT-07"/>
      <sheetName val="KINERJA KIT"/>
      <sheetName val="GGN TRANS"/>
      <sheetName val="DATA-BASE SUTT"/>
      <sheetName val="TRF-0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11">
          <cell r="K11">
            <v>0.1111111111111111</v>
          </cell>
          <cell r="L11">
            <v>1</v>
          </cell>
          <cell r="M11">
            <v>26811.360000000001</v>
          </cell>
          <cell r="O11">
            <v>0</v>
          </cell>
          <cell r="P11">
            <v>0</v>
          </cell>
          <cell r="Q11">
            <v>23.888888888888889</v>
          </cell>
          <cell r="S11">
            <v>214490.88</v>
          </cell>
          <cell r="V11">
            <v>5</v>
          </cell>
          <cell r="Y11">
            <v>0</v>
          </cell>
        </row>
        <row r="12">
          <cell r="V12">
            <v>18</v>
          </cell>
        </row>
        <row r="13">
          <cell r="K13">
            <v>6.9444444444433095E-4</v>
          </cell>
          <cell r="L13">
            <v>1</v>
          </cell>
          <cell r="M13">
            <v>33.333333333333336</v>
          </cell>
          <cell r="O13">
            <v>0</v>
          </cell>
          <cell r="Q13">
            <v>23.999305555555555</v>
          </cell>
          <cell r="S13">
            <v>47966.666666666672</v>
          </cell>
          <cell r="V13">
            <v>19</v>
          </cell>
          <cell r="Y13">
            <v>0</v>
          </cell>
        </row>
        <row r="14">
          <cell r="K14">
            <v>6.5277777777777768E-2</v>
          </cell>
          <cell r="L14">
            <v>1</v>
          </cell>
          <cell r="O14">
            <v>0</v>
          </cell>
          <cell r="V14">
            <v>1</v>
          </cell>
          <cell r="Y14">
            <v>0</v>
          </cell>
        </row>
        <row r="15">
          <cell r="N15">
            <v>0.17986111111111108</v>
          </cell>
          <cell r="O15">
            <v>1</v>
          </cell>
          <cell r="Q15">
            <v>0.17986111111111108</v>
          </cell>
          <cell r="R15">
            <v>1</v>
          </cell>
          <cell r="V15">
            <v>15</v>
          </cell>
        </row>
        <row r="16">
          <cell r="N16">
            <v>0.22430555555555559</v>
          </cell>
          <cell r="O16">
            <v>1</v>
          </cell>
          <cell r="Q16">
            <v>0.22430555555555559</v>
          </cell>
          <cell r="R16">
            <v>1</v>
          </cell>
          <cell r="V16">
            <v>16</v>
          </cell>
        </row>
        <row r="17">
          <cell r="O17">
            <v>0</v>
          </cell>
          <cell r="V17">
            <v>18</v>
          </cell>
          <cell r="Y17">
            <v>0</v>
          </cell>
        </row>
        <row r="18">
          <cell r="O18">
            <v>0</v>
          </cell>
          <cell r="V18">
            <v>18</v>
          </cell>
        </row>
        <row r="19">
          <cell r="O19">
            <v>0</v>
          </cell>
          <cell r="V19">
            <v>18</v>
          </cell>
        </row>
        <row r="20">
          <cell r="O20">
            <v>0</v>
          </cell>
          <cell r="V20">
            <v>18</v>
          </cell>
        </row>
        <row r="21">
          <cell r="K21">
            <v>4.1666666666666519E-3</v>
          </cell>
          <cell r="L21">
            <v>1</v>
          </cell>
          <cell r="O21">
            <v>0</v>
          </cell>
          <cell r="V21">
            <v>19</v>
          </cell>
        </row>
        <row r="22">
          <cell r="N22">
            <v>0.40347222222222229</v>
          </cell>
          <cell r="O22">
            <v>1</v>
          </cell>
          <cell r="V22">
            <v>18</v>
          </cell>
        </row>
        <row r="23">
          <cell r="N23">
            <v>0.26527777777777778</v>
          </cell>
          <cell r="O23">
            <v>1</v>
          </cell>
          <cell r="V23">
            <v>18</v>
          </cell>
        </row>
        <row r="24">
          <cell r="O24">
            <v>0</v>
          </cell>
          <cell r="V24">
            <v>19</v>
          </cell>
          <cell r="Y24">
            <v>0</v>
          </cell>
        </row>
        <row r="25">
          <cell r="N25">
            <v>0.26180555555555551</v>
          </cell>
          <cell r="O25">
            <v>1</v>
          </cell>
          <cell r="V25">
            <v>1</v>
          </cell>
          <cell r="Y25">
            <v>0</v>
          </cell>
        </row>
        <row r="26">
          <cell r="N26">
            <v>0.21805555555555556</v>
          </cell>
          <cell r="O26">
            <v>1</v>
          </cell>
          <cell r="V26">
            <v>19</v>
          </cell>
          <cell r="Y26">
            <v>0</v>
          </cell>
        </row>
        <row r="27">
          <cell r="N27">
            <v>0.26666666666666666</v>
          </cell>
          <cell r="O27">
            <v>1</v>
          </cell>
          <cell r="V27">
            <v>19</v>
          </cell>
          <cell r="Y27">
            <v>0</v>
          </cell>
        </row>
        <row r="28">
          <cell r="N28">
            <v>0.2277777777777778</v>
          </cell>
          <cell r="O28">
            <v>1</v>
          </cell>
          <cell r="V28">
            <v>19</v>
          </cell>
          <cell r="Y28">
            <v>0</v>
          </cell>
        </row>
        <row r="29">
          <cell r="K29">
            <v>0.60416666666666663</v>
          </cell>
          <cell r="L29">
            <v>1</v>
          </cell>
          <cell r="O29">
            <v>0</v>
          </cell>
          <cell r="V29">
            <v>1</v>
          </cell>
          <cell r="Y29">
            <v>0</v>
          </cell>
        </row>
        <row r="30">
          <cell r="K30">
            <v>2.3611111111111083E-2</v>
          </cell>
          <cell r="L30">
            <v>1</v>
          </cell>
          <cell r="O30">
            <v>0</v>
          </cell>
          <cell r="V30">
            <v>18</v>
          </cell>
          <cell r="Y30">
            <v>0</v>
          </cell>
        </row>
        <row r="31">
          <cell r="K31">
            <v>7.6388888888888618E-3</v>
          </cell>
          <cell r="L31">
            <v>1</v>
          </cell>
          <cell r="O31">
            <v>0</v>
          </cell>
          <cell r="V31">
            <v>18</v>
          </cell>
          <cell r="Y31">
            <v>0</v>
          </cell>
        </row>
        <row r="32">
          <cell r="K32">
            <v>9.9999999999999978E-2</v>
          </cell>
          <cell r="L32">
            <v>1</v>
          </cell>
        </row>
        <row r="33">
          <cell r="N33">
            <v>0.23402777777777767</v>
          </cell>
          <cell r="O33">
            <v>1</v>
          </cell>
          <cell r="V33">
            <v>18</v>
          </cell>
          <cell r="Y33">
            <v>0</v>
          </cell>
        </row>
        <row r="34">
          <cell r="N34">
            <v>0.21944444444444444</v>
          </cell>
          <cell r="O34">
            <v>1</v>
          </cell>
          <cell r="V34">
            <v>19</v>
          </cell>
          <cell r="Y34">
            <v>0</v>
          </cell>
        </row>
        <row r="35">
          <cell r="N35">
            <v>0.21597222222222223</v>
          </cell>
          <cell r="O35">
            <v>1</v>
          </cell>
          <cell r="V35">
            <v>19</v>
          </cell>
          <cell r="Y35">
            <v>0</v>
          </cell>
        </row>
        <row r="36">
          <cell r="N36">
            <v>0.22222222222222221</v>
          </cell>
          <cell r="O36">
            <v>1</v>
          </cell>
          <cell r="V36">
            <v>19</v>
          </cell>
          <cell r="Y36">
            <v>0</v>
          </cell>
        </row>
        <row r="37">
          <cell r="N37">
            <v>0.26944444444444449</v>
          </cell>
          <cell r="O37">
            <v>1</v>
          </cell>
          <cell r="V37">
            <v>5</v>
          </cell>
          <cell r="Y37">
            <v>0</v>
          </cell>
        </row>
        <row r="38">
          <cell r="N38">
            <v>0.31944444444444442</v>
          </cell>
          <cell r="O38">
            <v>1</v>
          </cell>
          <cell r="V38">
            <v>20</v>
          </cell>
          <cell r="Y38">
            <v>0</v>
          </cell>
        </row>
        <row r="39">
          <cell r="N39">
            <v>5.9722222222222232E-2</v>
          </cell>
          <cell r="O39">
            <v>1</v>
          </cell>
          <cell r="V39">
            <v>18</v>
          </cell>
          <cell r="Y39">
            <v>0</v>
          </cell>
        </row>
        <row r="40">
          <cell r="K40">
            <v>0.31319444444444444</v>
          </cell>
          <cell r="L40">
            <v>1</v>
          </cell>
          <cell r="V40">
            <v>19</v>
          </cell>
          <cell r="Y40">
            <v>0</v>
          </cell>
        </row>
        <row r="41">
          <cell r="N41">
            <v>0.22152777777777771</v>
          </cell>
          <cell r="O41">
            <v>1</v>
          </cell>
          <cell r="V41">
            <v>21</v>
          </cell>
          <cell r="Y41">
            <v>0</v>
          </cell>
        </row>
        <row r="42">
          <cell r="N42">
            <v>0.17222222222222217</v>
          </cell>
          <cell r="O42">
            <v>1</v>
          </cell>
          <cell r="V42">
            <v>21</v>
          </cell>
          <cell r="Y42">
            <v>0</v>
          </cell>
        </row>
        <row r="43">
          <cell r="N43">
            <v>0.23333333333333345</v>
          </cell>
          <cell r="O43">
            <v>1</v>
          </cell>
          <cell r="V43">
            <v>19</v>
          </cell>
          <cell r="Y43">
            <v>0</v>
          </cell>
        </row>
        <row r="44">
          <cell r="N44">
            <v>0.21458333333333329</v>
          </cell>
          <cell r="O44">
            <v>1</v>
          </cell>
          <cell r="V44">
            <v>19</v>
          </cell>
          <cell r="Y44">
            <v>0</v>
          </cell>
        </row>
        <row r="45">
          <cell r="N45">
            <v>0.2993055555555556</v>
          </cell>
          <cell r="O45">
            <v>1</v>
          </cell>
          <cell r="V45">
            <v>7</v>
          </cell>
          <cell r="Y45">
            <v>0</v>
          </cell>
        </row>
        <row r="46">
          <cell r="N46">
            <v>0.19791666666666669</v>
          </cell>
          <cell r="O46">
            <v>1</v>
          </cell>
          <cell r="V46">
            <v>8</v>
          </cell>
          <cell r="Y46">
            <v>0</v>
          </cell>
        </row>
        <row r="47">
          <cell r="N47">
            <v>0.27777777777777785</v>
          </cell>
          <cell r="O47">
            <v>1</v>
          </cell>
          <cell r="V47">
            <v>5</v>
          </cell>
          <cell r="Y47">
            <v>0</v>
          </cell>
        </row>
        <row r="48">
          <cell r="N48">
            <v>0.23958333333333331</v>
          </cell>
          <cell r="O48">
            <v>1</v>
          </cell>
          <cell r="V48">
            <v>7</v>
          </cell>
          <cell r="Y48">
            <v>0</v>
          </cell>
        </row>
        <row r="49">
          <cell r="N49">
            <v>0.20555555555555555</v>
          </cell>
          <cell r="O49">
            <v>1</v>
          </cell>
          <cell r="V49">
            <v>19</v>
          </cell>
          <cell r="Y49">
            <v>0</v>
          </cell>
        </row>
        <row r="50">
          <cell r="K50">
            <v>0.84722222221898846</v>
          </cell>
          <cell r="L50">
            <v>1</v>
          </cell>
          <cell r="O50">
            <v>0</v>
          </cell>
          <cell r="V50">
            <v>19</v>
          </cell>
          <cell r="Y50">
            <v>0</v>
          </cell>
        </row>
        <row r="51">
          <cell r="K51">
            <v>0.84583333333284827</v>
          </cell>
          <cell r="L51">
            <v>1</v>
          </cell>
          <cell r="O51">
            <v>0</v>
          </cell>
          <cell r="V51">
            <v>19</v>
          </cell>
          <cell r="Y51">
            <v>0</v>
          </cell>
        </row>
        <row r="52">
          <cell r="K52">
            <v>2.3611111111111027E-2</v>
          </cell>
          <cell r="L52">
            <v>1</v>
          </cell>
          <cell r="V52">
            <v>19</v>
          </cell>
        </row>
        <row r="53">
          <cell r="K53">
            <v>7.6388888888888618E-3</v>
          </cell>
          <cell r="L53">
            <v>1</v>
          </cell>
          <cell r="V53">
            <v>19</v>
          </cell>
        </row>
        <row r="54">
          <cell r="N54">
            <v>4.513888888888884E-2</v>
          </cell>
          <cell r="O54">
            <v>1</v>
          </cell>
          <cell r="V54">
            <v>19</v>
          </cell>
          <cell r="Y54">
            <v>0</v>
          </cell>
        </row>
        <row r="55">
          <cell r="K55">
            <v>1.3194444444444509E-2</v>
          </cell>
          <cell r="L55">
            <v>1</v>
          </cell>
          <cell r="V55">
            <v>19</v>
          </cell>
        </row>
        <row r="56">
          <cell r="K56">
            <v>3.5416666666666763E-2</v>
          </cell>
          <cell r="L56">
            <v>1</v>
          </cell>
          <cell r="V56">
            <v>19</v>
          </cell>
        </row>
        <row r="57">
          <cell r="K57">
            <v>3.4027777777777768E-2</v>
          </cell>
          <cell r="L57">
            <v>1</v>
          </cell>
          <cell r="V57">
            <v>11</v>
          </cell>
        </row>
        <row r="58">
          <cell r="N58">
            <v>6.4583333333333326E-2</v>
          </cell>
          <cell r="O58">
            <v>1</v>
          </cell>
          <cell r="V58">
            <v>19</v>
          </cell>
          <cell r="Y58">
            <v>0</v>
          </cell>
        </row>
        <row r="59">
          <cell r="N59">
            <v>0.16666666666666663</v>
          </cell>
          <cell r="O59">
            <v>1</v>
          </cell>
          <cell r="V59">
            <v>19</v>
          </cell>
          <cell r="Y59">
            <v>0</v>
          </cell>
        </row>
        <row r="60">
          <cell r="N60">
            <v>0.13263888888888886</v>
          </cell>
          <cell r="O60">
            <v>1</v>
          </cell>
          <cell r="V60">
            <v>19</v>
          </cell>
          <cell r="Y60">
            <v>0</v>
          </cell>
        </row>
        <row r="61">
          <cell r="V61">
            <v>19</v>
          </cell>
          <cell r="Y61">
            <v>0</v>
          </cell>
        </row>
        <row r="62">
          <cell r="V62">
            <v>5</v>
          </cell>
        </row>
        <row r="63">
          <cell r="V63">
            <v>19</v>
          </cell>
        </row>
        <row r="64">
          <cell r="K64">
            <v>9.0277777777777457E-3</v>
          </cell>
          <cell r="V64">
            <v>1</v>
          </cell>
          <cell r="Y64">
            <v>0</v>
          </cell>
        </row>
        <row r="65">
          <cell r="V65">
            <v>11</v>
          </cell>
          <cell r="Y65">
            <v>0</v>
          </cell>
        </row>
        <row r="66">
          <cell r="V66">
            <v>19</v>
          </cell>
          <cell r="Y66">
            <v>0</v>
          </cell>
        </row>
        <row r="67">
          <cell r="V67">
            <v>19</v>
          </cell>
          <cell r="Y67">
            <v>0</v>
          </cell>
        </row>
        <row r="68">
          <cell r="V68">
            <v>19</v>
          </cell>
          <cell r="Y68">
            <v>0</v>
          </cell>
        </row>
        <row r="69">
          <cell r="V69">
            <v>11</v>
          </cell>
          <cell r="Y69">
            <v>0</v>
          </cell>
        </row>
        <row r="70">
          <cell r="V70">
            <v>20</v>
          </cell>
          <cell r="Y70">
            <v>0</v>
          </cell>
        </row>
        <row r="71">
          <cell r="V71">
            <v>19</v>
          </cell>
          <cell r="Y71">
            <v>0</v>
          </cell>
        </row>
        <row r="72">
          <cell r="V72">
            <v>19</v>
          </cell>
          <cell r="Y72">
            <v>0</v>
          </cell>
        </row>
        <row r="73">
          <cell r="V73">
            <v>19</v>
          </cell>
          <cell r="Y73">
            <v>0</v>
          </cell>
        </row>
        <row r="74">
          <cell r="K74">
            <v>8.333333333333337E-2</v>
          </cell>
          <cell r="V74">
            <v>19</v>
          </cell>
          <cell r="Y74">
            <v>0</v>
          </cell>
        </row>
        <row r="75">
          <cell r="K75">
            <v>5.7638888888888906E-2</v>
          </cell>
          <cell r="V75">
            <v>18</v>
          </cell>
          <cell r="Y75">
            <v>0</v>
          </cell>
        </row>
        <row r="76">
          <cell r="V76">
            <v>19</v>
          </cell>
          <cell r="Y76">
            <v>0</v>
          </cell>
        </row>
        <row r="78">
          <cell r="V78" t="e">
            <v>#N/A</v>
          </cell>
          <cell r="Y78">
            <v>0</v>
          </cell>
        </row>
        <row r="79">
          <cell r="V79">
            <v>19</v>
          </cell>
        </row>
        <row r="80">
          <cell r="V80">
            <v>18</v>
          </cell>
        </row>
        <row r="81">
          <cell r="V81" t="e">
            <v>#N/A</v>
          </cell>
          <cell r="Y81">
            <v>0</v>
          </cell>
        </row>
        <row r="82">
          <cell r="V82" t="e">
            <v>#N/A</v>
          </cell>
          <cell r="Y82">
            <v>0</v>
          </cell>
        </row>
        <row r="83">
          <cell r="V83" t="e">
            <v>#N/A</v>
          </cell>
          <cell r="Y83">
            <v>0</v>
          </cell>
        </row>
        <row r="84">
          <cell r="V84" t="e">
            <v>#N/A</v>
          </cell>
          <cell r="Y84">
            <v>0</v>
          </cell>
        </row>
        <row r="85">
          <cell r="V85" t="e">
            <v>#N/A</v>
          </cell>
          <cell r="Y85">
            <v>0</v>
          </cell>
        </row>
        <row r="86">
          <cell r="V86" t="e">
            <v>#N/A</v>
          </cell>
          <cell r="Y86">
            <v>0</v>
          </cell>
        </row>
        <row r="87">
          <cell r="V87" t="e">
            <v>#N/A</v>
          </cell>
          <cell r="Y87">
            <v>0</v>
          </cell>
        </row>
        <row r="88">
          <cell r="V88" t="e">
            <v>#N/A</v>
          </cell>
          <cell r="Y88">
            <v>0</v>
          </cell>
        </row>
        <row r="89">
          <cell r="V89" t="e">
            <v>#N/A</v>
          </cell>
          <cell r="Y89">
            <v>0</v>
          </cell>
        </row>
        <row r="90">
          <cell r="V90" t="e">
            <v>#N/A</v>
          </cell>
          <cell r="Y90">
            <v>0</v>
          </cell>
        </row>
        <row r="91">
          <cell r="V91" t="e">
            <v>#N/A</v>
          </cell>
          <cell r="Y91">
            <v>0</v>
          </cell>
        </row>
        <row r="92">
          <cell r="V92">
            <v>19</v>
          </cell>
          <cell r="Y92">
            <v>0</v>
          </cell>
        </row>
        <row r="93">
          <cell r="V93">
            <v>19</v>
          </cell>
          <cell r="Y93">
            <v>0</v>
          </cell>
        </row>
        <row r="99">
          <cell r="V99" t="e">
            <v>#N/A</v>
          </cell>
          <cell r="Y99">
            <v>0</v>
          </cell>
        </row>
        <row r="100">
          <cell r="V100" t="e">
            <v>#N/A</v>
          </cell>
          <cell r="Y100">
            <v>0</v>
          </cell>
        </row>
        <row r="101">
          <cell r="V101" t="e">
            <v>#N/A</v>
          </cell>
          <cell r="Y101">
            <v>0</v>
          </cell>
        </row>
        <row r="102">
          <cell r="V102" t="e">
            <v>#N/A</v>
          </cell>
          <cell r="Y102">
            <v>0</v>
          </cell>
        </row>
        <row r="103">
          <cell r="P103">
            <v>720</v>
          </cell>
          <cell r="V103" t="e">
            <v>#N/A</v>
          </cell>
          <cell r="Y103">
            <v>0</v>
          </cell>
        </row>
        <row r="104">
          <cell r="V104" t="e">
            <v>#N/A</v>
          </cell>
          <cell r="Y104">
            <v>0</v>
          </cell>
        </row>
        <row r="105">
          <cell r="V105" t="e">
            <v>#N/A</v>
          </cell>
          <cell r="Y105">
            <v>0</v>
          </cell>
        </row>
        <row r="106">
          <cell r="V106" t="e">
            <v>#N/A</v>
          </cell>
          <cell r="Y106">
            <v>0</v>
          </cell>
        </row>
        <row r="107">
          <cell r="V107" t="e">
            <v>#N/A</v>
          </cell>
          <cell r="Y107">
            <v>0</v>
          </cell>
        </row>
        <row r="108">
          <cell r="V108" t="e">
            <v>#N/A</v>
          </cell>
          <cell r="Y108">
            <v>0</v>
          </cell>
        </row>
        <row r="109">
          <cell r="V109" t="e">
            <v>#N/A</v>
          </cell>
          <cell r="Y109">
            <v>0</v>
          </cell>
        </row>
        <row r="110">
          <cell r="V110" t="e">
            <v>#N/A</v>
          </cell>
          <cell r="Y110">
            <v>0</v>
          </cell>
        </row>
        <row r="111">
          <cell r="V111" t="e">
            <v>#N/A</v>
          </cell>
          <cell r="Y111">
            <v>0</v>
          </cell>
        </row>
        <row r="112">
          <cell r="V112" t="e">
            <v>#N/A</v>
          </cell>
          <cell r="Y112">
            <v>0</v>
          </cell>
        </row>
        <row r="113">
          <cell r="V113" t="e">
            <v>#N/A</v>
          </cell>
          <cell r="Y113">
            <v>0</v>
          </cell>
        </row>
        <row r="114">
          <cell r="V114" t="e">
            <v>#N/A</v>
          </cell>
          <cell r="Y114">
            <v>0</v>
          </cell>
        </row>
        <row r="115">
          <cell r="V115" t="e">
            <v>#N/A</v>
          </cell>
          <cell r="Y115">
            <v>0</v>
          </cell>
        </row>
        <row r="116">
          <cell r="V116" t="e">
            <v>#N/A</v>
          </cell>
          <cell r="Y116">
            <v>0</v>
          </cell>
        </row>
        <row r="117">
          <cell r="V117" t="e">
            <v>#N/A</v>
          </cell>
          <cell r="Y117">
            <v>0</v>
          </cell>
        </row>
        <row r="118">
          <cell r="V118" t="e">
            <v>#N/A</v>
          </cell>
          <cell r="Y118">
            <v>0</v>
          </cell>
        </row>
        <row r="119">
          <cell r="V119" t="e">
            <v>#N/A</v>
          </cell>
          <cell r="Y119">
            <v>0</v>
          </cell>
        </row>
        <row r="120">
          <cell r="V120" t="e">
            <v>#N/A</v>
          </cell>
          <cell r="Y120">
            <v>0</v>
          </cell>
        </row>
        <row r="121">
          <cell r="V121" t="e">
            <v>#N/A</v>
          </cell>
          <cell r="Y121">
            <v>0</v>
          </cell>
        </row>
        <row r="122">
          <cell r="V122" t="e">
            <v>#N/A</v>
          </cell>
          <cell r="Y122">
            <v>0</v>
          </cell>
        </row>
        <row r="123">
          <cell r="V123" t="e">
            <v>#N/A</v>
          </cell>
          <cell r="Y123">
            <v>0</v>
          </cell>
        </row>
        <row r="124">
          <cell r="V124" t="e">
            <v>#N/A</v>
          </cell>
          <cell r="Y124">
            <v>0</v>
          </cell>
        </row>
        <row r="125">
          <cell r="V125" t="e">
            <v>#N/A</v>
          </cell>
          <cell r="Y125">
            <v>0</v>
          </cell>
        </row>
        <row r="126">
          <cell r="V126" t="e">
            <v>#N/A</v>
          </cell>
          <cell r="Y126">
            <v>0</v>
          </cell>
        </row>
        <row r="127">
          <cell r="V127" t="e">
            <v>#N/A</v>
          </cell>
          <cell r="Y127">
            <v>0</v>
          </cell>
        </row>
        <row r="128">
          <cell r="V128" t="e">
            <v>#N/A</v>
          </cell>
          <cell r="Y128">
            <v>0</v>
          </cell>
        </row>
        <row r="129">
          <cell r="V129" t="e">
            <v>#N/A</v>
          </cell>
          <cell r="Y129">
            <v>0</v>
          </cell>
        </row>
        <row r="130">
          <cell r="V130" t="e">
            <v>#N/A</v>
          </cell>
          <cell r="Y130">
            <v>0</v>
          </cell>
        </row>
        <row r="131">
          <cell r="V131" t="e">
            <v>#N/A</v>
          </cell>
          <cell r="Y131">
            <v>0</v>
          </cell>
        </row>
        <row r="132">
          <cell r="V132" t="e">
            <v>#N/A</v>
          </cell>
          <cell r="Y132">
            <v>0</v>
          </cell>
        </row>
        <row r="134">
          <cell r="V134" t="e">
            <v>#N/A</v>
          </cell>
          <cell r="Y134">
            <v>0</v>
          </cell>
        </row>
        <row r="135">
          <cell r="V135" t="e">
            <v>#N/A</v>
          </cell>
          <cell r="Y135">
            <v>0</v>
          </cell>
        </row>
        <row r="136">
          <cell r="V136" t="e">
            <v>#N/A</v>
          </cell>
          <cell r="Y136">
            <v>0</v>
          </cell>
        </row>
        <row r="137">
          <cell r="V137" t="e">
            <v>#N/A</v>
          </cell>
          <cell r="Y137">
            <v>0</v>
          </cell>
        </row>
        <row r="138">
          <cell r="V138" t="e">
            <v>#N/A</v>
          </cell>
          <cell r="Y138">
            <v>0</v>
          </cell>
        </row>
        <row r="139">
          <cell r="V139" t="e">
            <v>#N/A</v>
          </cell>
          <cell r="Y139">
            <v>0</v>
          </cell>
        </row>
        <row r="140">
          <cell r="V140" t="e">
            <v>#N/A</v>
          </cell>
          <cell r="Y140">
            <v>0</v>
          </cell>
        </row>
        <row r="141">
          <cell r="V141" t="e">
            <v>#N/A</v>
          </cell>
          <cell r="Y141">
            <v>0</v>
          </cell>
        </row>
        <row r="142">
          <cell r="V142" t="e">
            <v>#N/A</v>
          </cell>
          <cell r="Y142">
            <v>0</v>
          </cell>
        </row>
        <row r="143">
          <cell r="K143">
            <v>2.7083333333333348E-2</v>
          </cell>
          <cell r="L143">
            <v>1</v>
          </cell>
          <cell r="V143" t="e">
            <v>#N/A</v>
          </cell>
          <cell r="Y143" t="e">
            <v>#REF!</v>
          </cell>
        </row>
        <row r="144">
          <cell r="K144">
            <v>9.0277777777777769E-3</v>
          </cell>
          <cell r="L144">
            <v>1</v>
          </cell>
        </row>
        <row r="145">
          <cell r="K145">
            <v>0</v>
          </cell>
          <cell r="L145">
            <v>0</v>
          </cell>
        </row>
        <row r="146">
          <cell r="K146">
            <v>7.6388888888888895E-3</v>
          </cell>
          <cell r="L146">
            <v>1</v>
          </cell>
          <cell r="V146" t="e">
            <v>#N/A</v>
          </cell>
          <cell r="Y146">
            <v>0</v>
          </cell>
        </row>
        <row r="147">
          <cell r="K147">
            <v>1.8055555555555557E-2</v>
          </cell>
          <cell r="L147">
            <v>1</v>
          </cell>
          <cell r="V147" t="e">
            <v>#N/A</v>
          </cell>
          <cell r="Y147">
            <v>0</v>
          </cell>
        </row>
        <row r="148">
          <cell r="K148">
            <v>1.2500000000000001E-2</v>
          </cell>
          <cell r="L148">
            <v>1</v>
          </cell>
          <cell r="V148" t="e">
            <v>#N/A</v>
          </cell>
          <cell r="Y148">
            <v>0</v>
          </cell>
        </row>
        <row r="149">
          <cell r="K149">
            <v>8.3333333333333037E-3</v>
          </cell>
          <cell r="L149">
            <v>1</v>
          </cell>
          <cell r="V149" t="e">
            <v>#N/A</v>
          </cell>
          <cell r="Y149">
            <v>0</v>
          </cell>
        </row>
        <row r="150">
          <cell r="K150">
            <v>1.1805555555555514E-2</v>
          </cell>
          <cell r="L150">
            <v>1</v>
          </cell>
          <cell r="V150" t="e">
            <v>#N/A</v>
          </cell>
          <cell r="Y150">
            <v>0</v>
          </cell>
        </row>
        <row r="151">
          <cell r="K151">
            <v>1.041666666666663E-2</v>
          </cell>
          <cell r="L151">
            <v>1</v>
          </cell>
          <cell r="V151" t="e">
            <v>#N/A</v>
          </cell>
          <cell r="Y151">
            <v>0</v>
          </cell>
        </row>
        <row r="152">
          <cell r="K152">
            <v>1.5277777777777835E-2</v>
          </cell>
          <cell r="L152">
            <v>1</v>
          </cell>
          <cell r="V152" t="e">
            <v>#N/A</v>
          </cell>
          <cell r="Y152">
            <v>0</v>
          </cell>
        </row>
        <row r="153">
          <cell r="K153">
            <v>4.1666666666665408E-3</v>
          </cell>
          <cell r="L153">
            <v>1</v>
          </cell>
          <cell r="V153" t="e">
            <v>#N/A</v>
          </cell>
          <cell r="Y153">
            <v>0</v>
          </cell>
        </row>
        <row r="154">
          <cell r="V154" t="e">
            <v>#N/A</v>
          </cell>
          <cell r="Y154">
            <v>0</v>
          </cell>
        </row>
        <row r="155">
          <cell r="V155" t="e">
            <v>#N/A</v>
          </cell>
          <cell r="Y155">
            <v>0</v>
          </cell>
        </row>
        <row r="156">
          <cell r="V156" t="e">
            <v>#N/A</v>
          </cell>
          <cell r="Y156">
            <v>0</v>
          </cell>
        </row>
        <row r="157">
          <cell r="V157" t="e">
            <v>#N/A</v>
          </cell>
          <cell r="Y157">
            <v>0</v>
          </cell>
        </row>
        <row r="158">
          <cell r="V158" t="e">
            <v>#N/A</v>
          </cell>
          <cell r="Y158">
            <v>0</v>
          </cell>
        </row>
        <row r="159">
          <cell r="V159" t="e">
            <v>#N/A</v>
          </cell>
          <cell r="Y159">
            <v>0</v>
          </cell>
        </row>
        <row r="160">
          <cell r="V160" t="e">
            <v>#N/A</v>
          </cell>
          <cell r="Y160">
            <v>0</v>
          </cell>
        </row>
        <row r="161">
          <cell r="V161" t="e">
            <v>#N/A</v>
          </cell>
          <cell r="Y161">
            <v>0</v>
          </cell>
        </row>
        <row r="162">
          <cell r="V162" t="e">
            <v>#N/A</v>
          </cell>
          <cell r="Y162">
            <v>0</v>
          </cell>
        </row>
        <row r="163">
          <cell r="V163" t="e">
            <v>#N/A</v>
          </cell>
          <cell r="Y163">
            <v>0</v>
          </cell>
        </row>
        <row r="164">
          <cell r="V164" t="e">
            <v>#N/A</v>
          </cell>
          <cell r="Y164">
            <v>0</v>
          </cell>
        </row>
        <row r="165">
          <cell r="V165" t="e">
            <v>#N/A</v>
          </cell>
          <cell r="Y165">
            <v>0</v>
          </cell>
        </row>
        <row r="166">
          <cell r="V166" t="e">
            <v>#N/A</v>
          </cell>
          <cell r="Y166">
            <v>0</v>
          </cell>
        </row>
        <row r="167">
          <cell r="V167" t="e">
            <v>#N/A</v>
          </cell>
          <cell r="Y167">
            <v>0</v>
          </cell>
        </row>
        <row r="168">
          <cell r="V168" t="e">
            <v>#N/A</v>
          </cell>
          <cell r="Y168">
            <v>0</v>
          </cell>
        </row>
        <row r="169">
          <cell r="V169" t="e">
            <v>#N/A</v>
          </cell>
          <cell r="Y169">
            <v>0</v>
          </cell>
        </row>
        <row r="170">
          <cell r="V170" t="e">
            <v>#N/A</v>
          </cell>
          <cell r="Y170">
            <v>0</v>
          </cell>
        </row>
        <row r="171">
          <cell r="V171" t="e">
            <v>#N/A</v>
          </cell>
          <cell r="Y171">
            <v>0</v>
          </cell>
        </row>
        <row r="172">
          <cell r="V172" t="e">
            <v>#N/A</v>
          </cell>
          <cell r="Y172">
            <v>0</v>
          </cell>
        </row>
        <row r="173">
          <cell r="V173" t="e">
            <v>#N/A</v>
          </cell>
          <cell r="Y173">
            <v>0</v>
          </cell>
        </row>
        <row r="174">
          <cell r="V174" t="e">
            <v>#N/A</v>
          </cell>
          <cell r="Y174">
            <v>0</v>
          </cell>
        </row>
        <row r="175">
          <cell r="V175" t="e">
            <v>#N/A</v>
          </cell>
          <cell r="Y175">
            <v>0</v>
          </cell>
        </row>
        <row r="176">
          <cell r="V176" t="e">
            <v>#N/A</v>
          </cell>
          <cell r="Y176">
            <v>0</v>
          </cell>
        </row>
        <row r="177">
          <cell r="V177" t="e">
            <v>#N/A</v>
          </cell>
          <cell r="Y177">
            <v>0</v>
          </cell>
        </row>
        <row r="178">
          <cell r="V178" t="e">
            <v>#N/A</v>
          </cell>
          <cell r="Y178">
            <v>0</v>
          </cell>
        </row>
        <row r="179">
          <cell r="V179" t="e">
            <v>#N/A</v>
          </cell>
          <cell r="Y179">
            <v>0</v>
          </cell>
        </row>
        <row r="180">
          <cell r="V180" t="e">
            <v>#N/A</v>
          </cell>
          <cell r="Y180">
            <v>0</v>
          </cell>
        </row>
        <row r="181">
          <cell r="V181" t="e">
            <v>#N/A</v>
          </cell>
          <cell r="Y181">
            <v>0</v>
          </cell>
        </row>
        <row r="182">
          <cell r="V182" t="e">
            <v>#N/A</v>
          </cell>
          <cell r="Y182">
            <v>0</v>
          </cell>
        </row>
        <row r="183">
          <cell r="V183" t="e">
            <v>#N/A</v>
          </cell>
          <cell r="Y183">
            <v>0</v>
          </cell>
        </row>
        <row r="185">
          <cell r="V185" t="e">
            <v>#N/A</v>
          </cell>
          <cell r="Y185">
            <v>0</v>
          </cell>
        </row>
        <row r="189">
          <cell r="V189" t="e">
            <v>#N/A</v>
          </cell>
          <cell r="Y189">
            <v>0</v>
          </cell>
        </row>
        <row r="199">
          <cell r="V199" t="e">
            <v>#N/A</v>
          </cell>
          <cell r="Y199">
            <v>0</v>
          </cell>
        </row>
        <row r="200">
          <cell r="V200" t="e">
            <v>#N/A</v>
          </cell>
          <cell r="Y200">
            <v>0</v>
          </cell>
        </row>
        <row r="201">
          <cell r="V201" t="e">
            <v>#N/A</v>
          </cell>
          <cell r="Y201">
            <v>0</v>
          </cell>
        </row>
        <row r="202">
          <cell r="V202" t="e">
            <v>#N/A</v>
          </cell>
          <cell r="Y202">
            <v>0</v>
          </cell>
        </row>
        <row r="203">
          <cell r="V203" t="e">
            <v>#N/A</v>
          </cell>
          <cell r="Y203">
            <v>0</v>
          </cell>
        </row>
        <row r="204">
          <cell r="V204" t="e">
            <v>#N/A</v>
          </cell>
          <cell r="Y204">
            <v>0</v>
          </cell>
        </row>
        <row r="205">
          <cell r="V205" t="e">
            <v>#N/A</v>
          </cell>
          <cell r="Y205">
            <v>0</v>
          </cell>
        </row>
        <row r="206">
          <cell r="V206" t="e">
            <v>#N/A</v>
          </cell>
          <cell r="Y206">
            <v>0</v>
          </cell>
        </row>
        <row r="207">
          <cell r="V207" t="e">
            <v>#N/A</v>
          </cell>
          <cell r="Y207">
            <v>0</v>
          </cell>
        </row>
        <row r="208">
          <cell r="V208" t="e">
            <v>#N/A</v>
          </cell>
          <cell r="Y208">
            <v>0</v>
          </cell>
        </row>
        <row r="209">
          <cell r="V209" t="e">
            <v>#N/A</v>
          </cell>
          <cell r="Y209">
            <v>0</v>
          </cell>
        </row>
        <row r="210">
          <cell r="V210" t="e">
            <v>#N/A</v>
          </cell>
          <cell r="Y210">
            <v>0</v>
          </cell>
        </row>
        <row r="211">
          <cell r="V211" t="e">
            <v>#N/A</v>
          </cell>
          <cell r="Y211">
            <v>0</v>
          </cell>
        </row>
        <row r="212">
          <cell r="V212" t="e">
            <v>#N/A</v>
          </cell>
          <cell r="Y212">
            <v>0</v>
          </cell>
        </row>
        <row r="213">
          <cell r="V213" t="e">
            <v>#N/A</v>
          </cell>
          <cell r="Y213">
            <v>0</v>
          </cell>
        </row>
        <row r="214">
          <cell r="V214" t="e">
            <v>#N/A</v>
          </cell>
          <cell r="Y214">
            <v>0</v>
          </cell>
        </row>
        <row r="215">
          <cell r="V215" t="e">
            <v>#N/A</v>
          </cell>
          <cell r="Y215">
            <v>0</v>
          </cell>
        </row>
        <row r="216">
          <cell r="V216" t="e">
            <v>#N/A</v>
          </cell>
          <cell r="Y216">
            <v>0</v>
          </cell>
        </row>
        <row r="217">
          <cell r="V217" t="e">
            <v>#N/A</v>
          </cell>
          <cell r="Y217">
            <v>0</v>
          </cell>
        </row>
        <row r="218">
          <cell r="V218" t="e">
            <v>#N/A</v>
          </cell>
          <cell r="Y218">
            <v>0</v>
          </cell>
        </row>
        <row r="219">
          <cell r="V219" t="e">
            <v>#N/A</v>
          </cell>
          <cell r="Y219">
            <v>0</v>
          </cell>
        </row>
        <row r="220">
          <cell r="V220" t="e">
            <v>#N/A</v>
          </cell>
          <cell r="Y220">
            <v>0</v>
          </cell>
        </row>
        <row r="221">
          <cell r="V221" t="e">
            <v>#N/A</v>
          </cell>
          <cell r="Y221">
            <v>0</v>
          </cell>
        </row>
        <row r="222">
          <cell r="V222" t="e">
            <v>#N/A</v>
          </cell>
          <cell r="Y222">
            <v>0</v>
          </cell>
        </row>
        <row r="223">
          <cell r="V223" t="e">
            <v>#N/A</v>
          </cell>
          <cell r="Y223">
            <v>0</v>
          </cell>
        </row>
        <row r="224">
          <cell r="V224" t="e">
            <v>#N/A</v>
          </cell>
          <cell r="Y224">
            <v>0</v>
          </cell>
        </row>
        <row r="225">
          <cell r="V225" t="e">
            <v>#N/A</v>
          </cell>
          <cell r="Y225">
            <v>0</v>
          </cell>
        </row>
        <row r="226">
          <cell r="V226" t="e">
            <v>#N/A</v>
          </cell>
          <cell r="Y226">
            <v>0</v>
          </cell>
        </row>
        <row r="227">
          <cell r="V227" t="e">
            <v>#N/A</v>
          </cell>
          <cell r="Y227">
            <v>0</v>
          </cell>
        </row>
        <row r="228">
          <cell r="V228" t="e">
            <v>#N/A</v>
          </cell>
          <cell r="Y228">
            <v>0</v>
          </cell>
        </row>
        <row r="229">
          <cell r="V229" t="e">
            <v>#N/A</v>
          </cell>
          <cell r="Y229">
            <v>0</v>
          </cell>
        </row>
        <row r="230">
          <cell r="V230" t="e">
            <v>#N/A</v>
          </cell>
          <cell r="Y230">
            <v>0</v>
          </cell>
        </row>
        <row r="231">
          <cell r="V231" t="e">
            <v>#N/A</v>
          </cell>
          <cell r="Y231">
            <v>0</v>
          </cell>
        </row>
        <row r="232">
          <cell r="V232" t="e">
            <v>#N/A</v>
          </cell>
          <cell r="Y232">
            <v>0</v>
          </cell>
        </row>
        <row r="233">
          <cell r="V233" t="e">
            <v>#N/A</v>
          </cell>
          <cell r="Y233">
            <v>0</v>
          </cell>
        </row>
        <row r="234">
          <cell r="V234" t="e">
            <v>#N/A</v>
          </cell>
          <cell r="Y234">
            <v>0</v>
          </cell>
        </row>
        <row r="235">
          <cell r="V235" t="e">
            <v>#N/A</v>
          </cell>
          <cell r="Y235">
            <v>0</v>
          </cell>
        </row>
        <row r="236">
          <cell r="V236" t="e">
            <v>#N/A</v>
          </cell>
          <cell r="Y236">
            <v>0</v>
          </cell>
        </row>
        <row r="237">
          <cell r="V237" t="e">
            <v>#N/A</v>
          </cell>
          <cell r="Y237">
            <v>0</v>
          </cell>
        </row>
        <row r="238">
          <cell r="V238" t="e">
            <v>#N/A</v>
          </cell>
          <cell r="Y238">
            <v>0</v>
          </cell>
        </row>
        <row r="239">
          <cell r="V239" t="e">
            <v>#N/A</v>
          </cell>
          <cell r="Y239">
            <v>0</v>
          </cell>
        </row>
        <row r="240">
          <cell r="V240" t="e">
            <v>#N/A</v>
          </cell>
          <cell r="Y240">
            <v>0</v>
          </cell>
        </row>
        <row r="241">
          <cell r="V241" t="e">
            <v>#N/A</v>
          </cell>
          <cell r="Y241">
            <v>0</v>
          </cell>
        </row>
        <row r="242">
          <cell r="V242" t="e">
            <v>#N/A</v>
          </cell>
          <cell r="Y242">
            <v>0</v>
          </cell>
        </row>
        <row r="243">
          <cell r="V243" t="e">
            <v>#N/A</v>
          </cell>
          <cell r="Y243">
            <v>0</v>
          </cell>
        </row>
        <row r="244">
          <cell r="V244" t="e">
            <v>#N/A</v>
          </cell>
          <cell r="Y244">
            <v>0</v>
          </cell>
        </row>
        <row r="245">
          <cell r="V245" t="e">
            <v>#N/A</v>
          </cell>
          <cell r="Y245">
            <v>0</v>
          </cell>
        </row>
        <row r="246">
          <cell r="V246" t="e">
            <v>#N/A</v>
          </cell>
          <cell r="Y246">
            <v>0</v>
          </cell>
        </row>
        <row r="247">
          <cell r="V247" t="e">
            <v>#N/A</v>
          </cell>
          <cell r="Y247">
            <v>0</v>
          </cell>
        </row>
        <row r="248">
          <cell r="V248" t="e">
            <v>#N/A</v>
          </cell>
          <cell r="Y248">
            <v>0</v>
          </cell>
        </row>
        <row r="249">
          <cell r="V249" t="e">
            <v>#N/A</v>
          </cell>
          <cell r="Y249">
            <v>0</v>
          </cell>
        </row>
        <row r="250">
          <cell r="V250" t="e">
            <v>#N/A</v>
          </cell>
          <cell r="Y250">
            <v>0</v>
          </cell>
        </row>
        <row r="251">
          <cell r="V251" t="e">
            <v>#N/A</v>
          </cell>
          <cell r="Y251">
            <v>0</v>
          </cell>
        </row>
        <row r="252">
          <cell r="V252" t="e">
            <v>#N/A</v>
          </cell>
          <cell r="Y252">
            <v>0</v>
          </cell>
        </row>
        <row r="253">
          <cell r="V253" t="e">
            <v>#N/A</v>
          </cell>
          <cell r="Y253">
            <v>0</v>
          </cell>
        </row>
        <row r="254">
          <cell r="V254" t="e">
            <v>#N/A</v>
          </cell>
          <cell r="Y254">
            <v>0</v>
          </cell>
        </row>
        <row r="255">
          <cell r="V255" t="e">
            <v>#N/A</v>
          </cell>
          <cell r="Y255">
            <v>0</v>
          </cell>
        </row>
        <row r="256">
          <cell r="V256" t="e">
            <v>#N/A</v>
          </cell>
          <cell r="Y256">
            <v>0</v>
          </cell>
        </row>
        <row r="257">
          <cell r="V257" t="e">
            <v>#N/A</v>
          </cell>
          <cell r="Y257">
            <v>0</v>
          </cell>
        </row>
        <row r="258">
          <cell r="V258" t="e">
            <v>#N/A</v>
          </cell>
          <cell r="Y258">
            <v>0</v>
          </cell>
        </row>
        <row r="259">
          <cell r="V259" t="e">
            <v>#N/A</v>
          </cell>
          <cell r="Y259">
            <v>0</v>
          </cell>
        </row>
        <row r="260">
          <cell r="V260" t="e">
            <v>#N/A</v>
          </cell>
          <cell r="Y260">
            <v>0</v>
          </cell>
        </row>
        <row r="261">
          <cell r="V261" t="e">
            <v>#N/A</v>
          </cell>
          <cell r="Y261">
            <v>0</v>
          </cell>
        </row>
        <row r="262">
          <cell r="V262" t="e">
            <v>#N/A</v>
          </cell>
          <cell r="Y262">
            <v>0</v>
          </cell>
        </row>
        <row r="263">
          <cell r="V263" t="e">
            <v>#N/A</v>
          </cell>
          <cell r="Y263">
            <v>0</v>
          </cell>
        </row>
        <row r="264">
          <cell r="V264" t="e">
            <v>#N/A</v>
          </cell>
          <cell r="Y264">
            <v>0</v>
          </cell>
        </row>
        <row r="265">
          <cell r="V265" t="e">
            <v>#N/A</v>
          </cell>
          <cell r="Y265">
            <v>0</v>
          </cell>
        </row>
        <row r="266">
          <cell r="V266" t="e">
            <v>#N/A</v>
          </cell>
          <cell r="Y266">
            <v>0</v>
          </cell>
        </row>
        <row r="267">
          <cell r="V267" t="e">
            <v>#N/A</v>
          </cell>
          <cell r="Y267">
            <v>0</v>
          </cell>
        </row>
        <row r="268">
          <cell r="V268" t="e">
            <v>#N/A</v>
          </cell>
          <cell r="Y268">
            <v>0</v>
          </cell>
        </row>
        <row r="269">
          <cell r="V269" t="e">
            <v>#N/A</v>
          </cell>
          <cell r="Y269">
            <v>0</v>
          </cell>
        </row>
        <row r="270">
          <cell r="V270" t="e">
            <v>#N/A</v>
          </cell>
          <cell r="Y270">
            <v>0</v>
          </cell>
        </row>
        <row r="271">
          <cell r="V271" t="e">
            <v>#N/A</v>
          </cell>
          <cell r="Y271">
            <v>0</v>
          </cell>
        </row>
        <row r="272">
          <cell r="V272" t="e">
            <v>#N/A</v>
          </cell>
          <cell r="Y272">
            <v>0</v>
          </cell>
        </row>
        <row r="273">
          <cell r="V273" t="e">
            <v>#N/A</v>
          </cell>
          <cell r="Y273">
            <v>0</v>
          </cell>
        </row>
        <row r="274">
          <cell r="V274" t="e">
            <v>#N/A</v>
          </cell>
          <cell r="Y274">
            <v>0</v>
          </cell>
        </row>
        <row r="275">
          <cell r="V275" t="e">
            <v>#N/A</v>
          </cell>
          <cell r="Y275">
            <v>0</v>
          </cell>
        </row>
        <row r="276">
          <cell r="V276" t="e">
            <v>#N/A</v>
          </cell>
          <cell r="Y276">
            <v>0</v>
          </cell>
        </row>
        <row r="277">
          <cell r="V277" t="e">
            <v>#N/A</v>
          </cell>
          <cell r="Y277">
            <v>0</v>
          </cell>
        </row>
        <row r="278">
          <cell r="V278" t="e">
            <v>#N/A</v>
          </cell>
          <cell r="Y278">
            <v>0</v>
          </cell>
        </row>
        <row r="279">
          <cell r="V279" t="e">
            <v>#N/A</v>
          </cell>
          <cell r="Y279">
            <v>0</v>
          </cell>
        </row>
        <row r="280">
          <cell r="V280" t="e">
            <v>#N/A</v>
          </cell>
          <cell r="Y280">
            <v>0</v>
          </cell>
        </row>
        <row r="281">
          <cell r="V281" t="e">
            <v>#N/A</v>
          </cell>
          <cell r="Y281">
            <v>0</v>
          </cell>
        </row>
        <row r="282">
          <cell r="V282" t="e">
            <v>#N/A</v>
          </cell>
          <cell r="Y282">
            <v>0</v>
          </cell>
        </row>
        <row r="283">
          <cell r="V283" t="e">
            <v>#N/A</v>
          </cell>
          <cell r="Y283">
            <v>0</v>
          </cell>
        </row>
        <row r="284">
          <cell r="V284" t="e">
            <v>#N/A</v>
          </cell>
          <cell r="Y284">
            <v>0</v>
          </cell>
        </row>
        <row r="285">
          <cell r="V285" t="e">
            <v>#N/A</v>
          </cell>
          <cell r="Y285">
            <v>0</v>
          </cell>
        </row>
        <row r="286">
          <cell r="V286" t="e">
            <v>#N/A</v>
          </cell>
          <cell r="Y286">
            <v>0</v>
          </cell>
        </row>
        <row r="287">
          <cell r="V287" t="e">
            <v>#N/A</v>
          </cell>
          <cell r="Y287">
            <v>0</v>
          </cell>
        </row>
        <row r="288">
          <cell r="V288" t="e">
            <v>#N/A</v>
          </cell>
          <cell r="Y288">
            <v>0</v>
          </cell>
        </row>
        <row r="289">
          <cell r="V289" t="e">
            <v>#N/A</v>
          </cell>
          <cell r="Y289">
            <v>0</v>
          </cell>
        </row>
        <row r="290">
          <cell r="V290" t="e">
            <v>#N/A</v>
          </cell>
          <cell r="Y290">
            <v>0</v>
          </cell>
        </row>
        <row r="291">
          <cell r="V291" t="e">
            <v>#N/A</v>
          </cell>
          <cell r="Y291">
            <v>0</v>
          </cell>
        </row>
        <row r="292">
          <cell r="V292" t="e">
            <v>#N/A</v>
          </cell>
          <cell r="Y292">
            <v>0</v>
          </cell>
        </row>
        <row r="293">
          <cell r="V293" t="e">
            <v>#N/A</v>
          </cell>
          <cell r="Y293">
            <v>0</v>
          </cell>
        </row>
        <row r="294">
          <cell r="V294" t="e">
            <v>#N/A</v>
          </cell>
          <cell r="Y294">
            <v>0</v>
          </cell>
        </row>
        <row r="295">
          <cell r="V295" t="e">
            <v>#N/A</v>
          </cell>
          <cell r="Y295">
            <v>0</v>
          </cell>
        </row>
        <row r="296">
          <cell r="V296" t="e">
            <v>#N/A</v>
          </cell>
          <cell r="Y296">
            <v>0</v>
          </cell>
        </row>
        <row r="297">
          <cell r="V297" t="e">
            <v>#N/A</v>
          </cell>
          <cell r="Y297">
            <v>0</v>
          </cell>
        </row>
        <row r="298">
          <cell r="V298" t="e">
            <v>#N/A</v>
          </cell>
          <cell r="Y298">
            <v>0</v>
          </cell>
        </row>
        <row r="299">
          <cell r="V299" t="e">
            <v>#N/A</v>
          </cell>
          <cell r="Y299">
            <v>0</v>
          </cell>
        </row>
        <row r="300">
          <cell r="V300" t="e">
            <v>#N/A</v>
          </cell>
          <cell r="Y300">
            <v>0</v>
          </cell>
        </row>
        <row r="301">
          <cell r="V301" t="e">
            <v>#N/A</v>
          </cell>
          <cell r="Y301">
            <v>0</v>
          </cell>
        </row>
        <row r="302">
          <cell r="V302" t="e">
            <v>#N/A</v>
          </cell>
          <cell r="Y302">
            <v>0</v>
          </cell>
        </row>
        <row r="303">
          <cell r="V303" t="e">
            <v>#N/A</v>
          </cell>
          <cell r="Y303">
            <v>0</v>
          </cell>
        </row>
        <row r="304">
          <cell r="V304" t="e">
            <v>#N/A</v>
          </cell>
          <cell r="Y304">
            <v>0</v>
          </cell>
        </row>
        <row r="305">
          <cell r="V305" t="e">
            <v>#N/A</v>
          </cell>
          <cell r="Y305">
            <v>0</v>
          </cell>
        </row>
        <row r="306">
          <cell r="V306" t="e">
            <v>#N/A</v>
          </cell>
          <cell r="Y306">
            <v>0</v>
          </cell>
        </row>
        <row r="307">
          <cell r="V307" t="e">
            <v>#N/A</v>
          </cell>
          <cell r="Y307">
            <v>0</v>
          </cell>
        </row>
        <row r="308">
          <cell r="V308" t="e">
            <v>#N/A</v>
          </cell>
          <cell r="Y308">
            <v>0</v>
          </cell>
        </row>
        <row r="309">
          <cell r="V309" t="e">
            <v>#N/A</v>
          </cell>
          <cell r="Y309">
            <v>0</v>
          </cell>
        </row>
        <row r="310">
          <cell r="V310" t="e">
            <v>#N/A</v>
          </cell>
          <cell r="Y310">
            <v>0</v>
          </cell>
        </row>
        <row r="311">
          <cell r="V311" t="e">
            <v>#N/A</v>
          </cell>
          <cell r="Y311">
            <v>0</v>
          </cell>
        </row>
        <row r="312">
          <cell r="V312" t="e">
            <v>#N/A</v>
          </cell>
          <cell r="Y312">
            <v>0</v>
          </cell>
        </row>
        <row r="313">
          <cell r="V313" t="e">
            <v>#N/A</v>
          </cell>
          <cell r="Y313">
            <v>0</v>
          </cell>
        </row>
        <row r="314">
          <cell r="V314" t="e">
            <v>#N/A</v>
          </cell>
          <cell r="Y314">
            <v>0</v>
          </cell>
        </row>
        <row r="315">
          <cell r="V315" t="e">
            <v>#N/A</v>
          </cell>
          <cell r="Y315">
            <v>0</v>
          </cell>
        </row>
        <row r="316">
          <cell r="V316" t="e">
            <v>#N/A</v>
          </cell>
          <cell r="Y316">
            <v>0</v>
          </cell>
        </row>
        <row r="317">
          <cell r="V317" t="e">
            <v>#N/A</v>
          </cell>
          <cell r="Y317">
            <v>0</v>
          </cell>
        </row>
        <row r="318">
          <cell r="V318" t="e">
            <v>#N/A</v>
          </cell>
          <cell r="Y318">
            <v>0</v>
          </cell>
        </row>
        <row r="319">
          <cell r="V319" t="e">
            <v>#N/A</v>
          </cell>
          <cell r="Y319">
            <v>0</v>
          </cell>
        </row>
        <row r="320">
          <cell r="V320" t="e">
            <v>#N/A</v>
          </cell>
          <cell r="Y320">
            <v>0</v>
          </cell>
        </row>
        <row r="321">
          <cell r="V321" t="e">
            <v>#N/A</v>
          </cell>
          <cell r="Y321">
            <v>0</v>
          </cell>
        </row>
        <row r="322">
          <cell r="V322" t="e">
            <v>#N/A</v>
          </cell>
          <cell r="Y322">
            <v>0</v>
          </cell>
        </row>
        <row r="323">
          <cell r="V323" t="e">
            <v>#N/A</v>
          </cell>
          <cell r="Y323">
            <v>0</v>
          </cell>
        </row>
        <row r="324">
          <cell r="V324" t="e">
            <v>#N/A</v>
          </cell>
          <cell r="Y324">
            <v>0</v>
          </cell>
        </row>
        <row r="325">
          <cell r="V325" t="e">
            <v>#N/A</v>
          </cell>
          <cell r="Y325">
            <v>0</v>
          </cell>
        </row>
        <row r="326">
          <cell r="V326" t="e">
            <v>#N/A</v>
          </cell>
          <cell r="Y326">
            <v>0</v>
          </cell>
        </row>
        <row r="327">
          <cell r="V327" t="e">
            <v>#N/A</v>
          </cell>
          <cell r="Y327">
            <v>0</v>
          </cell>
        </row>
        <row r="328">
          <cell r="V328" t="e">
            <v>#N/A</v>
          </cell>
          <cell r="Y328">
            <v>0</v>
          </cell>
        </row>
        <row r="329">
          <cell r="V329" t="e">
            <v>#N/A</v>
          </cell>
          <cell r="Y329">
            <v>0</v>
          </cell>
        </row>
        <row r="330">
          <cell r="V330" t="e">
            <v>#N/A</v>
          </cell>
          <cell r="Y330">
            <v>0</v>
          </cell>
        </row>
        <row r="331">
          <cell r="V331" t="e">
            <v>#N/A</v>
          </cell>
          <cell r="Y331">
            <v>0</v>
          </cell>
        </row>
        <row r="332">
          <cell r="V332" t="e">
            <v>#N/A</v>
          </cell>
          <cell r="Y332">
            <v>0</v>
          </cell>
        </row>
        <row r="333">
          <cell r="V333" t="e">
            <v>#N/A</v>
          </cell>
          <cell r="Y333">
            <v>0</v>
          </cell>
        </row>
        <row r="334">
          <cell r="V334" t="e">
            <v>#N/A</v>
          </cell>
          <cell r="Y334">
            <v>0</v>
          </cell>
        </row>
        <row r="335">
          <cell r="V335" t="e">
            <v>#N/A</v>
          </cell>
          <cell r="Y335">
            <v>0</v>
          </cell>
        </row>
        <row r="336">
          <cell r="V336" t="e">
            <v>#N/A</v>
          </cell>
          <cell r="Y336">
            <v>0</v>
          </cell>
        </row>
        <row r="337">
          <cell r="V337" t="e">
            <v>#N/A</v>
          </cell>
          <cell r="Y337">
            <v>0</v>
          </cell>
        </row>
        <row r="338">
          <cell r="V338" t="e">
            <v>#N/A</v>
          </cell>
          <cell r="Y338">
            <v>0</v>
          </cell>
        </row>
        <row r="339">
          <cell r="V339" t="e">
            <v>#N/A</v>
          </cell>
          <cell r="Y339">
            <v>0</v>
          </cell>
        </row>
        <row r="340">
          <cell r="V340" t="e">
            <v>#N/A</v>
          </cell>
          <cell r="Y340">
            <v>0</v>
          </cell>
        </row>
        <row r="341">
          <cell r="V341" t="e">
            <v>#N/A</v>
          </cell>
          <cell r="Y341">
            <v>0</v>
          </cell>
        </row>
        <row r="342">
          <cell r="V342" t="e">
            <v>#N/A</v>
          </cell>
          <cell r="Y342">
            <v>0</v>
          </cell>
        </row>
        <row r="343">
          <cell r="V343" t="e">
            <v>#N/A</v>
          </cell>
          <cell r="Y343">
            <v>0</v>
          </cell>
        </row>
        <row r="344">
          <cell r="V344" t="e">
            <v>#N/A</v>
          </cell>
          <cell r="Y344">
            <v>0</v>
          </cell>
        </row>
        <row r="345">
          <cell r="V345" t="e">
            <v>#N/A</v>
          </cell>
          <cell r="Y345">
            <v>0</v>
          </cell>
        </row>
        <row r="346">
          <cell r="V346" t="e">
            <v>#N/A</v>
          </cell>
          <cell r="Y346">
            <v>0</v>
          </cell>
        </row>
        <row r="347">
          <cell r="V347" t="e">
            <v>#N/A</v>
          </cell>
          <cell r="Y347">
            <v>0</v>
          </cell>
        </row>
        <row r="348">
          <cell r="V348" t="e">
            <v>#N/A</v>
          </cell>
          <cell r="Y348">
            <v>0</v>
          </cell>
        </row>
        <row r="349">
          <cell r="V349" t="e">
            <v>#N/A</v>
          </cell>
          <cell r="Y349">
            <v>0</v>
          </cell>
        </row>
        <row r="350">
          <cell r="V350" t="e">
            <v>#N/A</v>
          </cell>
          <cell r="Y350">
            <v>0</v>
          </cell>
        </row>
        <row r="351">
          <cell r="V351" t="e">
            <v>#N/A</v>
          </cell>
          <cell r="Y351">
            <v>0</v>
          </cell>
        </row>
        <row r="352">
          <cell r="V352" t="e">
            <v>#N/A</v>
          </cell>
          <cell r="Y352">
            <v>0</v>
          </cell>
        </row>
        <row r="353">
          <cell r="V353" t="e">
            <v>#N/A</v>
          </cell>
          <cell r="Y353">
            <v>0</v>
          </cell>
        </row>
        <row r="354">
          <cell r="V354" t="e">
            <v>#N/A</v>
          </cell>
          <cell r="Y354">
            <v>0</v>
          </cell>
        </row>
        <row r="355">
          <cell r="V355" t="e">
            <v>#N/A</v>
          </cell>
          <cell r="Y355">
            <v>0</v>
          </cell>
        </row>
        <row r="356">
          <cell r="V356" t="e">
            <v>#N/A</v>
          </cell>
          <cell r="Y356">
            <v>0</v>
          </cell>
        </row>
        <row r="357">
          <cell r="V357" t="e">
            <v>#N/A</v>
          </cell>
          <cell r="Y357">
            <v>0</v>
          </cell>
        </row>
        <row r="358">
          <cell r="V358" t="e">
            <v>#N/A</v>
          </cell>
          <cell r="Y358">
            <v>0</v>
          </cell>
        </row>
        <row r="359">
          <cell r="V359" t="e">
            <v>#N/A</v>
          </cell>
          <cell r="Y359">
            <v>0</v>
          </cell>
        </row>
        <row r="360">
          <cell r="V360" t="e">
            <v>#N/A</v>
          </cell>
          <cell r="Y360">
            <v>0</v>
          </cell>
        </row>
        <row r="361">
          <cell r="V361" t="e">
            <v>#N/A</v>
          </cell>
          <cell r="Y361">
            <v>0</v>
          </cell>
        </row>
        <row r="362">
          <cell r="V362" t="e">
            <v>#N/A</v>
          </cell>
          <cell r="Y362">
            <v>0</v>
          </cell>
        </row>
        <row r="363">
          <cell r="V363" t="e">
            <v>#N/A</v>
          </cell>
          <cell r="Y363">
            <v>0</v>
          </cell>
        </row>
        <row r="364">
          <cell r="V364" t="e">
            <v>#N/A</v>
          </cell>
          <cell r="Y364">
            <v>0</v>
          </cell>
        </row>
        <row r="365">
          <cell r="V365" t="e">
            <v>#N/A</v>
          </cell>
          <cell r="Y365">
            <v>0</v>
          </cell>
        </row>
        <row r="366">
          <cell r="V366" t="e">
            <v>#N/A</v>
          </cell>
          <cell r="Y366">
            <v>0</v>
          </cell>
        </row>
        <row r="367">
          <cell r="V367" t="e">
            <v>#N/A</v>
          </cell>
          <cell r="Y367">
            <v>0</v>
          </cell>
        </row>
        <row r="368">
          <cell r="V368" t="e">
            <v>#N/A</v>
          </cell>
          <cell r="Y368">
            <v>0</v>
          </cell>
        </row>
        <row r="369">
          <cell r="V369" t="e">
            <v>#N/A</v>
          </cell>
          <cell r="Y369">
            <v>0</v>
          </cell>
        </row>
        <row r="370">
          <cell r="V370" t="e">
            <v>#N/A</v>
          </cell>
          <cell r="Y370">
            <v>0</v>
          </cell>
        </row>
        <row r="371">
          <cell r="V371" t="e">
            <v>#N/A</v>
          </cell>
          <cell r="Y371">
            <v>0</v>
          </cell>
        </row>
        <row r="372">
          <cell r="V372" t="e">
            <v>#N/A</v>
          </cell>
          <cell r="Y372">
            <v>0</v>
          </cell>
        </row>
        <row r="373">
          <cell r="V373" t="e">
            <v>#N/A</v>
          </cell>
          <cell r="Y373">
            <v>0</v>
          </cell>
        </row>
        <row r="374">
          <cell r="V374" t="e">
            <v>#N/A</v>
          </cell>
          <cell r="Y374">
            <v>0</v>
          </cell>
        </row>
        <row r="375">
          <cell r="V375" t="e">
            <v>#N/A</v>
          </cell>
          <cell r="Y375">
            <v>0</v>
          </cell>
        </row>
        <row r="376">
          <cell r="V376" t="e">
            <v>#N/A</v>
          </cell>
          <cell r="Y376">
            <v>0</v>
          </cell>
        </row>
        <row r="377">
          <cell r="V377" t="e">
            <v>#N/A</v>
          </cell>
          <cell r="Y377">
            <v>0</v>
          </cell>
        </row>
        <row r="378">
          <cell r="V378" t="e">
            <v>#N/A</v>
          </cell>
          <cell r="Y378">
            <v>0</v>
          </cell>
        </row>
        <row r="379">
          <cell r="V379" t="e">
            <v>#N/A</v>
          </cell>
          <cell r="Y379">
            <v>0</v>
          </cell>
        </row>
        <row r="380">
          <cell r="V380" t="e">
            <v>#N/A</v>
          </cell>
          <cell r="Y380">
            <v>0</v>
          </cell>
        </row>
        <row r="381">
          <cell r="V381" t="e">
            <v>#N/A</v>
          </cell>
          <cell r="Y381">
            <v>0</v>
          </cell>
        </row>
        <row r="382">
          <cell r="V382" t="e">
            <v>#N/A</v>
          </cell>
          <cell r="Y382">
            <v>0</v>
          </cell>
        </row>
        <row r="383">
          <cell r="V383" t="e">
            <v>#N/A</v>
          </cell>
          <cell r="Y383">
            <v>0</v>
          </cell>
        </row>
      </sheetData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itimc"/>
      <sheetName val="dongia (2)"/>
      <sheetName val="giathanh1"/>
      <sheetName val="LKVL-CK-HT-GD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 -8"/>
      <sheetName val="AI -8-Disburs"/>
      <sheetName val="Form B-R"/>
      <sheetName val="Form-B-R1"/>
      <sheetName val="Form-B-R2"/>
      <sheetName val="Form-B-R2 (2)"/>
      <sheetName val="PROY-KIT"/>
      <sheetName val="JTM&amp;JTR"/>
      <sheetName val="GRD"/>
      <sheetName val="SL&amp;Desa"/>
      <sheetName val="Sheet1"/>
      <sheetName val="CROSAI-DISBURS"/>
      <sheetName val="CRSAI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pt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RGA SATUAN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Biaya"/>
      <sheetName val="Kuantitas &amp; Harga"/>
      <sheetName val="Persentase"/>
      <sheetName val="Rutin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NRCPTK01"/>
      <sheetName val="NRCKTP01"/>
      <sheetName val="NRCPTS01"/>
      <sheetName val="NRCSKW01"/>
      <sheetName val="NRCSGU01"/>
      <sheetName val="NRC-STG"/>
      <sheetName val="NRCSBS01"/>
    </sheetNames>
    <sheetDataSet>
      <sheetData sheetId="0" refreshError="1"/>
      <sheetData sheetId="1">
        <row r="4">
          <cell r="A4" t="str">
            <v>NERACA DAYA SISTEM PONTIANAK</v>
          </cell>
        </row>
        <row r="5">
          <cell r="A5" t="str">
            <v xml:space="preserve">UNTUK TAHUN  2002 </v>
          </cell>
        </row>
        <row r="7">
          <cell r="A7" t="str">
            <v>NO</v>
          </cell>
          <cell r="B7" t="str">
            <v>MESIN</v>
          </cell>
          <cell r="C7" t="str">
            <v xml:space="preserve">DAYA </v>
          </cell>
          <cell r="D7" t="str">
            <v>DAYA</v>
          </cell>
          <cell r="E7" t="str">
            <v>TAHUN  2001</v>
          </cell>
          <cell r="Q7" t="str">
            <v>TAHUN  2002</v>
          </cell>
        </row>
        <row r="8">
          <cell r="C8" t="str">
            <v>TERPASANG</v>
          </cell>
          <cell r="D8" t="str">
            <v>MAMPU</v>
          </cell>
          <cell r="E8" t="str">
            <v>JAN</v>
          </cell>
          <cell r="F8" t="str">
            <v>FEB</v>
          </cell>
          <cell r="G8" t="str">
            <v>MAR</v>
          </cell>
          <cell r="H8" t="str">
            <v>APR</v>
          </cell>
          <cell r="I8" t="str">
            <v>MEI</v>
          </cell>
          <cell r="J8" t="str">
            <v>JUN</v>
          </cell>
          <cell r="K8" t="str">
            <v>JUL</v>
          </cell>
          <cell r="L8" t="str">
            <v>AGU</v>
          </cell>
          <cell r="M8" t="str">
            <v>SEP</v>
          </cell>
          <cell r="N8" t="str">
            <v>OKT</v>
          </cell>
          <cell r="O8" t="str">
            <v>NOP</v>
          </cell>
          <cell r="P8" t="str">
            <v>DES</v>
          </cell>
          <cell r="Q8" t="str">
            <v>JAN</v>
          </cell>
          <cell r="R8" t="str">
            <v>FEB</v>
          </cell>
          <cell r="S8" t="str">
            <v>MAR</v>
          </cell>
          <cell r="T8" t="str">
            <v>APR</v>
          </cell>
          <cell r="U8" t="str">
            <v>MEI</v>
          </cell>
          <cell r="V8" t="str">
            <v>JUN</v>
          </cell>
          <cell r="W8" t="str">
            <v>JUL</v>
          </cell>
          <cell r="X8" t="str">
            <v>AGU</v>
          </cell>
          <cell r="Y8" t="str">
            <v>SEP</v>
          </cell>
          <cell r="Z8" t="str">
            <v>OKT</v>
          </cell>
          <cell r="AA8" t="str">
            <v>NOP</v>
          </cell>
          <cell r="AB8" t="str">
            <v>DES</v>
          </cell>
        </row>
        <row r="9">
          <cell r="B9" t="str">
            <v>PLTD SIANTAN</v>
          </cell>
          <cell r="C9" t="str">
            <v/>
          </cell>
          <cell r="D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P9" t="str">
            <v/>
          </cell>
          <cell r="Q9" t="str">
            <v/>
          </cell>
          <cell r="R9" t="str">
            <v/>
          </cell>
          <cell r="S9" t="str">
            <v/>
          </cell>
          <cell r="T9" t="str">
            <v/>
          </cell>
          <cell r="U9" t="str">
            <v/>
          </cell>
          <cell r="V9" t="str">
            <v/>
          </cell>
          <cell r="W9" t="str">
            <v/>
          </cell>
          <cell r="X9" t="str">
            <v/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</row>
        <row r="10">
          <cell r="A10" t="str">
            <v>1</v>
          </cell>
          <cell r="B10" t="str">
            <v>S W D  I</v>
          </cell>
          <cell r="C10">
            <v>4000</v>
          </cell>
          <cell r="D10">
            <v>3000</v>
          </cell>
          <cell r="E10">
            <v>2500</v>
          </cell>
          <cell r="F10">
            <v>2500</v>
          </cell>
          <cell r="G10">
            <v>2500</v>
          </cell>
          <cell r="H10">
            <v>2600</v>
          </cell>
          <cell r="I10">
            <v>2600</v>
          </cell>
          <cell r="J10">
            <v>2600</v>
          </cell>
          <cell r="K10">
            <v>2600</v>
          </cell>
          <cell r="L10">
            <v>2600</v>
          </cell>
          <cell r="M10">
            <v>2600</v>
          </cell>
          <cell r="N10" t="str">
            <v>TO/EFI</v>
          </cell>
          <cell r="O10">
            <v>3000</v>
          </cell>
          <cell r="P10">
            <v>3000</v>
          </cell>
          <cell r="Q10">
            <v>3000</v>
          </cell>
          <cell r="R10">
            <v>3000</v>
          </cell>
          <cell r="S10">
            <v>3000</v>
          </cell>
          <cell r="T10">
            <v>3000</v>
          </cell>
          <cell r="U10">
            <v>3000</v>
          </cell>
          <cell r="V10">
            <v>3000</v>
          </cell>
          <cell r="W10">
            <v>3000</v>
          </cell>
          <cell r="X10">
            <v>3000</v>
          </cell>
          <cell r="Y10" t="str">
            <v>SO</v>
          </cell>
          <cell r="Z10">
            <v>3000</v>
          </cell>
          <cell r="AA10">
            <v>3000</v>
          </cell>
          <cell r="AB10">
            <v>3000</v>
          </cell>
        </row>
        <row r="11">
          <cell r="A11" t="str">
            <v>2</v>
          </cell>
          <cell r="B11" t="str">
            <v>S W D  II</v>
          </cell>
          <cell r="C11">
            <v>4000</v>
          </cell>
          <cell r="D11">
            <v>0</v>
          </cell>
          <cell r="E11" t="str">
            <v>RUSAK (REHAB/EFI)</v>
          </cell>
          <cell r="Q11" t="str">
            <v>RUSAK</v>
          </cell>
          <cell r="U11">
            <v>3000</v>
          </cell>
          <cell r="V11">
            <v>3000</v>
          </cell>
          <cell r="W11">
            <v>3000</v>
          </cell>
          <cell r="X11">
            <v>3000</v>
          </cell>
          <cell r="Y11">
            <v>3000</v>
          </cell>
          <cell r="Z11">
            <v>3000</v>
          </cell>
          <cell r="AA11">
            <v>3000</v>
          </cell>
          <cell r="AB11">
            <v>3000</v>
          </cell>
        </row>
        <row r="12">
          <cell r="A12" t="str">
            <v>3</v>
          </cell>
          <cell r="B12" t="str">
            <v>S W D  III</v>
          </cell>
          <cell r="C12">
            <v>4000</v>
          </cell>
          <cell r="D12">
            <v>3000</v>
          </cell>
          <cell r="E12">
            <v>2600</v>
          </cell>
          <cell r="F12">
            <v>2600</v>
          </cell>
          <cell r="G12">
            <v>2600</v>
          </cell>
          <cell r="H12" t="str">
            <v>RUSAK 2/4/01 (REHAB/EFI)</v>
          </cell>
          <cell r="M12">
            <v>3000</v>
          </cell>
          <cell r="N12">
            <v>3000</v>
          </cell>
          <cell r="O12">
            <v>3000</v>
          </cell>
          <cell r="P12">
            <v>3000</v>
          </cell>
          <cell r="Q12">
            <v>3000</v>
          </cell>
          <cell r="R12">
            <v>3000</v>
          </cell>
          <cell r="S12">
            <v>3000</v>
          </cell>
          <cell r="T12">
            <v>3000</v>
          </cell>
          <cell r="U12">
            <v>3000</v>
          </cell>
          <cell r="V12">
            <v>3000</v>
          </cell>
          <cell r="W12">
            <v>3000</v>
          </cell>
          <cell r="X12">
            <v>3000</v>
          </cell>
          <cell r="Y12">
            <v>3000</v>
          </cell>
          <cell r="Z12" t="str">
            <v>TO</v>
          </cell>
          <cell r="AA12">
            <v>3000</v>
          </cell>
          <cell r="AB12">
            <v>3000</v>
          </cell>
        </row>
        <row r="13">
          <cell r="A13" t="str">
            <v>4</v>
          </cell>
          <cell r="B13" t="str">
            <v>S W D  IV</v>
          </cell>
          <cell r="C13">
            <v>10400</v>
          </cell>
          <cell r="D13">
            <v>0</v>
          </cell>
          <cell r="E13" t="str">
            <v>RUSAK (REHAB/EFI)</v>
          </cell>
          <cell r="Q13" t="str">
            <v>EFI]</v>
          </cell>
          <cell r="R13">
            <v>8500</v>
          </cell>
          <cell r="S13">
            <v>8500</v>
          </cell>
          <cell r="T13">
            <v>8500</v>
          </cell>
          <cell r="U13">
            <v>8500</v>
          </cell>
          <cell r="V13">
            <v>8500</v>
          </cell>
          <cell r="W13">
            <v>8500</v>
          </cell>
          <cell r="X13">
            <v>8500</v>
          </cell>
          <cell r="Y13">
            <v>8500</v>
          </cell>
          <cell r="Z13">
            <v>8500</v>
          </cell>
          <cell r="AA13" t="str">
            <v>TO</v>
          </cell>
          <cell r="AB13">
            <v>8500</v>
          </cell>
        </row>
        <row r="14">
          <cell r="A14" t="str">
            <v>5</v>
          </cell>
          <cell r="B14" t="str">
            <v>SULZER I</v>
          </cell>
          <cell r="C14">
            <v>6300</v>
          </cell>
          <cell r="D14">
            <v>4500</v>
          </cell>
          <cell r="E14">
            <v>2600</v>
          </cell>
          <cell r="F14">
            <v>2600</v>
          </cell>
          <cell r="G14">
            <v>2600</v>
          </cell>
          <cell r="H14">
            <v>3500</v>
          </cell>
          <cell r="I14">
            <v>4200</v>
          </cell>
          <cell r="J14">
            <v>4500</v>
          </cell>
          <cell r="K14">
            <v>4500</v>
          </cell>
          <cell r="L14">
            <v>4500</v>
          </cell>
          <cell r="M14">
            <v>4500</v>
          </cell>
          <cell r="N14">
            <v>4500</v>
          </cell>
          <cell r="O14">
            <v>4500</v>
          </cell>
          <cell r="P14">
            <v>4500</v>
          </cell>
          <cell r="Q14">
            <v>4500</v>
          </cell>
          <cell r="R14">
            <v>4500</v>
          </cell>
          <cell r="S14" t="str">
            <v>SO</v>
          </cell>
          <cell r="T14">
            <v>5000</v>
          </cell>
          <cell r="U14">
            <v>5000</v>
          </cell>
          <cell r="V14">
            <v>5000</v>
          </cell>
          <cell r="W14">
            <v>5000</v>
          </cell>
          <cell r="X14" t="str">
            <v>MO</v>
          </cell>
          <cell r="Y14">
            <v>5000</v>
          </cell>
          <cell r="Z14">
            <v>5000</v>
          </cell>
          <cell r="AA14">
            <v>5000</v>
          </cell>
          <cell r="AB14">
            <v>5000</v>
          </cell>
        </row>
        <row r="15">
          <cell r="A15" t="str">
            <v>6</v>
          </cell>
          <cell r="B15" t="str">
            <v>SULZER II</v>
          </cell>
          <cell r="C15">
            <v>6300</v>
          </cell>
          <cell r="D15">
            <v>5500</v>
          </cell>
          <cell r="E15">
            <v>5500</v>
          </cell>
          <cell r="F15">
            <v>5500</v>
          </cell>
          <cell r="G15">
            <v>5500</v>
          </cell>
          <cell r="H15">
            <v>5500</v>
          </cell>
          <cell r="I15">
            <v>5500</v>
          </cell>
          <cell r="J15">
            <v>5500</v>
          </cell>
          <cell r="K15">
            <v>5500</v>
          </cell>
          <cell r="L15">
            <v>5500</v>
          </cell>
          <cell r="M15">
            <v>5500</v>
          </cell>
          <cell r="N15">
            <v>5500</v>
          </cell>
          <cell r="O15">
            <v>5500</v>
          </cell>
          <cell r="P15">
            <v>5500</v>
          </cell>
          <cell r="Q15">
            <v>5500</v>
          </cell>
          <cell r="R15" t="str">
            <v>TO</v>
          </cell>
          <cell r="S15">
            <v>5500</v>
          </cell>
          <cell r="T15">
            <v>5500</v>
          </cell>
          <cell r="U15">
            <v>5500</v>
          </cell>
          <cell r="V15">
            <v>5500</v>
          </cell>
          <cell r="W15" t="str">
            <v>SO</v>
          </cell>
          <cell r="X15">
            <v>5500</v>
          </cell>
          <cell r="Y15">
            <v>5500</v>
          </cell>
          <cell r="Z15">
            <v>5500</v>
          </cell>
          <cell r="AA15">
            <v>5500</v>
          </cell>
          <cell r="AB15">
            <v>5500</v>
          </cell>
        </row>
        <row r="16">
          <cell r="B16" t="str">
            <v>TOTAL SIANTAN</v>
          </cell>
          <cell r="C16">
            <v>35000</v>
          </cell>
          <cell r="D16">
            <v>16000</v>
          </cell>
          <cell r="E16">
            <v>13200</v>
          </cell>
          <cell r="F16">
            <v>13200</v>
          </cell>
          <cell r="G16">
            <v>13200</v>
          </cell>
          <cell r="H16">
            <v>11600</v>
          </cell>
          <cell r="I16">
            <v>12300</v>
          </cell>
          <cell r="J16">
            <v>12600</v>
          </cell>
          <cell r="K16">
            <v>12600</v>
          </cell>
          <cell r="L16">
            <v>12600</v>
          </cell>
          <cell r="M16">
            <v>15600</v>
          </cell>
          <cell r="N16">
            <v>13000</v>
          </cell>
          <cell r="O16">
            <v>16000</v>
          </cell>
          <cell r="P16">
            <v>16000</v>
          </cell>
          <cell r="Q16">
            <v>16000</v>
          </cell>
          <cell r="R16">
            <v>19000</v>
          </cell>
          <cell r="S16">
            <v>20000</v>
          </cell>
          <cell r="T16">
            <v>25000</v>
          </cell>
          <cell r="U16">
            <v>28000</v>
          </cell>
          <cell r="V16">
            <v>28000</v>
          </cell>
          <cell r="W16">
            <v>22500</v>
          </cell>
          <cell r="X16">
            <v>23000</v>
          </cell>
          <cell r="Y16">
            <v>25000</v>
          </cell>
          <cell r="Z16">
            <v>25000</v>
          </cell>
          <cell r="AA16">
            <v>19500</v>
          </cell>
          <cell r="AB16">
            <v>28000</v>
          </cell>
        </row>
        <row r="18">
          <cell r="B18" t="str">
            <v>PLTD RENTAL</v>
          </cell>
          <cell r="C18" t="str">
            <v>(DAYA SESUAI KONTRAK)</v>
          </cell>
        </row>
        <row r="19">
          <cell r="A19" t="str">
            <v>1</v>
          </cell>
          <cell r="B19" t="str">
            <v>PT. IND.POWER</v>
          </cell>
          <cell r="C19">
            <v>8500</v>
          </cell>
          <cell r="D19">
            <v>8500</v>
          </cell>
          <cell r="E19">
            <v>8500</v>
          </cell>
          <cell r="F19">
            <v>8500</v>
          </cell>
          <cell r="G19">
            <v>8500</v>
          </cell>
          <cell r="H19">
            <v>8500</v>
          </cell>
          <cell r="I19">
            <v>8500</v>
          </cell>
          <cell r="J19">
            <v>8500</v>
          </cell>
          <cell r="K19">
            <v>6000</v>
          </cell>
          <cell r="L19">
            <v>6000</v>
          </cell>
          <cell r="M19">
            <v>6000</v>
          </cell>
          <cell r="N19">
            <v>8500</v>
          </cell>
          <cell r="O19">
            <v>8500</v>
          </cell>
          <cell r="P19">
            <v>8500</v>
          </cell>
          <cell r="Q19">
            <v>8500</v>
          </cell>
          <cell r="R19">
            <v>8500</v>
          </cell>
          <cell r="S19">
            <v>8500</v>
          </cell>
          <cell r="T19">
            <v>8500</v>
          </cell>
          <cell r="U19">
            <v>8500</v>
          </cell>
          <cell r="V19">
            <v>8500</v>
          </cell>
          <cell r="W19">
            <v>8500</v>
          </cell>
          <cell r="X19">
            <v>8500</v>
          </cell>
          <cell r="Y19">
            <v>8500</v>
          </cell>
          <cell r="Z19">
            <v>8500</v>
          </cell>
          <cell r="AA19">
            <v>8500</v>
          </cell>
          <cell r="AB19">
            <v>8500</v>
          </cell>
        </row>
        <row r="20">
          <cell r="A20" t="str">
            <v>2</v>
          </cell>
          <cell r="B20" t="str">
            <v>PT. S.SEWATAMA</v>
          </cell>
          <cell r="C20">
            <v>10000</v>
          </cell>
          <cell r="D20">
            <v>10000</v>
          </cell>
          <cell r="E20" t="str">
            <v/>
          </cell>
          <cell r="O20">
            <v>10000</v>
          </cell>
          <cell r="P20">
            <v>10000</v>
          </cell>
          <cell r="Q20">
            <v>10000</v>
          </cell>
          <cell r="R20">
            <v>10000</v>
          </cell>
          <cell r="S20">
            <v>10000</v>
          </cell>
          <cell r="T20">
            <v>10000</v>
          </cell>
          <cell r="U20">
            <v>10000</v>
          </cell>
          <cell r="V20">
            <v>10000</v>
          </cell>
          <cell r="W20">
            <v>10000</v>
          </cell>
          <cell r="X20">
            <v>10000</v>
          </cell>
          <cell r="Y20">
            <v>10000</v>
          </cell>
          <cell r="Z20">
            <v>10000</v>
          </cell>
          <cell r="AA20">
            <v>10000</v>
          </cell>
          <cell r="AB20">
            <v>10000</v>
          </cell>
        </row>
        <row r="21">
          <cell r="B21" t="str">
            <v>TOTAL RENTAL</v>
          </cell>
          <cell r="C21">
            <v>18500</v>
          </cell>
          <cell r="D21">
            <v>18500</v>
          </cell>
          <cell r="E21">
            <v>8500</v>
          </cell>
          <cell r="F21">
            <v>8500</v>
          </cell>
          <cell r="G21">
            <v>8500</v>
          </cell>
          <cell r="H21">
            <v>8500</v>
          </cell>
          <cell r="I21">
            <v>8500</v>
          </cell>
          <cell r="J21">
            <v>8500</v>
          </cell>
          <cell r="K21">
            <v>6000</v>
          </cell>
          <cell r="L21">
            <v>6000</v>
          </cell>
          <cell r="M21">
            <v>6000</v>
          </cell>
          <cell r="N21">
            <v>8500</v>
          </cell>
          <cell r="O21">
            <v>18500</v>
          </cell>
          <cell r="P21">
            <v>18500</v>
          </cell>
          <cell r="Q21">
            <v>18500</v>
          </cell>
          <cell r="R21">
            <v>18500</v>
          </cell>
          <cell r="S21">
            <v>18500</v>
          </cell>
          <cell r="T21">
            <v>18500</v>
          </cell>
          <cell r="U21">
            <v>18500</v>
          </cell>
          <cell r="V21">
            <v>18500</v>
          </cell>
          <cell r="W21">
            <v>18500</v>
          </cell>
          <cell r="X21">
            <v>18500</v>
          </cell>
          <cell r="Y21">
            <v>18500</v>
          </cell>
          <cell r="Z21">
            <v>18500</v>
          </cell>
          <cell r="AA21">
            <v>18500</v>
          </cell>
          <cell r="AB21">
            <v>18500</v>
          </cell>
        </row>
        <row r="23">
          <cell r="A23" t="str">
            <v>1</v>
          </cell>
          <cell r="B23" t="str">
            <v>PLTG SIANTAN</v>
          </cell>
          <cell r="C23">
            <v>34000</v>
          </cell>
          <cell r="D23">
            <v>28000</v>
          </cell>
          <cell r="E23">
            <v>28000</v>
          </cell>
          <cell r="F23">
            <v>28000</v>
          </cell>
          <cell r="G23">
            <v>28000</v>
          </cell>
          <cell r="H23">
            <v>28000</v>
          </cell>
          <cell r="I23">
            <v>28000</v>
          </cell>
          <cell r="J23">
            <v>28000</v>
          </cell>
          <cell r="K23">
            <v>28000</v>
          </cell>
          <cell r="L23">
            <v>28000</v>
          </cell>
          <cell r="M23">
            <v>28000</v>
          </cell>
          <cell r="N23">
            <v>28000</v>
          </cell>
          <cell r="O23">
            <v>28000</v>
          </cell>
          <cell r="P23">
            <v>28000</v>
          </cell>
          <cell r="Q23" t="str">
            <v>CI plus</v>
          </cell>
          <cell r="R23">
            <v>28000</v>
          </cell>
          <cell r="S23">
            <v>28000</v>
          </cell>
          <cell r="T23">
            <v>28000</v>
          </cell>
          <cell r="U23">
            <v>28000</v>
          </cell>
          <cell r="V23">
            <v>28000</v>
          </cell>
          <cell r="W23">
            <v>28000</v>
          </cell>
          <cell r="X23">
            <v>28000</v>
          </cell>
          <cell r="Y23">
            <v>28000</v>
          </cell>
          <cell r="Z23">
            <v>28000</v>
          </cell>
          <cell r="AA23">
            <v>28000</v>
          </cell>
          <cell r="AB23" t="str">
            <v>MI</v>
          </cell>
        </row>
        <row r="24">
          <cell r="A24" t="str">
            <v>2</v>
          </cell>
          <cell r="B24" t="str">
            <v>RENC. RELOK. PLTG</v>
          </cell>
          <cell r="C24">
            <v>20000</v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  <cell r="V24" t="str">
            <v/>
          </cell>
          <cell r="W24" t="str">
            <v/>
          </cell>
          <cell r="X24" t="str">
            <v/>
          </cell>
          <cell r="Y24">
            <v>18000</v>
          </cell>
          <cell r="Z24">
            <v>18000</v>
          </cell>
          <cell r="AA24">
            <v>18000</v>
          </cell>
          <cell r="AB24">
            <v>18000</v>
          </cell>
        </row>
        <row r="25">
          <cell r="B25" t="str">
            <v>PLTD SEI RAYA</v>
          </cell>
          <cell r="C25" t="str">
            <v/>
          </cell>
        </row>
        <row r="26">
          <cell r="A26" t="str">
            <v>1</v>
          </cell>
          <cell r="B26" t="str">
            <v>S W D  I</v>
          </cell>
          <cell r="C26">
            <v>8800</v>
          </cell>
          <cell r="D26">
            <v>7500</v>
          </cell>
          <cell r="E26">
            <v>7000</v>
          </cell>
          <cell r="F26">
            <v>7500</v>
          </cell>
          <cell r="G26">
            <v>7500</v>
          </cell>
          <cell r="H26" t="str">
            <v>RUSAK</v>
          </cell>
          <cell r="I26">
            <v>7500</v>
          </cell>
          <cell r="J26">
            <v>7500</v>
          </cell>
          <cell r="K26" t="str">
            <v>TO/EFI</v>
          </cell>
          <cell r="L26">
            <v>7500</v>
          </cell>
          <cell r="M26">
            <v>7500</v>
          </cell>
          <cell r="N26">
            <v>7500</v>
          </cell>
          <cell r="O26">
            <v>7500</v>
          </cell>
          <cell r="P26">
            <v>7500</v>
          </cell>
          <cell r="Q26">
            <v>7500</v>
          </cell>
          <cell r="R26">
            <v>7500</v>
          </cell>
          <cell r="S26">
            <v>7500</v>
          </cell>
          <cell r="T26">
            <v>7500</v>
          </cell>
          <cell r="U26">
            <v>7500</v>
          </cell>
          <cell r="V26">
            <v>7500</v>
          </cell>
          <cell r="W26" t="str">
            <v>SO/TMC</v>
          </cell>
          <cell r="X26">
            <v>7500</v>
          </cell>
          <cell r="Y26">
            <v>7500</v>
          </cell>
          <cell r="Z26">
            <v>7500</v>
          </cell>
          <cell r="AA26">
            <v>7500</v>
          </cell>
          <cell r="AB26">
            <v>7500</v>
          </cell>
        </row>
        <row r="27">
          <cell r="A27" t="str">
            <v>2</v>
          </cell>
          <cell r="B27" t="str">
            <v>S W D  II</v>
          </cell>
          <cell r="C27">
            <v>8800</v>
          </cell>
          <cell r="D27">
            <v>7500</v>
          </cell>
          <cell r="E27">
            <v>7000</v>
          </cell>
          <cell r="F27">
            <v>7000</v>
          </cell>
          <cell r="G27">
            <v>7500</v>
          </cell>
          <cell r="H27">
            <v>7500</v>
          </cell>
          <cell r="I27" t="str">
            <v>TO/EFI</v>
          </cell>
          <cell r="J27">
            <v>7500</v>
          </cell>
          <cell r="K27">
            <v>7500</v>
          </cell>
          <cell r="L27">
            <v>7500</v>
          </cell>
          <cell r="M27">
            <v>7500</v>
          </cell>
          <cell r="N27">
            <v>7500</v>
          </cell>
          <cell r="O27">
            <v>7500</v>
          </cell>
          <cell r="P27">
            <v>7500</v>
          </cell>
          <cell r="Q27">
            <v>7500</v>
          </cell>
          <cell r="R27">
            <v>7500</v>
          </cell>
          <cell r="S27">
            <v>7500</v>
          </cell>
          <cell r="T27" t="str">
            <v>TO/TMC</v>
          </cell>
          <cell r="U27">
            <v>7500</v>
          </cell>
          <cell r="V27">
            <v>7500</v>
          </cell>
          <cell r="W27">
            <v>7500</v>
          </cell>
          <cell r="X27">
            <v>7500</v>
          </cell>
          <cell r="Y27">
            <v>7500</v>
          </cell>
          <cell r="Z27">
            <v>7500</v>
          </cell>
          <cell r="AA27">
            <v>7500</v>
          </cell>
          <cell r="AB27">
            <v>7500</v>
          </cell>
        </row>
        <row r="28">
          <cell r="A28" t="str">
            <v>3</v>
          </cell>
          <cell r="B28" t="str">
            <v>S W D  III</v>
          </cell>
          <cell r="C28">
            <v>8800</v>
          </cell>
          <cell r="D28">
            <v>7500</v>
          </cell>
          <cell r="E28">
            <v>7500</v>
          </cell>
          <cell r="F28" t="str">
            <v>RUSAK/EFI</v>
          </cell>
          <cell r="H28">
            <v>7500</v>
          </cell>
          <cell r="I28">
            <v>7500</v>
          </cell>
          <cell r="J28">
            <v>7500</v>
          </cell>
          <cell r="K28">
            <v>7500</v>
          </cell>
          <cell r="L28">
            <v>7500</v>
          </cell>
          <cell r="M28">
            <v>7500</v>
          </cell>
          <cell r="N28">
            <v>7500</v>
          </cell>
          <cell r="O28">
            <v>7500</v>
          </cell>
          <cell r="P28">
            <v>7500</v>
          </cell>
          <cell r="Q28">
            <v>7500</v>
          </cell>
          <cell r="R28">
            <v>7500</v>
          </cell>
          <cell r="S28" t="str">
            <v>TO/TMC</v>
          </cell>
          <cell r="T28">
            <v>7500</v>
          </cell>
          <cell r="U28">
            <v>7500</v>
          </cell>
          <cell r="V28">
            <v>7500</v>
          </cell>
          <cell r="W28">
            <v>7500</v>
          </cell>
          <cell r="X28">
            <v>7500</v>
          </cell>
          <cell r="Y28">
            <v>7500</v>
          </cell>
          <cell r="Z28">
            <v>7500</v>
          </cell>
          <cell r="AA28">
            <v>7500</v>
          </cell>
          <cell r="AB28">
            <v>7500</v>
          </cell>
        </row>
        <row r="29">
          <cell r="A29" t="str">
            <v>4</v>
          </cell>
          <cell r="B29" t="str">
            <v>S W D  IV</v>
          </cell>
          <cell r="C29">
            <v>8800</v>
          </cell>
          <cell r="D29">
            <v>7500</v>
          </cell>
          <cell r="E29">
            <v>7500</v>
          </cell>
          <cell r="F29">
            <v>7500</v>
          </cell>
          <cell r="G29">
            <v>7500</v>
          </cell>
          <cell r="H29">
            <v>7500</v>
          </cell>
          <cell r="I29">
            <v>7500</v>
          </cell>
          <cell r="J29">
            <v>7500</v>
          </cell>
          <cell r="K29">
            <v>7500</v>
          </cell>
          <cell r="L29">
            <v>7500</v>
          </cell>
          <cell r="M29">
            <v>7500</v>
          </cell>
          <cell r="N29">
            <v>7500</v>
          </cell>
          <cell r="O29">
            <v>7500</v>
          </cell>
          <cell r="P29">
            <v>7500</v>
          </cell>
          <cell r="Q29">
            <v>7500</v>
          </cell>
          <cell r="R29" t="str">
            <v>TO/TMC</v>
          </cell>
          <cell r="S29">
            <v>7500</v>
          </cell>
          <cell r="T29">
            <v>7500</v>
          </cell>
          <cell r="U29">
            <v>7500</v>
          </cell>
          <cell r="V29">
            <v>7500</v>
          </cell>
          <cell r="W29">
            <v>7500</v>
          </cell>
          <cell r="X29">
            <v>7500</v>
          </cell>
          <cell r="Y29">
            <v>7500</v>
          </cell>
          <cell r="Z29">
            <v>7500</v>
          </cell>
          <cell r="AA29">
            <v>7500</v>
          </cell>
          <cell r="AB29">
            <v>7500</v>
          </cell>
        </row>
        <row r="30">
          <cell r="A30" t="str">
            <v>5</v>
          </cell>
          <cell r="B30" t="str">
            <v>SULZER I</v>
          </cell>
          <cell r="C30">
            <v>7600</v>
          </cell>
          <cell r="D30">
            <v>0</v>
          </cell>
          <cell r="E30">
            <v>5000</v>
          </cell>
          <cell r="F30">
            <v>5000</v>
          </cell>
          <cell r="G30" t="str">
            <v>RUSAK COUNTER WEIGHT 15/3/01 (REHAB TMC)</v>
          </cell>
          <cell r="P30">
            <v>6500</v>
          </cell>
          <cell r="Q30">
            <v>6500</v>
          </cell>
          <cell r="R30">
            <v>6500</v>
          </cell>
          <cell r="S30">
            <v>6500</v>
          </cell>
          <cell r="T30">
            <v>6500</v>
          </cell>
          <cell r="U30">
            <v>6500</v>
          </cell>
          <cell r="V30" t="str">
            <v>TO/TMC</v>
          </cell>
          <cell r="W30">
            <v>6500</v>
          </cell>
          <cell r="X30">
            <v>6500</v>
          </cell>
          <cell r="Y30">
            <v>6500</v>
          </cell>
          <cell r="Z30">
            <v>6500</v>
          </cell>
          <cell r="AA30">
            <v>6500</v>
          </cell>
          <cell r="AB30">
            <v>6500</v>
          </cell>
        </row>
        <row r="31">
          <cell r="A31" t="str">
            <v>6</v>
          </cell>
          <cell r="B31" t="str">
            <v>SULZER II</v>
          </cell>
          <cell r="C31">
            <v>7600</v>
          </cell>
          <cell r="D31">
            <v>6500</v>
          </cell>
          <cell r="E31">
            <v>4500</v>
          </cell>
          <cell r="F31">
            <v>4500</v>
          </cell>
          <cell r="G31">
            <v>4500</v>
          </cell>
          <cell r="H31">
            <v>4500</v>
          </cell>
          <cell r="I31">
            <v>4500</v>
          </cell>
          <cell r="J31" t="str">
            <v>MO</v>
          </cell>
          <cell r="L31">
            <v>6500</v>
          </cell>
          <cell r="M31">
            <v>6500</v>
          </cell>
          <cell r="N31">
            <v>6500</v>
          </cell>
          <cell r="O31">
            <v>6500</v>
          </cell>
          <cell r="P31">
            <v>6500</v>
          </cell>
          <cell r="Q31">
            <v>6500</v>
          </cell>
          <cell r="R31">
            <v>6500</v>
          </cell>
          <cell r="S31">
            <v>6500</v>
          </cell>
          <cell r="T31">
            <v>6500</v>
          </cell>
          <cell r="U31" t="str">
            <v>TO/TMC</v>
          </cell>
          <cell r="V31">
            <v>6500</v>
          </cell>
          <cell r="W31">
            <v>6500</v>
          </cell>
          <cell r="X31">
            <v>6500</v>
          </cell>
          <cell r="Y31">
            <v>6500</v>
          </cell>
          <cell r="Z31">
            <v>6500</v>
          </cell>
          <cell r="AA31">
            <v>6500</v>
          </cell>
          <cell r="AB31">
            <v>6500</v>
          </cell>
        </row>
        <row r="32">
          <cell r="A32">
            <v>1</v>
          </cell>
          <cell r="B32" t="str">
            <v>PLTD APUNG</v>
          </cell>
          <cell r="C32">
            <v>10000</v>
          </cell>
          <cell r="D32">
            <v>8500</v>
          </cell>
          <cell r="E32" t="str">
            <v>RUSAK/GRINDING 24/8/00</v>
          </cell>
          <cell r="I32">
            <v>8500</v>
          </cell>
          <cell r="J32">
            <v>8500</v>
          </cell>
          <cell r="K32">
            <v>8500</v>
          </cell>
          <cell r="L32">
            <v>8500</v>
          </cell>
          <cell r="M32">
            <v>8500</v>
          </cell>
          <cell r="N32">
            <v>8500</v>
          </cell>
          <cell r="O32">
            <v>8500</v>
          </cell>
          <cell r="P32">
            <v>8500</v>
          </cell>
          <cell r="Q32">
            <v>8000</v>
          </cell>
          <cell r="R32">
            <v>8000</v>
          </cell>
          <cell r="S32">
            <v>8000</v>
          </cell>
          <cell r="T32">
            <v>8000</v>
          </cell>
          <cell r="U32">
            <v>8000</v>
          </cell>
          <cell r="V32">
            <v>8000</v>
          </cell>
          <cell r="W32">
            <v>8000</v>
          </cell>
          <cell r="X32">
            <v>8000</v>
          </cell>
          <cell r="Y32">
            <v>8000</v>
          </cell>
          <cell r="Z32">
            <v>8000</v>
          </cell>
          <cell r="AA32">
            <v>8000</v>
          </cell>
          <cell r="AB32">
            <v>8000</v>
          </cell>
        </row>
        <row r="33">
          <cell r="B33" t="str">
            <v>TOTAL SEI RAYA</v>
          </cell>
          <cell r="C33">
            <v>60400</v>
          </cell>
          <cell r="D33">
            <v>45000</v>
          </cell>
          <cell r="E33">
            <v>38500</v>
          </cell>
          <cell r="F33">
            <v>31500</v>
          </cell>
          <cell r="G33">
            <v>27000</v>
          </cell>
          <cell r="H33">
            <v>27000</v>
          </cell>
          <cell r="I33">
            <v>35500</v>
          </cell>
          <cell r="J33">
            <v>38500</v>
          </cell>
          <cell r="K33">
            <v>31000</v>
          </cell>
          <cell r="L33">
            <v>45000</v>
          </cell>
          <cell r="M33">
            <v>45000</v>
          </cell>
          <cell r="N33">
            <v>45000</v>
          </cell>
          <cell r="O33">
            <v>45000</v>
          </cell>
          <cell r="P33">
            <v>51500</v>
          </cell>
          <cell r="Q33">
            <v>51000</v>
          </cell>
          <cell r="R33">
            <v>43500</v>
          </cell>
          <cell r="S33">
            <v>43500</v>
          </cell>
          <cell r="T33">
            <v>43500</v>
          </cell>
          <cell r="U33">
            <v>44500</v>
          </cell>
          <cell r="V33">
            <v>44500</v>
          </cell>
          <cell r="W33">
            <v>43500</v>
          </cell>
          <cell r="X33">
            <v>51000</v>
          </cell>
          <cell r="Y33">
            <v>51000</v>
          </cell>
          <cell r="Z33">
            <v>51000</v>
          </cell>
          <cell r="AA33">
            <v>51000</v>
          </cell>
          <cell r="AB33">
            <v>51000</v>
          </cell>
        </row>
        <row r="35">
          <cell r="B35" t="str">
            <v>TOTAL SEKTOR</v>
          </cell>
          <cell r="C35">
            <v>147900</v>
          </cell>
          <cell r="D35">
            <v>107500</v>
          </cell>
          <cell r="E35">
            <v>88200</v>
          </cell>
          <cell r="F35">
            <v>81200</v>
          </cell>
          <cell r="G35">
            <v>76700</v>
          </cell>
          <cell r="H35">
            <v>75100</v>
          </cell>
          <cell r="I35">
            <v>84300</v>
          </cell>
          <cell r="J35">
            <v>87600</v>
          </cell>
          <cell r="K35">
            <v>77600</v>
          </cell>
          <cell r="L35">
            <v>91600</v>
          </cell>
          <cell r="M35">
            <v>94600</v>
          </cell>
          <cell r="N35">
            <v>94500</v>
          </cell>
          <cell r="O35">
            <v>107500</v>
          </cell>
          <cell r="P35">
            <v>114000</v>
          </cell>
          <cell r="Q35">
            <v>85500</v>
          </cell>
          <cell r="R35">
            <v>109000</v>
          </cell>
          <cell r="S35">
            <v>110000</v>
          </cell>
          <cell r="T35">
            <v>115000</v>
          </cell>
          <cell r="U35">
            <v>119000</v>
          </cell>
          <cell r="V35">
            <v>119000</v>
          </cell>
          <cell r="W35">
            <v>112500</v>
          </cell>
          <cell r="X35">
            <v>120500</v>
          </cell>
          <cell r="Y35">
            <v>140500</v>
          </cell>
          <cell r="Z35">
            <v>140500</v>
          </cell>
          <cell r="AA35">
            <v>135000</v>
          </cell>
          <cell r="AB35">
            <v>115500</v>
          </cell>
        </row>
        <row r="36">
          <cell r="B36" t="str">
            <v>PRAKIRAAN BEBAN PUNCAK SIANG</v>
          </cell>
          <cell r="E36">
            <v>64000</v>
          </cell>
          <cell r="F36">
            <v>64128</v>
          </cell>
          <cell r="G36">
            <v>64256.256000000001</v>
          </cell>
          <cell r="H36">
            <v>64384.768512000002</v>
          </cell>
          <cell r="I36">
            <v>64513.538049024006</v>
          </cell>
          <cell r="J36">
            <v>64642.565125122055</v>
          </cell>
          <cell r="K36">
            <v>64771.850255372301</v>
          </cell>
          <cell r="L36">
            <v>64901.393955883046</v>
          </cell>
          <cell r="M36">
            <v>65031.196743794811</v>
          </cell>
          <cell r="N36">
            <v>65161.259137282403</v>
          </cell>
          <cell r="O36">
            <v>65291.581655556969</v>
          </cell>
          <cell r="P36">
            <v>65422.164818868085</v>
          </cell>
          <cell r="Q36">
            <v>65553.009148505822</v>
          </cell>
          <cell r="R36">
            <v>65684.115166802832</v>
          </cell>
          <cell r="S36">
            <v>65815.483397136442</v>
          </cell>
          <cell r="T36">
            <v>65947.114363930712</v>
          </cell>
          <cell r="U36">
            <v>66079.008592658574</v>
          </cell>
          <cell r="V36">
            <v>66211.166609843887</v>
          </cell>
          <cell r="W36">
            <v>66343.588943063573</v>
          </cell>
          <cell r="X36">
            <v>66476.276120949697</v>
          </cell>
          <cell r="Y36">
            <v>66609.228673191596</v>
          </cell>
          <cell r="Z36">
            <v>66742.447130537985</v>
          </cell>
          <cell r="AA36">
            <v>66875.932024799054</v>
          </cell>
          <cell r="AB36">
            <v>67009.683888848653</v>
          </cell>
        </row>
        <row r="37">
          <cell r="B37" t="str">
            <v>PRAKIRAAN BEBAN PUNCAK MALAM</v>
          </cell>
          <cell r="E37">
            <v>84000</v>
          </cell>
          <cell r="F37">
            <v>84168</v>
          </cell>
          <cell r="G37">
            <v>84336.335999999996</v>
          </cell>
          <cell r="H37">
            <v>85000</v>
          </cell>
          <cell r="I37">
            <v>85170</v>
          </cell>
          <cell r="J37">
            <v>85340.34</v>
          </cell>
          <cell r="K37">
            <v>85511.020680000001</v>
          </cell>
          <cell r="L37">
            <v>85682.042721360005</v>
          </cell>
          <cell r="M37">
            <v>85853.406806802726</v>
          </cell>
          <cell r="N37">
            <v>87000</v>
          </cell>
          <cell r="O37">
            <v>89000</v>
          </cell>
          <cell r="P37">
            <v>94000</v>
          </cell>
          <cell r="Q37">
            <v>94188</v>
          </cell>
          <cell r="R37">
            <v>94376.376000000004</v>
          </cell>
          <cell r="S37">
            <v>94565.128752000004</v>
          </cell>
          <cell r="T37">
            <v>94754.259009504007</v>
          </cell>
          <cell r="U37">
            <v>94943.767527523014</v>
          </cell>
          <cell r="V37">
            <v>95133.655062578066</v>
          </cell>
          <cell r="W37">
            <v>95323.922372703222</v>
          </cell>
          <cell r="X37">
            <v>95514.570217448636</v>
          </cell>
          <cell r="Y37">
            <v>95705.599357883533</v>
          </cell>
          <cell r="Z37">
            <v>95897.0105565993</v>
          </cell>
          <cell r="AA37">
            <v>96088.804577712493</v>
          </cell>
          <cell r="AB37">
            <v>96280.982186867914</v>
          </cell>
        </row>
        <row r="38">
          <cell r="B38" t="str">
            <v>PEMELIHARAAN (PREVENTIF)</v>
          </cell>
          <cell r="E38">
            <v>7500</v>
          </cell>
          <cell r="F38">
            <v>7500</v>
          </cell>
          <cell r="G38">
            <v>7500</v>
          </cell>
          <cell r="H38">
            <v>7500</v>
          </cell>
          <cell r="I38">
            <v>7500</v>
          </cell>
          <cell r="J38">
            <v>7500</v>
          </cell>
          <cell r="K38">
            <v>7500</v>
          </cell>
          <cell r="L38">
            <v>7500</v>
          </cell>
          <cell r="M38">
            <v>7500</v>
          </cell>
          <cell r="N38">
            <v>7500</v>
          </cell>
          <cell r="O38">
            <v>7500</v>
          </cell>
          <cell r="P38">
            <v>7500</v>
          </cell>
          <cell r="Q38">
            <v>7500</v>
          </cell>
          <cell r="R38">
            <v>7500</v>
          </cell>
          <cell r="S38">
            <v>7500</v>
          </cell>
          <cell r="T38">
            <v>7500</v>
          </cell>
          <cell r="U38">
            <v>7500</v>
          </cell>
          <cell r="V38">
            <v>7500</v>
          </cell>
          <cell r="W38">
            <v>7500</v>
          </cell>
          <cell r="X38">
            <v>7500</v>
          </cell>
          <cell r="Y38">
            <v>7500</v>
          </cell>
          <cell r="Z38">
            <v>7500</v>
          </cell>
          <cell r="AA38">
            <v>7500</v>
          </cell>
          <cell r="AB38">
            <v>7500</v>
          </cell>
        </row>
        <row r="39">
          <cell r="B39" t="str">
            <v>GANGGUAN UNIT TERBESAR</v>
          </cell>
          <cell r="E39">
            <v>28000</v>
          </cell>
          <cell r="F39">
            <v>28000</v>
          </cell>
          <cell r="G39">
            <v>28000</v>
          </cell>
          <cell r="H39">
            <v>28000</v>
          </cell>
          <cell r="I39">
            <v>28000</v>
          </cell>
          <cell r="J39">
            <v>28000</v>
          </cell>
          <cell r="K39">
            <v>28000</v>
          </cell>
          <cell r="L39">
            <v>28000</v>
          </cell>
          <cell r="M39">
            <v>28000</v>
          </cell>
          <cell r="N39">
            <v>28000</v>
          </cell>
          <cell r="O39">
            <v>28000</v>
          </cell>
          <cell r="P39">
            <v>28000</v>
          </cell>
          <cell r="Q39">
            <v>7500</v>
          </cell>
          <cell r="R39">
            <v>28000</v>
          </cell>
          <cell r="S39">
            <v>28000</v>
          </cell>
          <cell r="T39">
            <v>28000</v>
          </cell>
          <cell r="U39">
            <v>28000</v>
          </cell>
          <cell r="V39">
            <v>28000</v>
          </cell>
          <cell r="W39">
            <v>28000</v>
          </cell>
          <cell r="X39">
            <v>28000</v>
          </cell>
          <cell r="Y39">
            <v>28000</v>
          </cell>
          <cell r="Z39">
            <v>18000</v>
          </cell>
          <cell r="AA39">
            <v>30000</v>
          </cell>
          <cell r="AB39">
            <v>30000</v>
          </cell>
        </row>
        <row r="40">
          <cell r="A40" t="str">
            <v/>
          </cell>
          <cell r="B40" t="str">
            <v>CADANGAN DAYA (PASTI) MALAM</v>
          </cell>
          <cell r="E40">
            <v>4200</v>
          </cell>
          <cell r="F40">
            <v>-2968</v>
          </cell>
          <cell r="G40">
            <v>-7636.3359999999957</v>
          </cell>
          <cell r="H40">
            <v>-9900</v>
          </cell>
          <cell r="I40">
            <v>-870</v>
          </cell>
          <cell r="J40">
            <v>2259.6600000000035</v>
          </cell>
          <cell r="K40">
            <v>-7911.0206800000014</v>
          </cell>
          <cell r="L40">
            <v>5917.9572786399949</v>
          </cell>
          <cell r="M40">
            <v>8746.5931931972736</v>
          </cell>
          <cell r="N40">
            <v>7500</v>
          </cell>
          <cell r="O40">
            <v>18500</v>
          </cell>
          <cell r="P40">
            <v>20000</v>
          </cell>
          <cell r="Q40">
            <v>-8688</v>
          </cell>
          <cell r="R40">
            <v>14623.623999999996</v>
          </cell>
          <cell r="S40">
            <v>15434.871247999996</v>
          </cell>
          <cell r="T40">
            <v>20245.740990495993</v>
          </cell>
          <cell r="U40">
            <v>24056.232472476986</v>
          </cell>
          <cell r="V40">
            <v>23866.344937421934</v>
          </cell>
          <cell r="W40">
            <v>17176.077627296778</v>
          </cell>
          <cell r="X40">
            <v>24985.429782551364</v>
          </cell>
          <cell r="Y40">
            <v>44794.400642116467</v>
          </cell>
          <cell r="Z40">
            <v>44602.9894434007</v>
          </cell>
          <cell r="AA40">
            <v>38911.195422287507</v>
          </cell>
          <cell r="AB40">
            <v>19219.017813132086</v>
          </cell>
        </row>
        <row r="41">
          <cell r="A41" t="str">
            <v/>
          </cell>
          <cell r="B41" t="str">
            <v>CADANGAN DAYA (PLUS/MINUS) SIANG</v>
          </cell>
          <cell r="E41">
            <v>-3800</v>
          </cell>
          <cell r="F41">
            <v>-10928</v>
          </cell>
          <cell r="G41">
            <v>-15556.256000000001</v>
          </cell>
          <cell r="H41">
            <v>-17284.768512000002</v>
          </cell>
          <cell r="I41">
            <v>-8213.5380490240059</v>
          </cell>
          <cell r="J41">
            <v>-5042.5651251220552</v>
          </cell>
          <cell r="K41">
            <v>-15171.850255372301</v>
          </cell>
          <cell r="L41">
            <v>-1301.3939558830461</v>
          </cell>
          <cell r="M41">
            <v>1568.8032562051885</v>
          </cell>
          <cell r="N41">
            <v>1338.7408627175973</v>
          </cell>
          <cell r="O41">
            <v>14208.418344443031</v>
          </cell>
          <cell r="P41">
            <v>20577.835181131915</v>
          </cell>
          <cell r="Q41">
            <v>12446.990851494178</v>
          </cell>
          <cell r="R41">
            <v>15315.884833197168</v>
          </cell>
          <cell r="S41">
            <v>16184.516602863558</v>
          </cell>
          <cell r="T41">
            <v>21052.885636069288</v>
          </cell>
          <cell r="U41">
            <v>24920.991407341426</v>
          </cell>
          <cell r="V41">
            <v>24788.833390156113</v>
          </cell>
          <cell r="W41">
            <v>18156.411056936427</v>
          </cell>
          <cell r="X41">
            <v>26023.723879050303</v>
          </cell>
          <cell r="Y41">
            <v>45890.771326808404</v>
          </cell>
          <cell r="Z41">
            <v>55757.552869462015</v>
          </cell>
          <cell r="AA41">
            <v>38124.067975200946</v>
          </cell>
          <cell r="AB41">
            <v>18490.316111151347</v>
          </cell>
        </row>
        <row r="42">
          <cell r="A42" t="str">
            <v/>
          </cell>
          <cell r="B42" t="str">
            <v>CADANGAN DAYA (PLUS/MINUS) MALAM</v>
          </cell>
          <cell r="E42">
            <v>-23800</v>
          </cell>
          <cell r="F42">
            <v>-30968</v>
          </cell>
          <cell r="G42">
            <v>-35636.335999999996</v>
          </cell>
          <cell r="H42">
            <v>-37900</v>
          </cell>
          <cell r="I42">
            <v>-28870</v>
          </cell>
          <cell r="J42">
            <v>-25740.339999999997</v>
          </cell>
          <cell r="K42">
            <v>-35911.020680000001</v>
          </cell>
          <cell r="L42">
            <v>-22082.042721360005</v>
          </cell>
          <cell r="M42">
            <v>-19253.406806802726</v>
          </cell>
          <cell r="N42">
            <v>-20500</v>
          </cell>
          <cell r="O42">
            <v>-9500</v>
          </cell>
          <cell r="P42">
            <v>-8000</v>
          </cell>
          <cell r="Q42">
            <v>-16188</v>
          </cell>
          <cell r="R42">
            <v>-13376.376000000004</v>
          </cell>
          <cell r="S42">
            <v>-12565.128752000004</v>
          </cell>
          <cell r="T42">
            <v>-7754.2590095040068</v>
          </cell>
          <cell r="U42">
            <v>-3943.767527523014</v>
          </cell>
          <cell r="V42">
            <v>-4133.6550625780656</v>
          </cell>
          <cell r="W42">
            <v>-10823.922372703222</v>
          </cell>
          <cell r="X42">
            <v>-3014.570217448636</v>
          </cell>
          <cell r="Y42">
            <v>16794.400642116467</v>
          </cell>
          <cell r="Z42">
            <v>26602.9894434007</v>
          </cell>
          <cell r="AA42">
            <v>8911.1954222875065</v>
          </cell>
          <cell r="AB42">
            <v>-10780.982186867914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 Hasil Evaluasi"/>
      <sheetName val="UMUM"/>
      <sheetName val="REKAP"/>
      <sheetName val="PENGALAM PERUS"/>
      <sheetName val="ADMINISTRASI"/>
      <sheetName val="PENGALAMAN TA(A3)"/>
      <sheetName val="PENGALAMAN TA(A4)"/>
      <sheetName val="Beltra  (7)"/>
      <sheetName val="ARchimedia"/>
      <sheetName val="Multi struktur"/>
      <sheetName val="Ariman"/>
      <sheetName val="Latimojong"/>
      <sheetName val="Cipta Bina Tirta"/>
      <sheetName val="Kharisma Cipta Utama"/>
      <sheetName val="Sheet1"/>
      <sheetName val="Sheet2"/>
    </sheetNames>
    <sheetDataSet>
      <sheetData sheetId="0" refreshError="1"/>
      <sheetData sheetId="1" refreshError="1"/>
      <sheetData sheetId="2" refreshError="1">
        <row r="27">
          <cell r="H27" t="str">
            <v>Ir. AHMAD HUSIN</v>
          </cell>
        </row>
        <row r="29">
          <cell r="H29" t="str">
            <v>Ir. ALIRMAN</v>
          </cell>
        </row>
        <row r="31">
          <cell r="H31" t="str">
            <v>M. BUHARI, SST</v>
          </cell>
        </row>
        <row r="33">
          <cell r="H33" t="str">
            <v>A. RONI, SH, MM</v>
          </cell>
        </row>
        <row r="35">
          <cell r="H35" t="str">
            <v>HURMAIN</v>
          </cell>
        </row>
      </sheetData>
      <sheetData sheetId="3"/>
      <sheetData sheetId="4" refreshError="1"/>
      <sheetData sheetId="5"/>
      <sheetData sheetId="6" refreshError="1"/>
      <sheetData sheetId="7" refreshError="1">
        <row r="6">
          <cell r="D6" t="str">
            <v>: PERENCANAAN GOR KABUPATEN MUARO JAMBI</v>
          </cell>
        </row>
        <row r="7">
          <cell r="D7" t="str">
            <v>: MASTER PLAN STADION OLAH RAGA KABUPATEN MUARO JAMBI</v>
          </cell>
        </row>
        <row r="49">
          <cell r="C49" t="str">
            <v>PANITIA PENGADAAN JASA KONSTRUKSI DAN JASA KONSULTANSI BIDANG CIPTA KARYA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-Asman"/>
      <sheetName val="Not-MAPD"/>
      <sheetName val="BQ"/>
      <sheetName val="Bahan"/>
      <sheetName val="Analis"/>
      <sheetName val="RAB"/>
      <sheetName val="PA"/>
      <sheetName val="NEGO"/>
      <sheetName val="HPS2"/>
      <sheetName val="SPK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NS-C1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AN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kRp"/>
      <sheetName val="PkVal"/>
      <sheetName val="PkJtRp"/>
      <sheetName val="PkJtVal"/>
      <sheetName val="ByDkpRp"/>
      <sheetName val="ByDkpVal"/>
      <sheetName val="ByDkpJtRp"/>
      <sheetName val="ByDkpJtVal"/>
      <sheetName val="ByPinjRp"/>
      <sheetName val="ByPinjVal"/>
      <sheetName val="Asumsi"/>
      <sheetName val="NERACA DAYA"/>
      <sheetName val="M"/>
      <sheetName val="C"/>
      <sheetName val="TRNS-C1"/>
      <sheetName val="DJBB PNYL"/>
      <sheetName val="Chart gang BOGOR"/>
      <sheetName val="MESIN_KIT"/>
      <sheetName val="B.P-C.P 2006"/>
      <sheetName val="Kode"/>
      <sheetName val="HARGA SATUAN"/>
      <sheetName val="DJBB_PNYL"/>
      <sheetName val="Chart_gang_BOGOR"/>
      <sheetName val="NERACA_DAYA"/>
      <sheetName val="B_P-C_P_2006"/>
      <sheetName val="Data"/>
      <sheetName val="Resource_Plan_(2)"/>
      <sheetName val="Kontrol"/>
      <sheetName val="Cover"/>
      <sheetName val="LabaRugi"/>
      <sheetName val="GABLUARJAWA1_(2)"/>
      <sheetName val="Kam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b-TRANS"/>
      <sheetName val="resum-ai"/>
      <sheetName val="DIVLUR"/>
      <sheetName val="STET"/>
      <sheetName val="SJKT"/>
      <sheetName val="SPGD"/>
      <sheetName val="SBGR"/>
      <sheetName val="SPRN"/>
      <sheetName val="SCRB"/>
      <sheetName val="SKTG"/>
      <sheetName val="STTG"/>
      <sheetName val="SMDN"/>
      <sheetName val="SBYA"/>
      <sheetName val="SMLG"/>
      <sheetName val="SDPS"/>
      <sheetName val="FORM-A"/>
      <sheetName val="form-b"/>
      <sheetName val="HARGA SATUAN"/>
      <sheetName val="JUSTIFIKASI"/>
      <sheetName val="TRNS-C1"/>
      <sheetName val="PkRp"/>
      <sheetName val="C"/>
      <sheetName val="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>
        <row r="2">
          <cell r="B2">
            <v>423000</v>
          </cell>
        </row>
        <row r="8">
          <cell r="B8">
            <v>315000</v>
          </cell>
        </row>
        <row r="13">
          <cell r="B13">
            <v>43000</v>
          </cell>
        </row>
        <row r="14">
          <cell r="B14">
            <v>66000.000000000015</v>
          </cell>
        </row>
        <row r="15">
          <cell r="B15">
            <v>113000</v>
          </cell>
        </row>
        <row r="16">
          <cell r="B16">
            <v>66000.000000000015</v>
          </cell>
        </row>
        <row r="17">
          <cell r="B17">
            <v>212000</v>
          </cell>
        </row>
        <row r="18">
          <cell r="B18">
            <v>36000</v>
          </cell>
        </row>
        <row r="20">
          <cell r="B20">
            <v>100000</v>
          </cell>
        </row>
        <row r="21">
          <cell r="B21">
            <v>45000</v>
          </cell>
        </row>
        <row r="23">
          <cell r="B23">
            <v>55000</v>
          </cell>
        </row>
        <row r="25">
          <cell r="B25">
            <v>61000</v>
          </cell>
        </row>
        <row r="28">
          <cell r="B28">
            <v>77000</v>
          </cell>
        </row>
        <row r="33">
          <cell r="B33">
            <v>36000</v>
          </cell>
        </row>
        <row r="39">
          <cell r="B39">
            <v>14000</v>
          </cell>
        </row>
        <row r="40">
          <cell r="B40">
            <v>35000</v>
          </cell>
        </row>
        <row r="42">
          <cell r="B42">
            <v>300000</v>
          </cell>
        </row>
        <row r="43">
          <cell r="B43">
            <v>25000</v>
          </cell>
        </row>
        <row r="44">
          <cell r="B44">
            <v>9000</v>
          </cell>
        </row>
      </sheetData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c"/>
      <sheetName val="least"/>
      <sheetName val="urgen"/>
      <sheetName val="Sheet1"/>
      <sheetName val="ca"/>
      <sheetName val="CM BAG TIMUR"/>
      <sheetName val="HARGA SATUAN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op Surat"/>
      <sheetName val="Daftar"/>
      <sheetName val="MST"/>
      <sheetName val="01-04 (2)"/>
      <sheetName val="01-04 (3)"/>
      <sheetName val="01-04 (4)"/>
      <sheetName val="01-04"/>
      <sheetName val="PTG"/>
      <sheetName val="THR"/>
      <sheetName val="THR2004"/>
      <sheetName val="Sheet2"/>
      <sheetName val="Sheet1"/>
      <sheetName val="Sheet4"/>
      <sheetName val="Dft-THR"/>
      <sheetName val="mnl"/>
      <sheetName val="#REF"/>
      <sheetName val="PkRp"/>
      <sheetName val="TIER 1 &amp; 2 KUBIKEL"/>
    </sheetNames>
    <sheetDataSet>
      <sheetData sheetId="0" refreshError="1"/>
      <sheetData sheetId="1" refreshError="1"/>
      <sheetData sheetId="2" refreshError="1">
        <row r="6">
          <cell r="B6">
            <v>1</v>
          </cell>
          <cell r="C6">
            <v>1</v>
          </cell>
          <cell r="D6" t="str">
            <v>NURDIN</v>
          </cell>
          <cell r="E6" t="str">
            <v>0468020PMD</v>
          </cell>
          <cell r="F6">
            <v>492</v>
          </cell>
          <cell r="G6">
            <v>50000</v>
          </cell>
          <cell r="I6">
            <v>385000</v>
          </cell>
          <cell r="J6">
            <v>84000</v>
          </cell>
          <cell r="K6">
            <v>3000</v>
          </cell>
          <cell r="L6">
            <v>2000</v>
          </cell>
          <cell r="M6">
            <v>9000</v>
          </cell>
          <cell r="N6">
            <v>30000</v>
          </cell>
          <cell r="O6">
            <v>35000</v>
          </cell>
          <cell r="P6">
            <v>65000</v>
          </cell>
          <cell r="Q6">
            <v>65000</v>
          </cell>
          <cell r="R6">
            <v>30000</v>
          </cell>
          <cell r="S6">
            <v>0.02</v>
          </cell>
        </row>
        <row r="7">
          <cell r="B7">
            <v>2</v>
          </cell>
          <cell r="C7">
            <v>2</v>
          </cell>
          <cell r="D7" t="str">
            <v>JUJUN J</v>
          </cell>
          <cell r="E7" t="str">
            <v>0470019PMD</v>
          </cell>
          <cell r="F7">
            <v>493</v>
          </cell>
          <cell r="G7">
            <v>50000</v>
          </cell>
          <cell r="I7">
            <v>385000</v>
          </cell>
          <cell r="J7">
            <v>92000</v>
          </cell>
          <cell r="K7">
            <v>3000</v>
          </cell>
          <cell r="L7">
            <v>2000</v>
          </cell>
          <cell r="M7">
            <v>9000</v>
          </cell>
          <cell r="N7">
            <v>30000</v>
          </cell>
          <cell r="O7">
            <v>35000</v>
          </cell>
          <cell r="P7">
            <v>65000</v>
          </cell>
          <cell r="Q7">
            <v>65000</v>
          </cell>
          <cell r="R7">
            <v>30000</v>
          </cell>
          <cell r="S7">
            <v>0.02</v>
          </cell>
        </row>
        <row r="8">
          <cell r="B8">
            <v>3</v>
          </cell>
          <cell r="C8">
            <v>3</v>
          </cell>
          <cell r="D8" t="str">
            <v>ENDANG K</v>
          </cell>
          <cell r="E8" t="str">
            <v>0466018PMD</v>
          </cell>
          <cell r="F8">
            <v>494</v>
          </cell>
          <cell r="G8">
            <v>50000</v>
          </cell>
          <cell r="I8">
            <v>385000</v>
          </cell>
          <cell r="J8">
            <v>92000</v>
          </cell>
          <cell r="K8">
            <v>3000</v>
          </cell>
          <cell r="L8">
            <v>2000</v>
          </cell>
          <cell r="M8">
            <v>9000</v>
          </cell>
          <cell r="N8">
            <v>30000</v>
          </cell>
          <cell r="O8">
            <v>35000</v>
          </cell>
          <cell r="P8">
            <v>65000</v>
          </cell>
          <cell r="Q8">
            <v>65000</v>
          </cell>
          <cell r="R8">
            <v>30000</v>
          </cell>
          <cell r="S8">
            <v>0.02</v>
          </cell>
        </row>
        <row r="9">
          <cell r="B9">
            <v>4</v>
          </cell>
          <cell r="C9">
            <v>4</v>
          </cell>
          <cell r="D9" t="str">
            <v>SUCIPTO</v>
          </cell>
          <cell r="E9" t="str">
            <v>0465021PMD</v>
          </cell>
          <cell r="F9">
            <v>495</v>
          </cell>
          <cell r="G9">
            <v>50000</v>
          </cell>
          <cell r="I9">
            <v>385000</v>
          </cell>
          <cell r="J9">
            <v>92000</v>
          </cell>
          <cell r="K9">
            <v>3000</v>
          </cell>
          <cell r="L9">
            <v>2000</v>
          </cell>
          <cell r="M9">
            <v>9000</v>
          </cell>
          <cell r="N9">
            <v>30000</v>
          </cell>
          <cell r="O9">
            <v>35000</v>
          </cell>
          <cell r="P9">
            <v>65000</v>
          </cell>
          <cell r="Q9">
            <v>65000</v>
          </cell>
          <cell r="R9">
            <v>30000</v>
          </cell>
          <cell r="S9">
            <v>0.02</v>
          </cell>
        </row>
        <row r="10">
          <cell r="B10">
            <v>5</v>
          </cell>
          <cell r="C10">
            <v>5</v>
          </cell>
          <cell r="D10" t="str">
            <v>KUSYANA</v>
          </cell>
          <cell r="E10" t="str">
            <v>0472024PMD</v>
          </cell>
          <cell r="F10">
            <v>497</v>
          </cell>
          <cell r="G10">
            <v>50000</v>
          </cell>
          <cell r="I10">
            <v>385000</v>
          </cell>
          <cell r="J10">
            <v>84000</v>
          </cell>
          <cell r="K10">
            <v>3000</v>
          </cell>
          <cell r="L10">
            <v>2000</v>
          </cell>
          <cell r="M10">
            <v>9000</v>
          </cell>
          <cell r="N10">
            <v>30000</v>
          </cell>
          <cell r="O10">
            <v>35000</v>
          </cell>
          <cell r="P10">
            <v>65000</v>
          </cell>
          <cell r="Q10">
            <v>65000</v>
          </cell>
          <cell r="R10">
            <v>30000</v>
          </cell>
          <cell r="S10">
            <v>0.02</v>
          </cell>
        </row>
        <row r="11">
          <cell r="B11">
            <v>6</v>
          </cell>
          <cell r="C11">
            <v>6</v>
          </cell>
          <cell r="D11" t="str">
            <v>DEDE YK</v>
          </cell>
          <cell r="E11" t="str">
            <v>0471022PMD</v>
          </cell>
          <cell r="F11">
            <v>498</v>
          </cell>
          <cell r="G11">
            <v>50000</v>
          </cell>
          <cell r="I11">
            <v>385000</v>
          </cell>
          <cell r="J11">
            <v>84000</v>
          </cell>
          <cell r="K11">
            <v>3000</v>
          </cell>
          <cell r="L11">
            <v>2000</v>
          </cell>
          <cell r="M11">
            <v>9000</v>
          </cell>
          <cell r="N11">
            <v>30000</v>
          </cell>
          <cell r="O11">
            <v>35000</v>
          </cell>
          <cell r="P11">
            <v>65000</v>
          </cell>
          <cell r="Q11">
            <v>65000</v>
          </cell>
          <cell r="R11">
            <v>30000</v>
          </cell>
          <cell r="S11">
            <v>0.02</v>
          </cell>
        </row>
        <row r="12">
          <cell r="B12">
            <v>7</v>
          </cell>
          <cell r="C12">
            <v>7</v>
          </cell>
          <cell r="D12" t="str">
            <v>HAMIM A</v>
          </cell>
          <cell r="E12" t="str">
            <v>0466023PMD</v>
          </cell>
          <cell r="F12">
            <v>499</v>
          </cell>
          <cell r="G12">
            <v>50000</v>
          </cell>
          <cell r="I12">
            <v>385000</v>
          </cell>
          <cell r="J12">
            <v>92000</v>
          </cell>
          <cell r="K12">
            <v>3000</v>
          </cell>
          <cell r="L12">
            <v>2000</v>
          </cell>
          <cell r="M12">
            <v>9000</v>
          </cell>
          <cell r="N12">
            <v>30000</v>
          </cell>
          <cell r="O12">
            <v>35000</v>
          </cell>
          <cell r="P12">
            <v>65000</v>
          </cell>
          <cell r="Q12">
            <v>65000</v>
          </cell>
          <cell r="R12">
            <v>30000</v>
          </cell>
          <cell r="S12">
            <v>0.02</v>
          </cell>
        </row>
        <row r="13">
          <cell r="B13">
            <v>8</v>
          </cell>
          <cell r="C13">
            <v>8</v>
          </cell>
          <cell r="D13" t="str">
            <v>ABENG S</v>
          </cell>
          <cell r="E13" t="str">
            <v>0468011PMD</v>
          </cell>
          <cell r="F13">
            <v>502</v>
          </cell>
          <cell r="G13">
            <v>50000</v>
          </cell>
          <cell r="I13">
            <v>385000</v>
          </cell>
          <cell r="J13">
            <v>84000</v>
          </cell>
          <cell r="K13">
            <v>3000</v>
          </cell>
          <cell r="L13">
            <v>2000</v>
          </cell>
          <cell r="M13">
            <v>9000</v>
          </cell>
          <cell r="N13">
            <v>30000</v>
          </cell>
          <cell r="O13">
            <v>35000</v>
          </cell>
          <cell r="P13">
            <v>65000</v>
          </cell>
          <cell r="Q13">
            <v>65000</v>
          </cell>
          <cell r="R13">
            <v>30000</v>
          </cell>
          <cell r="S13">
            <v>0.02</v>
          </cell>
        </row>
        <row r="14">
          <cell r="B14">
            <v>9</v>
          </cell>
          <cell r="C14">
            <v>9</v>
          </cell>
          <cell r="D14" t="str">
            <v>TAUFIK S</v>
          </cell>
          <cell r="E14" t="str">
            <v>0465015PMD</v>
          </cell>
          <cell r="F14">
            <v>503</v>
          </cell>
          <cell r="G14">
            <v>50000</v>
          </cell>
          <cell r="I14">
            <v>385000</v>
          </cell>
          <cell r="J14">
            <v>92000</v>
          </cell>
          <cell r="K14">
            <v>3000</v>
          </cell>
          <cell r="L14">
            <v>2000</v>
          </cell>
          <cell r="M14">
            <v>9000</v>
          </cell>
          <cell r="N14">
            <v>30000</v>
          </cell>
          <cell r="O14">
            <v>35000</v>
          </cell>
          <cell r="P14">
            <v>65000</v>
          </cell>
          <cell r="Q14">
            <v>65000</v>
          </cell>
          <cell r="R14">
            <v>30000</v>
          </cell>
          <cell r="S14">
            <v>0.02</v>
          </cell>
        </row>
        <row r="15">
          <cell r="B15">
            <v>10</v>
          </cell>
          <cell r="C15">
            <v>10</v>
          </cell>
          <cell r="D15" t="str">
            <v>KADAR  S</v>
          </cell>
          <cell r="E15" t="str">
            <v>0465013PMD</v>
          </cell>
          <cell r="F15">
            <v>504</v>
          </cell>
          <cell r="G15">
            <v>50000</v>
          </cell>
          <cell r="I15">
            <v>385000</v>
          </cell>
          <cell r="J15">
            <v>92000</v>
          </cell>
          <cell r="K15">
            <v>3000</v>
          </cell>
          <cell r="L15">
            <v>2000</v>
          </cell>
          <cell r="M15">
            <v>9000</v>
          </cell>
          <cell r="N15">
            <v>30000</v>
          </cell>
          <cell r="O15">
            <v>35000</v>
          </cell>
          <cell r="P15">
            <v>65000</v>
          </cell>
          <cell r="Q15">
            <v>65000</v>
          </cell>
          <cell r="R15">
            <v>30000</v>
          </cell>
          <cell r="S15">
            <v>0.02</v>
          </cell>
        </row>
        <row r="16">
          <cell r="B16">
            <v>11</v>
          </cell>
          <cell r="C16">
            <v>11</v>
          </cell>
          <cell r="D16" t="str">
            <v>RM. SATARI</v>
          </cell>
          <cell r="E16" t="str">
            <v>0464014PMD</v>
          </cell>
          <cell r="F16">
            <v>500</v>
          </cell>
          <cell r="G16">
            <v>50000</v>
          </cell>
          <cell r="I16">
            <v>385000</v>
          </cell>
          <cell r="J16">
            <v>92000</v>
          </cell>
          <cell r="K16">
            <v>3000</v>
          </cell>
          <cell r="L16">
            <v>2000</v>
          </cell>
          <cell r="M16">
            <v>9000</v>
          </cell>
          <cell r="N16">
            <v>30000</v>
          </cell>
          <cell r="O16">
            <v>35000</v>
          </cell>
          <cell r="P16">
            <v>65000</v>
          </cell>
          <cell r="Q16">
            <v>65000</v>
          </cell>
          <cell r="R16">
            <v>30000</v>
          </cell>
          <cell r="S16">
            <v>0.02</v>
          </cell>
        </row>
        <row r="17">
          <cell r="B17">
            <v>12</v>
          </cell>
          <cell r="C17">
            <v>12</v>
          </cell>
          <cell r="D17" t="str">
            <v>UDIN  S</v>
          </cell>
          <cell r="E17" t="str">
            <v>0465016PMD</v>
          </cell>
          <cell r="F17">
            <v>501</v>
          </cell>
          <cell r="G17">
            <v>50000</v>
          </cell>
          <cell r="I17">
            <v>385000</v>
          </cell>
          <cell r="J17">
            <v>84000</v>
          </cell>
          <cell r="K17">
            <v>3000</v>
          </cell>
          <cell r="L17">
            <v>2000</v>
          </cell>
          <cell r="M17">
            <v>9000</v>
          </cell>
          <cell r="N17">
            <v>30000</v>
          </cell>
          <cell r="O17">
            <v>35000</v>
          </cell>
          <cell r="P17">
            <v>65000</v>
          </cell>
          <cell r="Q17">
            <v>65000</v>
          </cell>
          <cell r="R17">
            <v>30000</v>
          </cell>
          <cell r="S17">
            <v>0.02</v>
          </cell>
        </row>
        <row r="18">
          <cell r="B18">
            <v>13</v>
          </cell>
          <cell r="C18">
            <v>13</v>
          </cell>
          <cell r="D18" t="str">
            <v>FERDI  C</v>
          </cell>
          <cell r="E18" t="str">
            <v>0460012PMD</v>
          </cell>
          <cell r="F18">
            <v>505</v>
          </cell>
          <cell r="G18">
            <v>50000</v>
          </cell>
          <cell r="I18">
            <v>385000</v>
          </cell>
          <cell r="J18">
            <v>92000</v>
          </cell>
          <cell r="K18">
            <v>3000</v>
          </cell>
          <cell r="L18">
            <v>2000</v>
          </cell>
          <cell r="M18">
            <v>9000</v>
          </cell>
          <cell r="N18">
            <v>30000</v>
          </cell>
          <cell r="O18">
            <v>35000</v>
          </cell>
          <cell r="P18">
            <v>65000</v>
          </cell>
          <cell r="Q18">
            <v>65000</v>
          </cell>
          <cell r="R18">
            <v>30000</v>
          </cell>
          <cell r="S18">
            <v>0.02</v>
          </cell>
        </row>
        <row r="19">
          <cell r="B19">
            <v>14</v>
          </cell>
          <cell r="C19">
            <v>14</v>
          </cell>
          <cell r="D19" t="str">
            <v>DADI M</v>
          </cell>
          <cell r="E19" t="str">
            <v>0470025PMD</v>
          </cell>
          <cell r="F19">
            <v>507</v>
          </cell>
          <cell r="G19">
            <v>50000</v>
          </cell>
          <cell r="I19">
            <v>385000</v>
          </cell>
          <cell r="J19">
            <v>80000</v>
          </cell>
          <cell r="K19">
            <v>3000</v>
          </cell>
          <cell r="L19">
            <v>2000</v>
          </cell>
          <cell r="M19">
            <v>9000</v>
          </cell>
          <cell r="N19">
            <v>30000</v>
          </cell>
          <cell r="O19">
            <v>35000</v>
          </cell>
          <cell r="P19">
            <v>65000</v>
          </cell>
          <cell r="Q19">
            <v>65000</v>
          </cell>
          <cell r="R19">
            <v>30000</v>
          </cell>
          <cell r="S19">
            <v>0.02</v>
          </cell>
        </row>
        <row r="20">
          <cell r="B20">
            <v>15</v>
          </cell>
          <cell r="C20">
            <v>15</v>
          </cell>
          <cell r="D20" t="str">
            <v>RAHMAT S</v>
          </cell>
          <cell r="E20" t="str">
            <v>0468027PMD</v>
          </cell>
          <cell r="F20">
            <v>508</v>
          </cell>
          <cell r="G20">
            <v>50000</v>
          </cell>
          <cell r="I20">
            <v>385000</v>
          </cell>
          <cell r="J20">
            <v>80000</v>
          </cell>
          <cell r="K20">
            <v>3000</v>
          </cell>
          <cell r="L20">
            <v>2000</v>
          </cell>
          <cell r="M20">
            <v>9000</v>
          </cell>
          <cell r="N20">
            <v>30000</v>
          </cell>
          <cell r="O20">
            <v>35000</v>
          </cell>
          <cell r="P20">
            <v>65000</v>
          </cell>
          <cell r="Q20">
            <v>65000</v>
          </cell>
          <cell r="R20">
            <v>30000</v>
          </cell>
          <cell r="S20">
            <v>0.02</v>
          </cell>
        </row>
        <row r="21">
          <cell r="B21">
            <v>16</v>
          </cell>
          <cell r="C21">
            <v>16</v>
          </cell>
          <cell r="D21" t="str">
            <v>MARXES S</v>
          </cell>
          <cell r="E21" t="str">
            <v>0470026PMD</v>
          </cell>
          <cell r="F21">
            <v>509</v>
          </cell>
          <cell r="G21">
            <v>50000</v>
          </cell>
          <cell r="I21">
            <v>385000</v>
          </cell>
          <cell r="J21">
            <v>80000</v>
          </cell>
          <cell r="K21">
            <v>3000</v>
          </cell>
          <cell r="L21">
            <v>2000</v>
          </cell>
          <cell r="M21">
            <v>9000</v>
          </cell>
          <cell r="N21">
            <v>30000</v>
          </cell>
          <cell r="O21">
            <v>35000</v>
          </cell>
          <cell r="P21">
            <v>65000</v>
          </cell>
          <cell r="Q21">
            <v>65000</v>
          </cell>
          <cell r="R21">
            <v>30000</v>
          </cell>
          <cell r="S21">
            <v>0.02</v>
          </cell>
        </row>
        <row r="22">
          <cell r="B22">
            <v>17</v>
          </cell>
          <cell r="C22">
            <v>17</v>
          </cell>
          <cell r="D22" t="str">
            <v>UKI S</v>
          </cell>
          <cell r="E22" t="str">
            <v>0465028PMD</v>
          </cell>
          <cell r="F22">
            <v>510</v>
          </cell>
          <cell r="G22">
            <v>50000</v>
          </cell>
          <cell r="I22">
            <v>385000</v>
          </cell>
          <cell r="J22">
            <v>75000</v>
          </cell>
          <cell r="K22">
            <v>3000</v>
          </cell>
          <cell r="L22">
            <v>2000</v>
          </cell>
          <cell r="M22">
            <v>9000</v>
          </cell>
          <cell r="N22">
            <v>30000</v>
          </cell>
          <cell r="O22">
            <v>35000</v>
          </cell>
          <cell r="P22">
            <v>65000</v>
          </cell>
          <cell r="Q22">
            <v>65000</v>
          </cell>
          <cell r="R22">
            <v>30000</v>
          </cell>
          <cell r="S22">
            <v>0.02</v>
          </cell>
        </row>
        <row r="23">
          <cell r="B23">
            <v>18</v>
          </cell>
          <cell r="C23">
            <v>18</v>
          </cell>
          <cell r="D23" t="str">
            <v>MAMAN R</v>
          </cell>
          <cell r="E23" t="str">
            <v>0475030PMD</v>
          </cell>
          <cell r="F23">
            <v>511</v>
          </cell>
          <cell r="G23">
            <v>50000</v>
          </cell>
          <cell r="I23">
            <v>385000</v>
          </cell>
          <cell r="J23">
            <v>70000</v>
          </cell>
          <cell r="K23">
            <v>3000</v>
          </cell>
          <cell r="L23">
            <v>2000</v>
          </cell>
          <cell r="M23">
            <v>9000</v>
          </cell>
          <cell r="N23">
            <v>30000</v>
          </cell>
          <cell r="O23">
            <v>35000</v>
          </cell>
          <cell r="P23">
            <v>65000</v>
          </cell>
          <cell r="Q23">
            <v>65000</v>
          </cell>
          <cell r="R23">
            <v>30000</v>
          </cell>
          <cell r="S23">
            <v>0.02</v>
          </cell>
        </row>
        <row r="24">
          <cell r="B24">
            <v>19</v>
          </cell>
          <cell r="C24">
            <v>19</v>
          </cell>
          <cell r="D24" t="str">
            <v>JAJANG S</v>
          </cell>
          <cell r="E24" t="str">
            <v>0466035PMD</v>
          </cell>
          <cell r="F24">
            <v>551</v>
          </cell>
          <cell r="G24">
            <v>40000</v>
          </cell>
          <cell r="I24">
            <v>385000</v>
          </cell>
          <cell r="J24">
            <v>65000</v>
          </cell>
          <cell r="K24">
            <v>3000</v>
          </cell>
          <cell r="L24">
            <v>2000</v>
          </cell>
          <cell r="M24">
            <v>9000</v>
          </cell>
          <cell r="N24">
            <v>30000</v>
          </cell>
          <cell r="O24">
            <v>35000</v>
          </cell>
          <cell r="P24">
            <v>65000</v>
          </cell>
          <cell r="Q24">
            <v>65000</v>
          </cell>
          <cell r="R24">
            <v>30000</v>
          </cell>
          <cell r="S24">
            <v>0.02</v>
          </cell>
        </row>
        <row r="25">
          <cell r="B25">
            <v>20</v>
          </cell>
          <cell r="C25">
            <v>20</v>
          </cell>
          <cell r="D25" t="str">
            <v>DENI M</v>
          </cell>
          <cell r="E25" t="str">
            <v>0476038PMD</v>
          </cell>
          <cell r="F25">
            <v>555</v>
          </cell>
          <cell r="G25">
            <v>40000</v>
          </cell>
          <cell r="I25">
            <v>385000</v>
          </cell>
          <cell r="J25">
            <v>65000</v>
          </cell>
          <cell r="K25">
            <v>3000</v>
          </cell>
          <cell r="L25">
            <v>2000</v>
          </cell>
          <cell r="M25">
            <v>9000</v>
          </cell>
          <cell r="N25">
            <v>30000</v>
          </cell>
          <cell r="O25">
            <v>35000</v>
          </cell>
          <cell r="P25">
            <v>65000</v>
          </cell>
          <cell r="Q25">
            <v>65000</v>
          </cell>
          <cell r="R25">
            <v>30000</v>
          </cell>
          <cell r="S25">
            <v>0.02</v>
          </cell>
        </row>
        <row r="26">
          <cell r="B26">
            <v>21</v>
          </cell>
          <cell r="C26">
            <v>21</v>
          </cell>
          <cell r="D26" t="str">
            <v>YONO K</v>
          </cell>
          <cell r="E26" t="str">
            <v>0496029PMD</v>
          </cell>
          <cell r="F26">
            <v>524</v>
          </cell>
          <cell r="G26">
            <v>50000</v>
          </cell>
          <cell r="I26">
            <v>385000</v>
          </cell>
          <cell r="J26">
            <v>80000</v>
          </cell>
          <cell r="K26">
            <v>3000</v>
          </cell>
          <cell r="L26">
            <v>2000</v>
          </cell>
          <cell r="M26">
            <v>9000</v>
          </cell>
          <cell r="N26">
            <v>30000</v>
          </cell>
          <cell r="O26">
            <v>35000</v>
          </cell>
          <cell r="P26">
            <v>65000</v>
          </cell>
          <cell r="Q26">
            <v>65000</v>
          </cell>
          <cell r="R26">
            <v>30000</v>
          </cell>
          <cell r="S26">
            <v>0.02</v>
          </cell>
        </row>
        <row r="27">
          <cell r="B27">
            <v>22</v>
          </cell>
          <cell r="C27">
            <v>22</v>
          </cell>
          <cell r="D27" t="str">
            <v>IWAN R</v>
          </cell>
          <cell r="E27" t="str">
            <v>0468039PMD</v>
          </cell>
          <cell r="F27">
            <v>571</v>
          </cell>
          <cell r="G27">
            <v>40000</v>
          </cell>
          <cell r="I27">
            <v>385000</v>
          </cell>
          <cell r="J27">
            <v>65000</v>
          </cell>
          <cell r="K27">
            <v>3000</v>
          </cell>
          <cell r="L27">
            <v>2000</v>
          </cell>
          <cell r="M27">
            <v>9000</v>
          </cell>
          <cell r="N27">
            <v>30000</v>
          </cell>
          <cell r="O27">
            <v>35000</v>
          </cell>
          <cell r="P27">
            <v>65000</v>
          </cell>
          <cell r="Q27">
            <v>65000</v>
          </cell>
          <cell r="R27">
            <v>30000</v>
          </cell>
          <cell r="S27">
            <v>0.02</v>
          </cell>
        </row>
        <row r="28">
          <cell r="B28">
            <v>23</v>
          </cell>
          <cell r="C28">
            <v>23</v>
          </cell>
          <cell r="D28" t="str">
            <v>AM. SETIAJI</v>
          </cell>
          <cell r="E28" t="str">
            <v>0469057PMD</v>
          </cell>
          <cell r="G28">
            <v>0</v>
          </cell>
          <cell r="I28">
            <v>250250</v>
          </cell>
          <cell r="J28">
            <v>0</v>
          </cell>
          <cell r="K28">
            <v>3000</v>
          </cell>
          <cell r="L28">
            <v>2000</v>
          </cell>
          <cell r="M28">
            <v>9000</v>
          </cell>
          <cell r="N28">
            <v>30000</v>
          </cell>
          <cell r="O28">
            <v>35000</v>
          </cell>
          <cell r="P28">
            <v>65000</v>
          </cell>
          <cell r="Q28">
            <v>65000</v>
          </cell>
          <cell r="R28">
            <v>30000</v>
          </cell>
          <cell r="S28">
            <v>0.02</v>
          </cell>
        </row>
        <row r="29">
          <cell r="B29">
            <v>24</v>
          </cell>
          <cell r="C29">
            <v>24</v>
          </cell>
          <cell r="D29" t="str">
            <v>YAYA  Snr</v>
          </cell>
          <cell r="E29" t="str">
            <v>0461007CSV</v>
          </cell>
          <cell r="F29">
            <v>514</v>
          </cell>
          <cell r="G29">
            <v>50000</v>
          </cell>
          <cell r="I29">
            <v>385000</v>
          </cell>
          <cell r="J29">
            <v>77000</v>
          </cell>
          <cell r="K29">
            <v>3000</v>
          </cell>
          <cell r="L29">
            <v>2000</v>
          </cell>
          <cell r="M29">
            <v>9000</v>
          </cell>
          <cell r="N29">
            <v>30000</v>
          </cell>
          <cell r="O29">
            <v>35000</v>
          </cell>
          <cell r="P29">
            <v>65000</v>
          </cell>
          <cell r="Q29">
            <v>65000</v>
          </cell>
          <cell r="R29">
            <v>30000</v>
          </cell>
          <cell r="S29">
            <v>0.02</v>
          </cell>
        </row>
        <row r="30">
          <cell r="B30">
            <v>25</v>
          </cell>
          <cell r="C30">
            <v>25</v>
          </cell>
          <cell r="D30" t="str">
            <v>OMAN</v>
          </cell>
          <cell r="E30" t="str">
            <v>0452002CSV</v>
          </cell>
          <cell r="F30">
            <v>520</v>
          </cell>
          <cell r="G30">
            <v>50000</v>
          </cell>
          <cell r="I30">
            <v>385000</v>
          </cell>
          <cell r="J30">
            <v>77000</v>
          </cell>
          <cell r="K30">
            <v>3000</v>
          </cell>
          <cell r="L30">
            <v>2000</v>
          </cell>
          <cell r="M30">
            <v>9000</v>
          </cell>
          <cell r="N30">
            <v>30000</v>
          </cell>
          <cell r="O30">
            <v>35000</v>
          </cell>
          <cell r="P30">
            <v>65000</v>
          </cell>
          <cell r="Q30">
            <v>65000</v>
          </cell>
          <cell r="R30">
            <v>30000</v>
          </cell>
          <cell r="S30">
            <v>0.02</v>
          </cell>
        </row>
        <row r="31">
          <cell r="B31">
            <v>26</v>
          </cell>
          <cell r="C31">
            <v>26</v>
          </cell>
          <cell r="D31" t="str">
            <v>MAMAT</v>
          </cell>
          <cell r="E31" t="str">
            <v>0468001CSV</v>
          </cell>
          <cell r="F31">
            <v>515</v>
          </cell>
          <cell r="G31">
            <v>50000</v>
          </cell>
          <cell r="I31">
            <v>385000</v>
          </cell>
          <cell r="J31">
            <v>77000</v>
          </cell>
          <cell r="K31">
            <v>3000</v>
          </cell>
          <cell r="L31">
            <v>2000</v>
          </cell>
          <cell r="M31">
            <v>9000</v>
          </cell>
          <cell r="N31">
            <v>30000</v>
          </cell>
          <cell r="O31">
            <v>35000</v>
          </cell>
          <cell r="P31">
            <v>65000</v>
          </cell>
          <cell r="Q31">
            <v>65000</v>
          </cell>
          <cell r="R31">
            <v>30000</v>
          </cell>
          <cell r="S31">
            <v>0.02</v>
          </cell>
        </row>
        <row r="32">
          <cell r="B32">
            <v>27</v>
          </cell>
          <cell r="C32">
            <v>27</v>
          </cell>
          <cell r="D32" t="str">
            <v>UJANG H</v>
          </cell>
          <cell r="E32" t="str">
            <v>0463006CSV</v>
          </cell>
          <cell r="F32">
            <v>521</v>
          </cell>
          <cell r="G32">
            <v>50000</v>
          </cell>
          <cell r="I32">
            <v>385000</v>
          </cell>
          <cell r="J32">
            <v>77000</v>
          </cell>
          <cell r="K32">
            <v>3000</v>
          </cell>
          <cell r="L32">
            <v>2000</v>
          </cell>
          <cell r="M32">
            <v>9000</v>
          </cell>
          <cell r="N32">
            <v>30000</v>
          </cell>
          <cell r="O32">
            <v>35000</v>
          </cell>
          <cell r="P32">
            <v>65000</v>
          </cell>
          <cell r="Q32">
            <v>65000</v>
          </cell>
          <cell r="R32">
            <v>30000</v>
          </cell>
          <cell r="S32">
            <v>0.02</v>
          </cell>
        </row>
        <row r="33">
          <cell r="B33">
            <v>28</v>
          </cell>
          <cell r="C33">
            <v>28</v>
          </cell>
          <cell r="D33" t="str">
            <v>TATA</v>
          </cell>
          <cell r="E33" t="str">
            <v>0463005CSV</v>
          </cell>
          <cell r="F33">
            <v>516</v>
          </cell>
          <cell r="G33">
            <v>50000</v>
          </cell>
          <cell r="I33">
            <v>385000</v>
          </cell>
          <cell r="J33">
            <v>77000</v>
          </cell>
          <cell r="K33">
            <v>3000</v>
          </cell>
          <cell r="L33">
            <v>2000</v>
          </cell>
          <cell r="M33">
            <v>9000</v>
          </cell>
          <cell r="N33">
            <v>30000</v>
          </cell>
          <cell r="O33">
            <v>35000</v>
          </cell>
          <cell r="P33">
            <v>65000</v>
          </cell>
          <cell r="Q33">
            <v>65000</v>
          </cell>
          <cell r="R33">
            <v>30000</v>
          </cell>
          <cell r="S33">
            <v>0.02</v>
          </cell>
        </row>
        <row r="34">
          <cell r="B34">
            <v>29</v>
          </cell>
          <cell r="C34">
            <v>29</v>
          </cell>
          <cell r="D34" t="str">
            <v>ABDUL H</v>
          </cell>
          <cell r="E34" t="str">
            <v>0479031CSV</v>
          </cell>
          <cell r="F34">
            <v>526</v>
          </cell>
          <cell r="G34">
            <v>50000</v>
          </cell>
          <cell r="I34">
            <v>385000</v>
          </cell>
          <cell r="J34">
            <v>65000</v>
          </cell>
          <cell r="K34">
            <v>3000</v>
          </cell>
          <cell r="L34">
            <v>2000</v>
          </cell>
          <cell r="M34">
            <v>9000</v>
          </cell>
          <cell r="N34">
            <v>30000</v>
          </cell>
          <cell r="O34">
            <v>35000</v>
          </cell>
          <cell r="P34">
            <v>65000</v>
          </cell>
          <cell r="Q34">
            <v>65000</v>
          </cell>
          <cell r="R34">
            <v>30000</v>
          </cell>
          <cell r="S34">
            <v>0.02</v>
          </cell>
        </row>
        <row r="35">
          <cell r="B35">
            <v>30</v>
          </cell>
          <cell r="C35">
            <v>30</v>
          </cell>
          <cell r="D35" t="str">
            <v>YOYO SUNARYO</v>
          </cell>
          <cell r="E35" t="str">
            <v>0472008CSV</v>
          </cell>
          <cell r="F35">
            <v>518</v>
          </cell>
          <cell r="G35">
            <v>50000</v>
          </cell>
          <cell r="I35">
            <v>385000</v>
          </cell>
          <cell r="J35">
            <v>77000</v>
          </cell>
          <cell r="K35">
            <v>3000</v>
          </cell>
          <cell r="L35">
            <v>2000</v>
          </cell>
          <cell r="M35">
            <v>9000</v>
          </cell>
          <cell r="N35">
            <v>30000</v>
          </cell>
          <cell r="O35">
            <v>35000</v>
          </cell>
          <cell r="P35">
            <v>65000</v>
          </cell>
          <cell r="Q35">
            <v>65000</v>
          </cell>
          <cell r="R35">
            <v>30000</v>
          </cell>
          <cell r="S35">
            <v>0.02</v>
          </cell>
        </row>
        <row r="36">
          <cell r="B36">
            <v>31</v>
          </cell>
          <cell r="C36">
            <v>31</v>
          </cell>
          <cell r="D36" t="str">
            <v>ENDI S</v>
          </cell>
          <cell r="E36" t="str">
            <v>0474037PGD</v>
          </cell>
          <cell r="F36">
            <v>556</v>
          </cell>
          <cell r="G36">
            <v>40000</v>
          </cell>
          <cell r="I36">
            <v>385000</v>
          </cell>
          <cell r="J36">
            <v>60000</v>
          </cell>
          <cell r="K36">
            <v>3000</v>
          </cell>
          <cell r="L36">
            <v>2000</v>
          </cell>
          <cell r="M36">
            <v>9000</v>
          </cell>
          <cell r="N36">
            <v>30000</v>
          </cell>
          <cell r="O36">
            <v>35000</v>
          </cell>
          <cell r="P36">
            <v>65000</v>
          </cell>
          <cell r="Q36">
            <v>65000</v>
          </cell>
          <cell r="R36">
            <v>30000</v>
          </cell>
          <cell r="S36">
            <v>0.02</v>
          </cell>
        </row>
        <row r="37">
          <cell r="B37">
            <v>32</v>
          </cell>
          <cell r="C37">
            <v>32</v>
          </cell>
          <cell r="D37" t="str">
            <v>SUKMAYADI</v>
          </cell>
          <cell r="E37" t="str">
            <v>0464003CSV</v>
          </cell>
          <cell r="F37">
            <v>522</v>
          </cell>
          <cell r="G37">
            <v>50000</v>
          </cell>
          <cell r="I37">
            <v>385000</v>
          </cell>
          <cell r="J37">
            <v>77000</v>
          </cell>
          <cell r="K37">
            <v>3000</v>
          </cell>
          <cell r="L37">
            <v>2000</v>
          </cell>
          <cell r="M37">
            <v>9000</v>
          </cell>
          <cell r="N37">
            <v>30000</v>
          </cell>
          <cell r="O37">
            <v>35000</v>
          </cell>
          <cell r="P37">
            <v>65000</v>
          </cell>
          <cell r="Q37">
            <v>65000</v>
          </cell>
          <cell r="R37">
            <v>30000</v>
          </cell>
          <cell r="S37">
            <v>0.02</v>
          </cell>
        </row>
        <row r="38">
          <cell r="B38">
            <v>33</v>
          </cell>
          <cell r="C38">
            <v>33</v>
          </cell>
          <cell r="D38" t="str">
            <v>TARPI</v>
          </cell>
          <cell r="E38" t="str">
            <v>0459004CSV</v>
          </cell>
          <cell r="F38">
            <v>523</v>
          </cell>
          <cell r="G38">
            <v>50000</v>
          </cell>
          <cell r="I38">
            <v>385000</v>
          </cell>
          <cell r="J38">
            <v>77000</v>
          </cell>
          <cell r="K38">
            <v>3000</v>
          </cell>
          <cell r="L38">
            <v>2000</v>
          </cell>
          <cell r="M38">
            <v>9000</v>
          </cell>
          <cell r="N38">
            <v>30000</v>
          </cell>
          <cell r="O38">
            <v>35000</v>
          </cell>
          <cell r="P38">
            <v>65000</v>
          </cell>
          <cell r="Q38">
            <v>65000</v>
          </cell>
          <cell r="R38">
            <v>30000</v>
          </cell>
          <cell r="S38">
            <v>0.02</v>
          </cell>
        </row>
        <row r="39">
          <cell r="B39">
            <v>34</v>
          </cell>
          <cell r="C39">
            <v>34</v>
          </cell>
          <cell r="D39" t="str">
            <v>DEDE S</v>
          </cell>
          <cell r="E39" t="str">
            <v>0457033CSV</v>
          </cell>
          <cell r="F39">
            <v>527</v>
          </cell>
          <cell r="G39">
            <v>50000</v>
          </cell>
          <cell r="I39">
            <v>385000</v>
          </cell>
          <cell r="J39">
            <v>60000</v>
          </cell>
          <cell r="K39">
            <v>3000</v>
          </cell>
          <cell r="L39">
            <v>2000</v>
          </cell>
          <cell r="M39">
            <v>9000</v>
          </cell>
          <cell r="N39">
            <v>30000</v>
          </cell>
          <cell r="O39">
            <v>35000</v>
          </cell>
          <cell r="P39">
            <v>65000</v>
          </cell>
          <cell r="Q39">
            <v>65000</v>
          </cell>
          <cell r="R39">
            <v>30000</v>
          </cell>
          <cell r="S39">
            <v>0.02</v>
          </cell>
        </row>
        <row r="40">
          <cell r="B40">
            <v>35</v>
          </cell>
          <cell r="C40">
            <v>35</v>
          </cell>
          <cell r="D40" t="str">
            <v>TATANG T</v>
          </cell>
          <cell r="E40" t="str">
            <v>0471032CSV</v>
          </cell>
          <cell r="F40">
            <v>525</v>
          </cell>
          <cell r="G40">
            <v>50000</v>
          </cell>
          <cell r="I40">
            <v>385000</v>
          </cell>
          <cell r="J40">
            <v>65000</v>
          </cell>
          <cell r="K40">
            <v>3000</v>
          </cell>
          <cell r="L40">
            <v>2000</v>
          </cell>
          <cell r="M40">
            <v>9000</v>
          </cell>
          <cell r="N40">
            <v>30000</v>
          </cell>
          <cell r="O40">
            <v>35000</v>
          </cell>
          <cell r="P40">
            <v>65000</v>
          </cell>
          <cell r="Q40">
            <v>65000</v>
          </cell>
          <cell r="R40">
            <v>30000</v>
          </cell>
          <cell r="S40">
            <v>0.02</v>
          </cell>
        </row>
        <row r="41">
          <cell r="B41">
            <v>36</v>
          </cell>
          <cell r="C41">
            <v>36</v>
          </cell>
          <cell r="D41" t="str">
            <v>ELAN S</v>
          </cell>
          <cell r="E41" t="str">
            <v>0474045PGD</v>
          </cell>
          <cell r="F41">
            <v>582</v>
          </cell>
          <cell r="G41">
            <v>40000</v>
          </cell>
          <cell r="I41">
            <v>385000</v>
          </cell>
          <cell r="J41">
            <v>55000</v>
          </cell>
          <cell r="K41">
            <v>3000</v>
          </cell>
          <cell r="L41">
            <v>2000</v>
          </cell>
          <cell r="M41">
            <v>9000</v>
          </cell>
          <cell r="N41">
            <v>30000</v>
          </cell>
          <cell r="O41">
            <v>35000</v>
          </cell>
          <cell r="P41">
            <v>65000</v>
          </cell>
          <cell r="Q41">
            <v>65000</v>
          </cell>
          <cell r="R41">
            <v>30000</v>
          </cell>
          <cell r="S41">
            <v>0.02</v>
          </cell>
        </row>
        <row r="42">
          <cell r="B42">
            <v>37</v>
          </cell>
          <cell r="C42">
            <v>37</v>
          </cell>
          <cell r="D42" t="str">
            <v>ATEP  T</v>
          </cell>
          <cell r="E42" t="str">
            <v>0465009FLN</v>
          </cell>
          <cell r="F42">
            <v>512</v>
          </cell>
          <cell r="G42">
            <v>50000</v>
          </cell>
          <cell r="I42">
            <v>385000</v>
          </cell>
          <cell r="J42">
            <v>92000</v>
          </cell>
          <cell r="K42">
            <v>3000</v>
          </cell>
          <cell r="L42">
            <v>2000</v>
          </cell>
          <cell r="M42">
            <v>9000</v>
          </cell>
          <cell r="N42">
            <v>30000</v>
          </cell>
          <cell r="O42">
            <v>35000</v>
          </cell>
          <cell r="P42">
            <v>65000</v>
          </cell>
          <cell r="Q42">
            <v>65000</v>
          </cell>
          <cell r="R42">
            <v>30000</v>
          </cell>
          <cell r="S42">
            <v>0.02</v>
          </cell>
        </row>
        <row r="43">
          <cell r="B43">
            <v>38</v>
          </cell>
          <cell r="C43">
            <v>38</v>
          </cell>
          <cell r="D43" t="str">
            <v>YAYA Spy</v>
          </cell>
          <cell r="E43" t="str">
            <v>0472010OPM</v>
          </cell>
          <cell r="F43">
            <v>519</v>
          </cell>
          <cell r="G43">
            <v>50000</v>
          </cell>
          <cell r="I43">
            <v>385000</v>
          </cell>
          <cell r="J43">
            <v>80000</v>
          </cell>
          <cell r="K43">
            <v>3000</v>
          </cell>
          <cell r="L43">
            <v>2000</v>
          </cell>
          <cell r="M43">
            <v>9000</v>
          </cell>
          <cell r="N43">
            <v>30000</v>
          </cell>
          <cell r="O43">
            <v>35000</v>
          </cell>
          <cell r="P43">
            <v>65000</v>
          </cell>
          <cell r="Q43">
            <v>65000</v>
          </cell>
          <cell r="R43">
            <v>30000</v>
          </cell>
          <cell r="S43">
            <v>0.02</v>
          </cell>
        </row>
        <row r="44">
          <cell r="B44">
            <v>39</v>
          </cell>
          <cell r="C44">
            <v>39</v>
          </cell>
          <cell r="D44" t="str">
            <v>DEDEN S A</v>
          </cell>
          <cell r="E44" t="str">
            <v>0472034ADM</v>
          </cell>
          <cell r="F44">
            <v>553</v>
          </cell>
          <cell r="G44">
            <v>50000</v>
          </cell>
          <cell r="I44">
            <v>385000</v>
          </cell>
          <cell r="J44">
            <v>65000</v>
          </cell>
          <cell r="K44">
            <v>3000</v>
          </cell>
          <cell r="L44">
            <v>2000</v>
          </cell>
          <cell r="M44">
            <v>9000</v>
          </cell>
          <cell r="N44">
            <v>30000</v>
          </cell>
          <cell r="O44">
            <v>35000</v>
          </cell>
          <cell r="P44">
            <v>65000</v>
          </cell>
          <cell r="Q44">
            <v>65000</v>
          </cell>
          <cell r="R44">
            <v>30000</v>
          </cell>
          <cell r="S44">
            <v>0.02</v>
          </cell>
        </row>
        <row r="45">
          <cell r="B45">
            <v>40</v>
          </cell>
          <cell r="C45">
            <v>40</v>
          </cell>
          <cell r="D45" t="str">
            <v>DEDI S</v>
          </cell>
          <cell r="E45" t="str">
            <v>0468017OPT</v>
          </cell>
          <cell r="F45">
            <v>491</v>
          </cell>
          <cell r="G45">
            <v>50000</v>
          </cell>
          <cell r="I45">
            <v>385000</v>
          </cell>
          <cell r="J45">
            <v>84000</v>
          </cell>
          <cell r="K45">
            <v>3000</v>
          </cell>
          <cell r="L45">
            <v>2000</v>
          </cell>
          <cell r="M45">
            <v>9000</v>
          </cell>
          <cell r="N45">
            <v>30000</v>
          </cell>
          <cell r="O45">
            <v>35000</v>
          </cell>
          <cell r="P45">
            <v>65000</v>
          </cell>
          <cell r="Q45">
            <v>65000</v>
          </cell>
          <cell r="R45">
            <v>30000</v>
          </cell>
          <cell r="S45">
            <v>0.02</v>
          </cell>
        </row>
        <row r="46">
          <cell r="B46">
            <v>41</v>
          </cell>
          <cell r="C46">
            <v>41</v>
          </cell>
          <cell r="D46" t="str">
            <v>MAYA D</v>
          </cell>
          <cell r="E46" t="str">
            <v>0472036OPT</v>
          </cell>
          <cell r="F46">
            <v>573</v>
          </cell>
          <cell r="G46">
            <v>50000</v>
          </cell>
          <cell r="I46">
            <v>385000</v>
          </cell>
          <cell r="J46">
            <v>65000</v>
          </cell>
          <cell r="K46">
            <v>3000</v>
          </cell>
          <cell r="L46">
            <v>2000</v>
          </cell>
          <cell r="M46">
            <v>9000</v>
          </cell>
          <cell r="N46">
            <v>30000</v>
          </cell>
          <cell r="O46">
            <v>35000</v>
          </cell>
          <cell r="P46">
            <v>65000</v>
          </cell>
          <cell r="Q46">
            <v>65000</v>
          </cell>
          <cell r="R46">
            <v>30000</v>
          </cell>
          <cell r="S46">
            <v>0.02</v>
          </cell>
        </row>
        <row r="47">
          <cell r="B47">
            <v>42</v>
          </cell>
          <cell r="C47">
            <v>42</v>
          </cell>
          <cell r="D47" t="str">
            <v>ASEP Y</v>
          </cell>
          <cell r="E47" t="str">
            <v>0475041PGD</v>
          </cell>
          <cell r="F47">
            <v>574</v>
          </cell>
          <cell r="G47">
            <v>40000</v>
          </cell>
          <cell r="I47">
            <v>385000</v>
          </cell>
          <cell r="J47">
            <v>60000</v>
          </cell>
          <cell r="K47">
            <v>3000</v>
          </cell>
          <cell r="L47">
            <v>2000</v>
          </cell>
          <cell r="M47">
            <v>9000</v>
          </cell>
          <cell r="N47">
            <v>30000</v>
          </cell>
          <cell r="O47">
            <v>35000</v>
          </cell>
          <cell r="P47">
            <v>65000</v>
          </cell>
          <cell r="Q47">
            <v>65000</v>
          </cell>
          <cell r="R47">
            <v>30000</v>
          </cell>
          <cell r="S47">
            <v>0.02</v>
          </cell>
        </row>
        <row r="48">
          <cell r="B48">
            <v>43</v>
          </cell>
          <cell r="C48">
            <v>43</v>
          </cell>
          <cell r="D48" t="str">
            <v>JUNJUN R</v>
          </cell>
          <cell r="E48" t="str">
            <v>0478044PGD</v>
          </cell>
          <cell r="F48">
            <v>575</v>
          </cell>
          <cell r="G48">
            <v>40000</v>
          </cell>
          <cell r="I48">
            <v>385000</v>
          </cell>
          <cell r="J48">
            <v>60000</v>
          </cell>
          <cell r="K48">
            <v>3000</v>
          </cell>
          <cell r="L48">
            <v>2000</v>
          </cell>
          <cell r="M48">
            <v>9000</v>
          </cell>
          <cell r="N48">
            <v>30000</v>
          </cell>
          <cell r="O48">
            <v>35000</v>
          </cell>
          <cell r="P48">
            <v>65000</v>
          </cell>
          <cell r="Q48">
            <v>65000</v>
          </cell>
          <cell r="R48">
            <v>30000</v>
          </cell>
          <cell r="S48">
            <v>0.02</v>
          </cell>
        </row>
        <row r="49">
          <cell r="B49">
            <v>44</v>
          </cell>
          <cell r="C49">
            <v>44</v>
          </cell>
          <cell r="D49" t="str">
            <v>DEDI H</v>
          </cell>
          <cell r="E49" t="str">
            <v>0463043PGD</v>
          </cell>
          <cell r="F49">
            <v>576</v>
          </cell>
          <cell r="G49">
            <v>40000</v>
          </cell>
          <cell r="I49">
            <v>385000</v>
          </cell>
          <cell r="J49">
            <v>60000</v>
          </cell>
          <cell r="K49">
            <v>3000</v>
          </cell>
          <cell r="L49">
            <v>2000</v>
          </cell>
          <cell r="M49">
            <v>9000</v>
          </cell>
          <cell r="N49">
            <v>30000</v>
          </cell>
          <cell r="O49">
            <v>35000</v>
          </cell>
          <cell r="P49">
            <v>65000</v>
          </cell>
          <cell r="Q49">
            <v>65000</v>
          </cell>
          <cell r="R49">
            <v>30000</v>
          </cell>
          <cell r="S49">
            <v>0.02</v>
          </cell>
        </row>
        <row r="50">
          <cell r="B50">
            <v>45</v>
          </cell>
          <cell r="C50">
            <v>45</v>
          </cell>
          <cell r="D50" t="str">
            <v>ASEP S</v>
          </cell>
          <cell r="E50" t="str">
            <v>0462040PGD</v>
          </cell>
          <cell r="F50">
            <v>577</v>
          </cell>
          <cell r="G50">
            <v>40000</v>
          </cell>
          <cell r="I50">
            <v>385000</v>
          </cell>
          <cell r="J50">
            <v>60000</v>
          </cell>
          <cell r="K50">
            <v>3000</v>
          </cell>
          <cell r="L50">
            <v>2000</v>
          </cell>
          <cell r="M50">
            <v>9000</v>
          </cell>
          <cell r="N50">
            <v>30000</v>
          </cell>
          <cell r="O50">
            <v>35000</v>
          </cell>
          <cell r="P50">
            <v>65000</v>
          </cell>
          <cell r="Q50">
            <v>65000</v>
          </cell>
          <cell r="R50">
            <v>30000</v>
          </cell>
          <cell r="S50">
            <v>0.02</v>
          </cell>
        </row>
        <row r="51">
          <cell r="B51">
            <v>46</v>
          </cell>
          <cell r="C51">
            <v>46</v>
          </cell>
          <cell r="D51" t="str">
            <v>BUDI</v>
          </cell>
          <cell r="E51" t="str">
            <v>0459042PGD</v>
          </cell>
          <cell r="F51">
            <v>578</v>
          </cell>
          <cell r="G51">
            <v>40000</v>
          </cell>
          <cell r="I51">
            <v>385000</v>
          </cell>
          <cell r="J51">
            <v>60000</v>
          </cell>
          <cell r="K51">
            <v>3000</v>
          </cell>
          <cell r="L51">
            <v>2000</v>
          </cell>
          <cell r="M51">
            <v>9000</v>
          </cell>
          <cell r="N51">
            <v>30000</v>
          </cell>
          <cell r="O51">
            <v>35000</v>
          </cell>
          <cell r="P51">
            <v>65000</v>
          </cell>
          <cell r="Q51">
            <v>65000</v>
          </cell>
          <cell r="R51">
            <v>30000</v>
          </cell>
          <cell r="S51">
            <v>0.02</v>
          </cell>
        </row>
        <row r="52">
          <cell r="B52">
            <v>47</v>
          </cell>
          <cell r="C52">
            <v>47</v>
          </cell>
          <cell r="D52" t="str">
            <v>DIDI S</v>
          </cell>
          <cell r="E52" t="str">
            <v>0470052CSV</v>
          </cell>
          <cell r="F52">
            <v>607</v>
          </cell>
          <cell r="G52">
            <v>35000</v>
          </cell>
          <cell r="I52">
            <v>385000</v>
          </cell>
          <cell r="J52">
            <v>35000</v>
          </cell>
          <cell r="K52">
            <v>3000</v>
          </cell>
          <cell r="L52">
            <v>2000</v>
          </cell>
          <cell r="M52">
            <v>9000</v>
          </cell>
          <cell r="N52">
            <v>30000</v>
          </cell>
          <cell r="O52">
            <v>35000</v>
          </cell>
          <cell r="P52">
            <v>65000</v>
          </cell>
          <cell r="Q52">
            <v>65000</v>
          </cell>
          <cell r="R52">
            <v>30000</v>
          </cell>
          <cell r="S52">
            <v>0.02</v>
          </cell>
        </row>
        <row r="53">
          <cell r="B53">
            <v>48</v>
          </cell>
          <cell r="C53">
            <v>48</v>
          </cell>
          <cell r="D53" t="str">
            <v>DERI</v>
          </cell>
          <cell r="E53" t="str">
            <v>0476046ADM</v>
          </cell>
          <cell r="F53">
            <v>608</v>
          </cell>
          <cell r="G53">
            <v>40000</v>
          </cell>
          <cell r="I53">
            <v>385000</v>
          </cell>
          <cell r="J53">
            <v>45000</v>
          </cell>
          <cell r="K53">
            <v>3000</v>
          </cell>
          <cell r="L53">
            <v>2000</v>
          </cell>
          <cell r="M53">
            <v>9000</v>
          </cell>
          <cell r="N53">
            <v>30000</v>
          </cell>
          <cell r="O53">
            <v>35000</v>
          </cell>
          <cell r="P53">
            <v>65000</v>
          </cell>
          <cell r="Q53">
            <v>65000</v>
          </cell>
          <cell r="R53">
            <v>30000</v>
          </cell>
          <cell r="S53">
            <v>0.02</v>
          </cell>
        </row>
        <row r="54">
          <cell r="B54">
            <v>49</v>
          </cell>
          <cell r="C54">
            <v>49</v>
          </cell>
          <cell r="D54" t="str">
            <v>ENDANG S</v>
          </cell>
          <cell r="E54" t="str">
            <v>0454048CSV</v>
          </cell>
          <cell r="F54">
            <v>609</v>
          </cell>
          <cell r="G54">
            <v>35000</v>
          </cell>
          <cell r="I54">
            <v>385000</v>
          </cell>
          <cell r="J54">
            <v>35000</v>
          </cell>
          <cell r="K54">
            <v>3000</v>
          </cell>
          <cell r="L54">
            <v>2000</v>
          </cell>
          <cell r="M54">
            <v>9000</v>
          </cell>
          <cell r="N54">
            <v>30000</v>
          </cell>
          <cell r="O54">
            <v>35000</v>
          </cell>
          <cell r="P54">
            <v>65000</v>
          </cell>
          <cell r="Q54">
            <v>65000</v>
          </cell>
          <cell r="R54">
            <v>30000</v>
          </cell>
          <cell r="S54">
            <v>0.02</v>
          </cell>
        </row>
        <row r="55">
          <cell r="B55">
            <v>50</v>
          </cell>
          <cell r="C55">
            <v>50</v>
          </cell>
          <cell r="D55" t="str">
            <v>TETEN</v>
          </cell>
          <cell r="E55" t="str">
            <v>0468047ADM</v>
          </cell>
          <cell r="F55">
            <v>610</v>
          </cell>
          <cell r="G55">
            <v>40000</v>
          </cell>
          <cell r="I55">
            <v>385000</v>
          </cell>
          <cell r="J55">
            <v>40000</v>
          </cell>
          <cell r="K55">
            <v>3000</v>
          </cell>
          <cell r="L55">
            <v>2000</v>
          </cell>
          <cell r="M55">
            <v>9000</v>
          </cell>
          <cell r="N55">
            <v>30000</v>
          </cell>
          <cell r="O55">
            <v>35000</v>
          </cell>
          <cell r="P55">
            <v>65000</v>
          </cell>
          <cell r="Q55">
            <v>65000</v>
          </cell>
          <cell r="R55">
            <v>30000</v>
          </cell>
          <cell r="S55">
            <v>0.02</v>
          </cell>
        </row>
        <row r="56">
          <cell r="B56">
            <v>51</v>
          </cell>
          <cell r="C56">
            <v>51</v>
          </cell>
          <cell r="D56" t="str">
            <v>OKTORIYANI</v>
          </cell>
          <cell r="E56" t="str">
            <v>0479049OPT</v>
          </cell>
          <cell r="F56">
            <v>611</v>
          </cell>
          <cell r="G56">
            <v>40000</v>
          </cell>
          <cell r="I56">
            <v>385000</v>
          </cell>
          <cell r="J56">
            <v>40000</v>
          </cell>
          <cell r="K56">
            <v>3000</v>
          </cell>
          <cell r="L56">
            <v>2000</v>
          </cell>
          <cell r="M56">
            <v>9000</v>
          </cell>
          <cell r="N56">
            <v>30000</v>
          </cell>
          <cell r="O56">
            <v>35000</v>
          </cell>
          <cell r="P56">
            <v>65000</v>
          </cell>
          <cell r="Q56">
            <v>65000</v>
          </cell>
          <cell r="R56">
            <v>30000</v>
          </cell>
          <cell r="S56">
            <v>0.02</v>
          </cell>
        </row>
        <row r="57">
          <cell r="B57">
            <v>52</v>
          </cell>
          <cell r="C57">
            <v>52</v>
          </cell>
          <cell r="D57" t="str">
            <v>IWAN PND</v>
          </cell>
          <cell r="E57" t="str">
            <v>0482051PGD</v>
          </cell>
          <cell r="F57">
            <v>612</v>
          </cell>
          <cell r="G57">
            <v>35000</v>
          </cell>
          <cell r="I57">
            <v>385000</v>
          </cell>
          <cell r="J57">
            <v>35000</v>
          </cell>
          <cell r="K57">
            <v>3000</v>
          </cell>
          <cell r="L57">
            <v>2000</v>
          </cell>
          <cell r="M57">
            <v>9000</v>
          </cell>
          <cell r="N57">
            <v>30000</v>
          </cell>
          <cell r="O57">
            <v>35000</v>
          </cell>
          <cell r="P57">
            <v>65000</v>
          </cell>
          <cell r="Q57">
            <v>65000</v>
          </cell>
          <cell r="R57">
            <v>30000</v>
          </cell>
          <cell r="S57">
            <v>0.02</v>
          </cell>
        </row>
        <row r="58">
          <cell r="B58">
            <v>53</v>
          </cell>
          <cell r="C58">
            <v>53</v>
          </cell>
          <cell r="D58" t="str">
            <v>ERNI P</v>
          </cell>
          <cell r="E58" t="str">
            <v>0480050OPT</v>
          </cell>
          <cell r="F58">
            <v>613</v>
          </cell>
          <cell r="G58">
            <v>40000</v>
          </cell>
          <cell r="I58">
            <v>385000</v>
          </cell>
          <cell r="J58">
            <v>40000</v>
          </cell>
          <cell r="K58">
            <v>3000</v>
          </cell>
          <cell r="L58">
            <v>2000</v>
          </cell>
          <cell r="M58">
            <v>9000</v>
          </cell>
          <cell r="N58">
            <v>30000</v>
          </cell>
          <cell r="O58">
            <v>35000</v>
          </cell>
          <cell r="P58">
            <v>65000</v>
          </cell>
          <cell r="Q58">
            <v>65000</v>
          </cell>
          <cell r="R58">
            <v>30000</v>
          </cell>
          <cell r="S58">
            <v>0.02</v>
          </cell>
        </row>
        <row r="59">
          <cell r="B59">
            <v>54</v>
          </cell>
          <cell r="C59">
            <v>54</v>
          </cell>
          <cell r="D59" t="str">
            <v>RANI</v>
          </cell>
          <cell r="E59" t="str">
            <v>0481053ADM</v>
          </cell>
          <cell r="F59">
            <v>614</v>
          </cell>
          <cell r="G59">
            <v>30000</v>
          </cell>
          <cell r="I59">
            <v>385000</v>
          </cell>
          <cell r="J59">
            <v>35000</v>
          </cell>
          <cell r="K59">
            <v>3000</v>
          </cell>
          <cell r="L59">
            <v>2000</v>
          </cell>
          <cell r="M59">
            <v>9000</v>
          </cell>
          <cell r="N59">
            <v>30000</v>
          </cell>
          <cell r="O59">
            <v>35000</v>
          </cell>
          <cell r="P59">
            <v>65000</v>
          </cell>
          <cell r="Q59">
            <v>65000</v>
          </cell>
          <cell r="R59">
            <v>30000</v>
          </cell>
          <cell r="S59">
            <v>0.02</v>
          </cell>
        </row>
        <row r="60">
          <cell r="B60">
            <v>55</v>
          </cell>
          <cell r="C60">
            <v>55</v>
          </cell>
          <cell r="D60" t="str">
            <v>DEDE KARLAH</v>
          </cell>
          <cell r="E60" t="str">
            <v>0476054CSV</v>
          </cell>
          <cell r="F60">
            <v>615</v>
          </cell>
          <cell r="G60">
            <v>30000</v>
          </cell>
          <cell r="I60">
            <v>385000</v>
          </cell>
          <cell r="J60">
            <v>30000</v>
          </cell>
          <cell r="K60">
            <v>3000</v>
          </cell>
          <cell r="L60">
            <v>2000</v>
          </cell>
          <cell r="M60">
            <v>9000</v>
          </cell>
          <cell r="N60">
            <v>30000</v>
          </cell>
          <cell r="O60">
            <v>35000</v>
          </cell>
          <cell r="P60">
            <v>65000</v>
          </cell>
          <cell r="Q60">
            <v>65000</v>
          </cell>
          <cell r="R60">
            <v>30000</v>
          </cell>
          <cell r="S60">
            <v>0.02</v>
          </cell>
        </row>
        <row r="61">
          <cell r="B61">
            <v>56</v>
          </cell>
          <cell r="C61">
            <v>56</v>
          </cell>
          <cell r="D61" t="str">
            <v>ELA P</v>
          </cell>
          <cell r="E61" t="str">
            <v>0477055ADM</v>
          </cell>
          <cell r="G61">
            <v>40000</v>
          </cell>
          <cell r="I61">
            <v>385000</v>
          </cell>
          <cell r="J61">
            <v>40000</v>
          </cell>
          <cell r="K61">
            <v>3000</v>
          </cell>
          <cell r="L61">
            <v>2000</v>
          </cell>
          <cell r="M61">
            <v>9000</v>
          </cell>
          <cell r="N61">
            <v>30000</v>
          </cell>
          <cell r="O61">
            <v>35000</v>
          </cell>
          <cell r="P61">
            <v>65000</v>
          </cell>
          <cell r="Q61">
            <v>65000</v>
          </cell>
          <cell r="R61">
            <v>30000</v>
          </cell>
          <cell r="S61">
            <v>0.02</v>
          </cell>
        </row>
        <row r="62">
          <cell r="B62">
            <v>57</v>
          </cell>
          <cell r="C62">
            <v>58</v>
          </cell>
          <cell r="D62" t="str">
            <v>PURWANTO</v>
          </cell>
          <cell r="E62" t="str">
            <v>0483056CSV</v>
          </cell>
          <cell r="G62">
            <v>30000</v>
          </cell>
          <cell r="I62">
            <v>385000</v>
          </cell>
          <cell r="J62">
            <v>30000</v>
          </cell>
          <cell r="K62">
            <v>3000</v>
          </cell>
          <cell r="L62">
            <v>2000</v>
          </cell>
          <cell r="M62">
            <v>9000</v>
          </cell>
          <cell r="N62">
            <v>30000</v>
          </cell>
          <cell r="O62">
            <v>35000</v>
          </cell>
          <cell r="P62">
            <v>65000</v>
          </cell>
          <cell r="Q62">
            <v>65000</v>
          </cell>
          <cell r="R62">
            <v>30000</v>
          </cell>
          <cell r="S62">
            <v>0.02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C5">
            <v>491</v>
          </cell>
          <cell r="D5" t="str">
            <v>Dedi Setiawan</v>
          </cell>
          <cell r="G5">
            <v>158000</v>
          </cell>
          <cell r="H5">
            <v>35000</v>
          </cell>
        </row>
        <row r="6">
          <cell r="C6">
            <v>492</v>
          </cell>
          <cell r="D6" t="str">
            <v>Nurdin</v>
          </cell>
          <cell r="G6">
            <v>121700</v>
          </cell>
          <cell r="H6">
            <v>0</v>
          </cell>
        </row>
        <row r="7">
          <cell r="C7">
            <v>493</v>
          </cell>
          <cell r="D7" t="str">
            <v>Jujun Juanda</v>
          </cell>
          <cell r="G7">
            <v>181000</v>
          </cell>
          <cell r="H7">
            <v>0</v>
          </cell>
        </row>
        <row r="8">
          <cell r="C8">
            <v>494</v>
          </cell>
          <cell r="D8" t="str">
            <v>Endang Koswara</v>
          </cell>
          <cell r="G8">
            <v>179000</v>
          </cell>
          <cell r="H8">
            <v>0</v>
          </cell>
        </row>
        <row r="9">
          <cell r="C9">
            <v>495</v>
          </cell>
          <cell r="D9" t="str">
            <v>Sucipto</v>
          </cell>
          <cell r="G9">
            <v>12000</v>
          </cell>
          <cell r="H9">
            <v>0</v>
          </cell>
        </row>
        <row r="10">
          <cell r="C10">
            <v>497</v>
          </cell>
          <cell r="D10" t="str">
            <v>Kusyana</v>
          </cell>
          <cell r="G10">
            <v>141200</v>
          </cell>
          <cell r="H10">
            <v>21000</v>
          </cell>
        </row>
        <row r="11">
          <cell r="C11">
            <v>498</v>
          </cell>
          <cell r="D11" t="str">
            <v>Dede Yahya K</v>
          </cell>
          <cell r="G11">
            <v>218000</v>
          </cell>
          <cell r="H11">
            <v>56500</v>
          </cell>
        </row>
        <row r="12">
          <cell r="C12">
            <v>499</v>
          </cell>
          <cell r="D12" t="str">
            <v>Hamim A</v>
          </cell>
          <cell r="G12">
            <v>141000</v>
          </cell>
          <cell r="H12">
            <v>69000</v>
          </cell>
        </row>
        <row r="13">
          <cell r="C13">
            <v>500</v>
          </cell>
          <cell r="D13" t="str">
            <v>RM Satari</v>
          </cell>
          <cell r="G13">
            <v>125000</v>
          </cell>
          <cell r="H13">
            <v>10000</v>
          </cell>
        </row>
        <row r="14">
          <cell r="C14">
            <v>501</v>
          </cell>
          <cell r="D14" t="str">
            <v>Udin S</v>
          </cell>
          <cell r="G14">
            <v>168000</v>
          </cell>
          <cell r="H14">
            <v>20500</v>
          </cell>
        </row>
        <row r="15">
          <cell r="C15">
            <v>502</v>
          </cell>
          <cell r="D15" t="str">
            <v>Abeng Suryana</v>
          </cell>
          <cell r="G15">
            <v>192400</v>
          </cell>
          <cell r="H15">
            <v>18250</v>
          </cell>
        </row>
        <row r="16">
          <cell r="C16">
            <v>503</v>
          </cell>
          <cell r="D16" t="str">
            <v>Taufik Suherman</v>
          </cell>
          <cell r="G16">
            <v>132000</v>
          </cell>
          <cell r="H16">
            <v>23500</v>
          </cell>
        </row>
        <row r="17">
          <cell r="C17">
            <v>504</v>
          </cell>
          <cell r="D17" t="str">
            <v>Kadar S</v>
          </cell>
          <cell r="G17">
            <v>257000</v>
          </cell>
          <cell r="H17">
            <v>73500</v>
          </cell>
        </row>
        <row r="18">
          <cell r="C18">
            <v>505</v>
          </cell>
          <cell r="D18" t="str">
            <v>Ferdy C</v>
          </cell>
          <cell r="G18">
            <v>280000</v>
          </cell>
          <cell r="H18">
            <v>0</v>
          </cell>
        </row>
        <row r="19">
          <cell r="C19">
            <v>507</v>
          </cell>
          <cell r="D19" t="str">
            <v>Dadi Mulyadi</v>
          </cell>
          <cell r="G19">
            <v>121000</v>
          </cell>
          <cell r="H19">
            <v>10200</v>
          </cell>
        </row>
        <row r="20">
          <cell r="C20">
            <v>508</v>
          </cell>
          <cell r="D20" t="str">
            <v>Rahmat S</v>
          </cell>
          <cell r="G20">
            <v>112740</v>
          </cell>
          <cell r="H20">
            <v>185350</v>
          </cell>
        </row>
        <row r="21">
          <cell r="C21">
            <v>509</v>
          </cell>
          <cell r="D21" t="str">
            <v>Marxes S</v>
          </cell>
          <cell r="G21">
            <v>271000</v>
          </cell>
          <cell r="H21">
            <v>0</v>
          </cell>
        </row>
        <row r="22">
          <cell r="C22">
            <v>510</v>
          </cell>
          <cell r="D22" t="str">
            <v>Uki S</v>
          </cell>
          <cell r="G22">
            <v>124700</v>
          </cell>
          <cell r="H22">
            <v>0</v>
          </cell>
        </row>
        <row r="23">
          <cell r="C23">
            <v>511</v>
          </cell>
          <cell r="D23" t="str">
            <v>Maman R</v>
          </cell>
          <cell r="G23">
            <v>182000</v>
          </cell>
          <cell r="H23">
            <v>100500</v>
          </cell>
        </row>
        <row r="24">
          <cell r="C24">
            <v>512</v>
          </cell>
          <cell r="D24" t="str">
            <v>Atep Taryono</v>
          </cell>
          <cell r="G24">
            <v>135000</v>
          </cell>
          <cell r="H24">
            <v>0</v>
          </cell>
        </row>
        <row r="25">
          <cell r="C25">
            <v>514</v>
          </cell>
          <cell r="D25" t="str">
            <v>Yaya S</v>
          </cell>
          <cell r="G25">
            <v>266930</v>
          </cell>
          <cell r="H25">
            <v>78500</v>
          </cell>
        </row>
        <row r="26">
          <cell r="C26">
            <v>515</v>
          </cell>
          <cell r="D26" t="str">
            <v>Mamat</v>
          </cell>
          <cell r="G26">
            <v>164700</v>
          </cell>
          <cell r="H26">
            <v>45000</v>
          </cell>
        </row>
        <row r="27">
          <cell r="C27">
            <v>516</v>
          </cell>
          <cell r="D27" t="str">
            <v>Tata</v>
          </cell>
          <cell r="G27">
            <v>98000</v>
          </cell>
          <cell r="H27">
            <v>0</v>
          </cell>
        </row>
        <row r="28">
          <cell r="C28">
            <v>518</v>
          </cell>
          <cell r="D28" t="str">
            <v>Yoyo S</v>
          </cell>
          <cell r="G28">
            <v>172000</v>
          </cell>
          <cell r="H28">
            <v>0</v>
          </cell>
        </row>
        <row r="29">
          <cell r="C29">
            <v>519</v>
          </cell>
          <cell r="D29" t="str">
            <v>Yaya Suparya</v>
          </cell>
          <cell r="E29">
            <v>0</v>
          </cell>
          <cell r="F29">
            <v>0</v>
          </cell>
          <cell r="G29">
            <v>210000</v>
          </cell>
          <cell r="H29">
            <v>340200</v>
          </cell>
        </row>
        <row r="30">
          <cell r="C30">
            <v>520</v>
          </cell>
          <cell r="D30" t="str">
            <v>Oman</v>
          </cell>
          <cell r="G30">
            <v>95000</v>
          </cell>
          <cell r="H30">
            <v>0</v>
          </cell>
        </row>
        <row r="31">
          <cell r="C31">
            <v>521</v>
          </cell>
          <cell r="D31" t="str">
            <v>Ujang Hery</v>
          </cell>
          <cell r="G31">
            <v>116000</v>
          </cell>
          <cell r="H31">
            <v>0</v>
          </cell>
        </row>
        <row r="32">
          <cell r="C32">
            <v>522</v>
          </cell>
          <cell r="D32" t="str">
            <v>Sukmayadi</v>
          </cell>
          <cell r="G32">
            <v>133500</v>
          </cell>
          <cell r="H32">
            <v>0</v>
          </cell>
        </row>
        <row r="33">
          <cell r="C33">
            <v>523</v>
          </cell>
          <cell r="D33" t="str">
            <v>Tarpi</v>
          </cell>
          <cell r="G33">
            <v>69600</v>
          </cell>
          <cell r="H33">
            <v>0</v>
          </cell>
        </row>
        <row r="34">
          <cell r="C34">
            <v>524</v>
          </cell>
          <cell r="D34" t="str">
            <v>Yoyon K</v>
          </cell>
          <cell r="G34">
            <v>146000</v>
          </cell>
          <cell r="H34">
            <v>0</v>
          </cell>
        </row>
        <row r="35">
          <cell r="C35">
            <v>525</v>
          </cell>
          <cell r="D35" t="str">
            <v>Tatang Taryana</v>
          </cell>
          <cell r="G35">
            <v>94000</v>
          </cell>
          <cell r="H35">
            <v>16250</v>
          </cell>
        </row>
        <row r="36">
          <cell r="C36">
            <v>526</v>
          </cell>
          <cell r="D36" t="str">
            <v>Abdul Haris</v>
          </cell>
          <cell r="G36">
            <v>116200</v>
          </cell>
          <cell r="H36">
            <v>38000</v>
          </cell>
        </row>
        <row r="37">
          <cell r="C37">
            <v>527</v>
          </cell>
          <cell r="D37" t="str">
            <v>Dede Saprudin</v>
          </cell>
          <cell r="G37">
            <v>90400</v>
          </cell>
          <cell r="H37">
            <v>0</v>
          </cell>
        </row>
        <row r="38">
          <cell r="C38">
            <v>551</v>
          </cell>
          <cell r="D38" t="str">
            <v>Jajang Sutrisno</v>
          </cell>
          <cell r="G38">
            <v>109000</v>
          </cell>
          <cell r="H38">
            <v>24000</v>
          </cell>
        </row>
        <row r="39">
          <cell r="C39">
            <v>553</v>
          </cell>
          <cell r="D39" t="str">
            <v>Deden</v>
          </cell>
          <cell r="G39">
            <v>118000</v>
          </cell>
          <cell r="H39">
            <v>0</v>
          </cell>
        </row>
        <row r="40">
          <cell r="C40">
            <v>555</v>
          </cell>
          <cell r="D40" t="str">
            <v>Deni Mulyana</v>
          </cell>
          <cell r="G40">
            <v>197780</v>
          </cell>
          <cell r="H40">
            <v>13000</v>
          </cell>
        </row>
        <row r="41">
          <cell r="C41">
            <v>556</v>
          </cell>
          <cell r="D41" t="str">
            <v>Endi Sunandi</v>
          </cell>
          <cell r="G41">
            <v>106000</v>
          </cell>
          <cell r="H41">
            <v>0</v>
          </cell>
        </row>
        <row r="42">
          <cell r="C42">
            <v>571</v>
          </cell>
          <cell r="D42" t="str">
            <v>Iwan Ridwanto</v>
          </cell>
          <cell r="G42">
            <v>151000</v>
          </cell>
          <cell r="H42">
            <v>0</v>
          </cell>
        </row>
        <row r="43">
          <cell r="C43">
            <v>573</v>
          </cell>
          <cell r="D43" t="str">
            <v>Maya Damayanti</v>
          </cell>
          <cell r="G43">
            <v>100500</v>
          </cell>
          <cell r="H43">
            <v>33000</v>
          </cell>
        </row>
        <row r="44">
          <cell r="C44">
            <v>574</v>
          </cell>
          <cell r="D44" t="str">
            <v>Yadi Setiadi</v>
          </cell>
          <cell r="G44">
            <v>12000</v>
          </cell>
          <cell r="H44">
            <v>0</v>
          </cell>
        </row>
        <row r="45">
          <cell r="C45">
            <v>575</v>
          </cell>
          <cell r="D45" t="str">
            <v>Junjun Rahmat J</v>
          </cell>
          <cell r="G45">
            <v>141300</v>
          </cell>
          <cell r="H45">
            <v>0</v>
          </cell>
        </row>
        <row r="46">
          <cell r="C46">
            <v>576</v>
          </cell>
          <cell r="D46" t="str">
            <v>Didi Heryadi</v>
          </cell>
          <cell r="G46">
            <v>139000</v>
          </cell>
          <cell r="H46">
            <v>0</v>
          </cell>
        </row>
        <row r="47">
          <cell r="C47">
            <v>577</v>
          </cell>
          <cell r="D47" t="str">
            <v>Asep Sujana</v>
          </cell>
          <cell r="G47">
            <v>135000</v>
          </cell>
          <cell r="H47">
            <v>0</v>
          </cell>
        </row>
        <row r="48">
          <cell r="C48">
            <v>578</v>
          </cell>
          <cell r="D48" t="str">
            <v>Budi</v>
          </cell>
          <cell r="G48">
            <v>166800</v>
          </cell>
          <cell r="H48">
            <v>0</v>
          </cell>
        </row>
        <row r="49">
          <cell r="C49">
            <v>582</v>
          </cell>
          <cell r="D49" t="str">
            <v>Elan Sahlan</v>
          </cell>
          <cell r="G49">
            <v>104500</v>
          </cell>
          <cell r="H49">
            <v>0</v>
          </cell>
        </row>
        <row r="50">
          <cell r="C50">
            <v>607</v>
          </cell>
          <cell r="D50" t="str">
            <v>DIDI</v>
          </cell>
          <cell r="G50">
            <v>158000</v>
          </cell>
          <cell r="H50">
            <v>8000</v>
          </cell>
        </row>
        <row r="51">
          <cell r="C51">
            <v>611</v>
          </cell>
          <cell r="D51" t="str">
            <v>OKTORIAYANI</v>
          </cell>
          <cell r="G51">
            <v>62000</v>
          </cell>
          <cell r="H51">
            <v>0</v>
          </cell>
        </row>
        <row r="52">
          <cell r="C52">
            <v>610</v>
          </cell>
          <cell r="D52" t="str">
            <v>TETEN</v>
          </cell>
          <cell r="G52">
            <v>65000</v>
          </cell>
          <cell r="H52">
            <v>0</v>
          </cell>
        </row>
        <row r="53">
          <cell r="C53">
            <v>608</v>
          </cell>
          <cell r="D53" t="str">
            <v>DERI</v>
          </cell>
          <cell r="G53">
            <v>27000</v>
          </cell>
          <cell r="H53">
            <v>0</v>
          </cell>
        </row>
        <row r="54">
          <cell r="C54">
            <v>609</v>
          </cell>
          <cell r="D54" t="str">
            <v>ENDANG/CSV BANJAR</v>
          </cell>
          <cell r="G54">
            <v>99500</v>
          </cell>
          <cell r="H54">
            <v>0</v>
          </cell>
        </row>
        <row r="55">
          <cell r="C55">
            <v>612</v>
          </cell>
          <cell r="D55" t="str">
            <v>IWAN CS PND</v>
          </cell>
          <cell r="G55">
            <v>67000</v>
          </cell>
          <cell r="H55">
            <v>12000</v>
          </cell>
        </row>
        <row r="56">
          <cell r="C56">
            <v>613</v>
          </cell>
          <cell r="D56" t="str">
            <v>ERNI OP PND</v>
          </cell>
          <cell r="G56">
            <v>67000</v>
          </cell>
          <cell r="H56">
            <v>0</v>
          </cell>
        </row>
        <row r="57">
          <cell r="C57">
            <v>614</v>
          </cell>
          <cell r="D57" t="str">
            <v>RANI</v>
          </cell>
          <cell r="G57">
            <v>17000</v>
          </cell>
          <cell r="H57">
            <v>0</v>
          </cell>
        </row>
        <row r="58">
          <cell r="C58">
            <v>615</v>
          </cell>
          <cell r="D58" t="str">
            <v>DEDE KARLAH</v>
          </cell>
          <cell r="G58">
            <v>69000</v>
          </cell>
          <cell r="H58">
            <v>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NRCPTK01"/>
      <sheetName val="NRCKTP01"/>
      <sheetName val="NRCPTS01"/>
      <sheetName val="NRCSKW01"/>
      <sheetName val="NRCSGU01"/>
      <sheetName val="NRC-STG"/>
      <sheetName val="NRCSBS01"/>
    </sheetNames>
    <sheetDataSet>
      <sheetData sheetId="0" refreshError="1"/>
      <sheetData sheetId="1" refreshError="1">
        <row r="4">
          <cell r="A4" t="str">
            <v>NERACA DAYA SISTEM PONTIANAK</v>
          </cell>
        </row>
        <row r="5">
          <cell r="A5" t="str">
            <v xml:space="preserve">UNTUK TAHUN  2002 </v>
          </cell>
        </row>
        <row r="7">
          <cell r="A7" t="str">
            <v>NO</v>
          </cell>
          <cell r="B7" t="str">
            <v>MESIN</v>
          </cell>
          <cell r="C7" t="str">
            <v xml:space="preserve">DAYA </v>
          </cell>
          <cell r="D7" t="str">
            <v>DAYA</v>
          </cell>
          <cell r="E7" t="str">
            <v>TAHUN  2001</v>
          </cell>
          <cell r="Q7" t="str">
            <v>TAHUN  2002</v>
          </cell>
        </row>
        <row r="8">
          <cell r="C8" t="str">
            <v>TERPASANG</v>
          </cell>
          <cell r="D8" t="str">
            <v>MAMPU</v>
          </cell>
          <cell r="E8" t="str">
            <v>JAN</v>
          </cell>
          <cell r="F8" t="str">
            <v>FEB</v>
          </cell>
          <cell r="G8" t="str">
            <v>MAR</v>
          </cell>
          <cell r="H8" t="str">
            <v>APR</v>
          </cell>
          <cell r="I8" t="str">
            <v>MEI</v>
          </cell>
          <cell r="J8" t="str">
            <v>JUN</v>
          </cell>
          <cell r="K8" t="str">
            <v>JUL</v>
          </cell>
          <cell r="L8" t="str">
            <v>AGU</v>
          </cell>
          <cell r="M8" t="str">
            <v>SEP</v>
          </cell>
          <cell r="N8" t="str">
            <v>OKT</v>
          </cell>
          <cell r="O8" t="str">
            <v>NOP</v>
          </cell>
          <cell r="P8" t="str">
            <v>DES</v>
          </cell>
          <cell r="Q8" t="str">
            <v>JAN</v>
          </cell>
          <cell r="R8" t="str">
            <v>FEB</v>
          </cell>
          <cell r="S8" t="str">
            <v>MAR</v>
          </cell>
          <cell r="T8" t="str">
            <v>APR</v>
          </cell>
          <cell r="U8" t="str">
            <v>MEI</v>
          </cell>
          <cell r="V8" t="str">
            <v>JUN</v>
          </cell>
          <cell r="W8" t="str">
            <v>JUL</v>
          </cell>
          <cell r="X8" t="str">
            <v>AGU</v>
          </cell>
          <cell r="Y8" t="str">
            <v>SEP</v>
          </cell>
          <cell r="Z8" t="str">
            <v>OKT</v>
          </cell>
          <cell r="AA8" t="str">
            <v>NOP</v>
          </cell>
          <cell r="AB8" t="str">
            <v>DES</v>
          </cell>
        </row>
        <row r="9">
          <cell r="B9" t="str">
            <v>PLTD SIANTAN</v>
          </cell>
          <cell r="C9" t="str">
            <v/>
          </cell>
          <cell r="D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P9" t="str">
            <v/>
          </cell>
          <cell r="Q9" t="str">
            <v/>
          </cell>
          <cell r="R9" t="str">
            <v/>
          </cell>
          <cell r="S9" t="str">
            <v/>
          </cell>
          <cell r="T9" t="str">
            <v/>
          </cell>
          <cell r="U9" t="str">
            <v/>
          </cell>
          <cell r="V9" t="str">
            <v/>
          </cell>
          <cell r="W9" t="str">
            <v/>
          </cell>
          <cell r="X9" t="str">
            <v/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</row>
        <row r="10">
          <cell r="A10" t="str">
            <v>1</v>
          </cell>
          <cell r="B10" t="str">
            <v>S W D  I</v>
          </cell>
          <cell r="C10">
            <v>4000</v>
          </cell>
          <cell r="D10">
            <v>3000</v>
          </cell>
          <cell r="E10">
            <v>2500</v>
          </cell>
          <cell r="F10">
            <v>2500</v>
          </cell>
          <cell r="G10">
            <v>2500</v>
          </cell>
          <cell r="H10">
            <v>2600</v>
          </cell>
          <cell r="I10">
            <v>2600</v>
          </cell>
          <cell r="J10">
            <v>2600</v>
          </cell>
          <cell r="K10">
            <v>2600</v>
          </cell>
          <cell r="L10">
            <v>2600</v>
          </cell>
          <cell r="M10">
            <v>2600</v>
          </cell>
          <cell r="N10" t="str">
            <v>TO/EFI</v>
          </cell>
          <cell r="O10">
            <v>3000</v>
          </cell>
          <cell r="P10">
            <v>3000</v>
          </cell>
          <cell r="Q10">
            <v>3000</v>
          </cell>
          <cell r="R10">
            <v>3000</v>
          </cell>
          <cell r="S10">
            <v>3000</v>
          </cell>
          <cell r="T10">
            <v>3000</v>
          </cell>
          <cell r="U10">
            <v>3000</v>
          </cell>
          <cell r="V10">
            <v>3000</v>
          </cell>
          <cell r="W10">
            <v>3000</v>
          </cell>
          <cell r="X10">
            <v>3000</v>
          </cell>
          <cell r="Y10" t="str">
            <v>SO</v>
          </cell>
          <cell r="Z10">
            <v>3000</v>
          </cell>
          <cell r="AA10">
            <v>3000</v>
          </cell>
          <cell r="AB10">
            <v>3000</v>
          </cell>
        </row>
        <row r="11">
          <cell r="A11" t="str">
            <v>2</v>
          </cell>
          <cell r="B11" t="str">
            <v>S W D  II</v>
          </cell>
          <cell r="C11">
            <v>4000</v>
          </cell>
          <cell r="D11">
            <v>0</v>
          </cell>
          <cell r="E11" t="str">
            <v>RUSAK (REHAB/EFI)</v>
          </cell>
          <cell r="Q11" t="str">
            <v>RUSAK</v>
          </cell>
          <cell r="U11">
            <v>3000</v>
          </cell>
          <cell r="V11">
            <v>3000</v>
          </cell>
          <cell r="W11">
            <v>3000</v>
          </cell>
          <cell r="X11">
            <v>3000</v>
          </cell>
          <cell r="Y11">
            <v>3000</v>
          </cell>
          <cell r="Z11">
            <v>3000</v>
          </cell>
          <cell r="AA11">
            <v>3000</v>
          </cell>
          <cell r="AB11">
            <v>3000</v>
          </cell>
        </row>
        <row r="12">
          <cell r="A12" t="str">
            <v>3</v>
          </cell>
          <cell r="B12" t="str">
            <v>S W D  III</v>
          </cell>
          <cell r="C12">
            <v>4000</v>
          </cell>
          <cell r="D12">
            <v>3000</v>
          </cell>
          <cell r="E12">
            <v>2600</v>
          </cell>
          <cell r="F12">
            <v>2600</v>
          </cell>
          <cell r="G12">
            <v>2600</v>
          </cell>
          <cell r="H12" t="str">
            <v>RUSAK 2/4/01 (REHAB/EFI)</v>
          </cell>
          <cell r="M12">
            <v>3000</v>
          </cell>
          <cell r="N12">
            <v>3000</v>
          </cell>
          <cell r="O12">
            <v>3000</v>
          </cell>
          <cell r="P12">
            <v>3000</v>
          </cell>
          <cell r="Q12">
            <v>3000</v>
          </cell>
          <cell r="R12">
            <v>3000</v>
          </cell>
          <cell r="S12">
            <v>3000</v>
          </cell>
          <cell r="T12">
            <v>3000</v>
          </cell>
          <cell r="U12">
            <v>3000</v>
          </cell>
          <cell r="V12">
            <v>3000</v>
          </cell>
          <cell r="W12">
            <v>3000</v>
          </cell>
          <cell r="X12">
            <v>3000</v>
          </cell>
          <cell r="Y12">
            <v>3000</v>
          </cell>
          <cell r="Z12" t="str">
            <v>TO</v>
          </cell>
          <cell r="AA12">
            <v>3000</v>
          </cell>
          <cell r="AB12">
            <v>3000</v>
          </cell>
        </row>
        <row r="13">
          <cell r="A13" t="str">
            <v>4</v>
          </cell>
          <cell r="B13" t="str">
            <v>S W D  IV</v>
          </cell>
          <cell r="C13">
            <v>10400</v>
          </cell>
          <cell r="D13">
            <v>0</v>
          </cell>
          <cell r="E13" t="str">
            <v>RUSAK (REHAB/EFI)</v>
          </cell>
          <cell r="Q13" t="str">
            <v>EFI]</v>
          </cell>
          <cell r="R13">
            <v>8500</v>
          </cell>
          <cell r="S13">
            <v>8500</v>
          </cell>
          <cell r="T13">
            <v>8500</v>
          </cell>
          <cell r="U13">
            <v>8500</v>
          </cell>
          <cell r="V13">
            <v>8500</v>
          </cell>
          <cell r="W13">
            <v>8500</v>
          </cell>
          <cell r="X13">
            <v>8500</v>
          </cell>
          <cell r="Y13">
            <v>8500</v>
          </cell>
          <cell r="Z13">
            <v>8500</v>
          </cell>
          <cell r="AA13" t="str">
            <v>TO</v>
          </cell>
          <cell r="AB13">
            <v>8500</v>
          </cell>
        </row>
        <row r="14">
          <cell r="A14" t="str">
            <v>5</v>
          </cell>
          <cell r="B14" t="str">
            <v>SULZER I</v>
          </cell>
          <cell r="C14">
            <v>6300</v>
          </cell>
          <cell r="D14">
            <v>4500</v>
          </cell>
          <cell r="E14">
            <v>2600</v>
          </cell>
          <cell r="F14">
            <v>2600</v>
          </cell>
          <cell r="G14">
            <v>2600</v>
          </cell>
          <cell r="H14">
            <v>3500</v>
          </cell>
          <cell r="I14">
            <v>4200</v>
          </cell>
          <cell r="J14">
            <v>4500</v>
          </cell>
          <cell r="K14">
            <v>4500</v>
          </cell>
          <cell r="L14">
            <v>4500</v>
          </cell>
          <cell r="M14">
            <v>4500</v>
          </cell>
          <cell r="N14">
            <v>4500</v>
          </cell>
          <cell r="O14">
            <v>4500</v>
          </cell>
          <cell r="P14">
            <v>4500</v>
          </cell>
          <cell r="Q14">
            <v>4500</v>
          </cell>
          <cell r="R14">
            <v>4500</v>
          </cell>
          <cell r="S14" t="str">
            <v>SO</v>
          </cell>
          <cell r="T14">
            <v>5000</v>
          </cell>
          <cell r="U14">
            <v>5000</v>
          </cell>
          <cell r="V14">
            <v>5000</v>
          </cell>
          <cell r="W14">
            <v>5000</v>
          </cell>
          <cell r="X14" t="str">
            <v>MO</v>
          </cell>
          <cell r="Y14">
            <v>5000</v>
          </cell>
          <cell r="Z14">
            <v>5000</v>
          </cell>
          <cell r="AA14">
            <v>5000</v>
          </cell>
          <cell r="AB14">
            <v>5000</v>
          </cell>
        </row>
        <row r="15">
          <cell r="A15" t="str">
            <v>6</v>
          </cell>
          <cell r="B15" t="str">
            <v>SULZER II</v>
          </cell>
          <cell r="C15">
            <v>6300</v>
          </cell>
          <cell r="D15">
            <v>5500</v>
          </cell>
          <cell r="E15">
            <v>5500</v>
          </cell>
          <cell r="F15">
            <v>5500</v>
          </cell>
          <cell r="G15">
            <v>5500</v>
          </cell>
          <cell r="H15">
            <v>5500</v>
          </cell>
          <cell r="I15">
            <v>5500</v>
          </cell>
          <cell r="J15">
            <v>5500</v>
          </cell>
          <cell r="K15">
            <v>5500</v>
          </cell>
          <cell r="L15">
            <v>5500</v>
          </cell>
          <cell r="M15">
            <v>5500</v>
          </cell>
          <cell r="N15">
            <v>5500</v>
          </cell>
          <cell r="O15">
            <v>5500</v>
          </cell>
          <cell r="P15">
            <v>5500</v>
          </cell>
          <cell r="Q15">
            <v>5500</v>
          </cell>
          <cell r="R15" t="str">
            <v>TO</v>
          </cell>
          <cell r="S15">
            <v>5500</v>
          </cell>
          <cell r="T15">
            <v>5500</v>
          </cell>
          <cell r="U15">
            <v>5500</v>
          </cell>
          <cell r="V15">
            <v>5500</v>
          </cell>
          <cell r="W15" t="str">
            <v>SO</v>
          </cell>
          <cell r="X15">
            <v>5500</v>
          </cell>
          <cell r="Y15">
            <v>5500</v>
          </cell>
          <cell r="Z15">
            <v>5500</v>
          </cell>
          <cell r="AA15">
            <v>5500</v>
          </cell>
          <cell r="AB15">
            <v>5500</v>
          </cell>
        </row>
        <row r="16">
          <cell r="B16" t="str">
            <v>TOTAL SIANTAN</v>
          </cell>
          <cell r="C16">
            <v>35000</v>
          </cell>
          <cell r="D16">
            <v>16000</v>
          </cell>
          <cell r="E16">
            <v>13200</v>
          </cell>
          <cell r="F16">
            <v>13200</v>
          </cell>
          <cell r="G16">
            <v>13200</v>
          </cell>
          <cell r="H16">
            <v>11600</v>
          </cell>
          <cell r="I16">
            <v>12300</v>
          </cell>
          <cell r="J16">
            <v>12600</v>
          </cell>
          <cell r="K16">
            <v>12600</v>
          </cell>
          <cell r="L16">
            <v>12600</v>
          </cell>
          <cell r="M16">
            <v>15600</v>
          </cell>
          <cell r="N16">
            <v>13000</v>
          </cell>
          <cell r="O16">
            <v>16000</v>
          </cell>
          <cell r="P16">
            <v>16000</v>
          </cell>
          <cell r="Q16">
            <v>16000</v>
          </cell>
          <cell r="R16">
            <v>19000</v>
          </cell>
          <cell r="S16">
            <v>20000</v>
          </cell>
          <cell r="T16">
            <v>25000</v>
          </cell>
          <cell r="U16">
            <v>28000</v>
          </cell>
          <cell r="V16">
            <v>28000</v>
          </cell>
          <cell r="W16">
            <v>22500</v>
          </cell>
          <cell r="X16">
            <v>23000</v>
          </cell>
          <cell r="Y16">
            <v>25000</v>
          </cell>
          <cell r="Z16">
            <v>25000</v>
          </cell>
          <cell r="AA16">
            <v>19500</v>
          </cell>
          <cell r="AB16">
            <v>28000</v>
          </cell>
        </row>
        <row r="18">
          <cell r="B18" t="str">
            <v>PLTD RENTAL</v>
          </cell>
          <cell r="C18" t="str">
            <v>(DAYA SESUAI KONTRAK)</v>
          </cell>
        </row>
        <row r="19">
          <cell r="A19" t="str">
            <v>1</v>
          </cell>
          <cell r="B19" t="str">
            <v>PT. IND.POWER</v>
          </cell>
          <cell r="C19">
            <v>8500</v>
          </cell>
          <cell r="D19">
            <v>8500</v>
          </cell>
          <cell r="E19">
            <v>8500</v>
          </cell>
          <cell r="F19">
            <v>8500</v>
          </cell>
          <cell r="G19">
            <v>8500</v>
          </cell>
          <cell r="H19">
            <v>8500</v>
          </cell>
          <cell r="I19">
            <v>8500</v>
          </cell>
          <cell r="J19">
            <v>8500</v>
          </cell>
          <cell r="K19">
            <v>6000</v>
          </cell>
          <cell r="L19">
            <v>6000</v>
          </cell>
          <cell r="M19">
            <v>6000</v>
          </cell>
          <cell r="N19">
            <v>8500</v>
          </cell>
          <cell r="O19">
            <v>8500</v>
          </cell>
          <cell r="P19">
            <v>8500</v>
          </cell>
          <cell r="Q19">
            <v>8500</v>
          </cell>
          <cell r="R19">
            <v>8500</v>
          </cell>
          <cell r="S19">
            <v>8500</v>
          </cell>
          <cell r="T19">
            <v>8500</v>
          </cell>
          <cell r="U19">
            <v>8500</v>
          </cell>
          <cell r="V19">
            <v>8500</v>
          </cell>
          <cell r="W19">
            <v>8500</v>
          </cell>
          <cell r="X19">
            <v>8500</v>
          </cell>
          <cell r="Y19">
            <v>8500</v>
          </cell>
          <cell r="Z19">
            <v>8500</v>
          </cell>
          <cell r="AA19">
            <v>8500</v>
          </cell>
          <cell r="AB19">
            <v>8500</v>
          </cell>
        </row>
        <row r="20">
          <cell r="A20" t="str">
            <v>2</v>
          </cell>
          <cell r="B20" t="str">
            <v>PT. S.SEWATAMA</v>
          </cell>
          <cell r="C20">
            <v>10000</v>
          </cell>
          <cell r="D20">
            <v>10000</v>
          </cell>
          <cell r="E20" t="str">
            <v/>
          </cell>
          <cell r="O20">
            <v>10000</v>
          </cell>
          <cell r="P20">
            <v>10000</v>
          </cell>
          <cell r="Q20">
            <v>10000</v>
          </cell>
          <cell r="R20">
            <v>10000</v>
          </cell>
          <cell r="S20">
            <v>10000</v>
          </cell>
          <cell r="T20">
            <v>10000</v>
          </cell>
          <cell r="U20">
            <v>10000</v>
          </cell>
          <cell r="V20">
            <v>10000</v>
          </cell>
          <cell r="W20">
            <v>10000</v>
          </cell>
          <cell r="X20">
            <v>10000</v>
          </cell>
          <cell r="Y20">
            <v>10000</v>
          </cell>
          <cell r="Z20">
            <v>10000</v>
          </cell>
          <cell r="AA20">
            <v>10000</v>
          </cell>
          <cell r="AB20">
            <v>10000</v>
          </cell>
        </row>
        <row r="21">
          <cell r="B21" t="str">
            <v>TOTAL RENTAL</v>
          </cell>
          <cell r="C21">
            <v>18500</v>
          </cell>
          <cell r="D21">
            <v>18500</v>
          </cell>
          <cell r="E21">
            <v>8500</v>
          </cell>
          <cell r="F21">
            <v>8500</v>
          </cell>
          <cell r="G21">
            <v>8500</v>
          </cell>
          <cell r="H21">
            <v>8500</v>
          </cell>
          <cell r="I21">
            <v>8500</v>
          </cell>
          <cell r="J21">
            <v>8500</v>
          </cell>
          <cell r="K21">
            <v>6000</v>
          </cell>
          <cell r="L21">
            <v>6000</v>
          </cell>
          <cell r="M21">
            <v>6000</v>
          </cell>
          <cell r="N21">
            <v>8500</v>
          </cell>
          <cell r="O21">
            <v>18500</v>
          </cell>
          <cell r="P21">
            <v>18500</v>
          </cell>
          <cell r="Q21">
            <v>18500</v>
          </cell>
          <cell r="R21">
            <v>18500</v>
          </cell>
          <cell r="S21">
            <v>18500</v>
          </cell>
          <cell r="T21">
            <v>18500</v>
          </cell>
          <cell r="U21">
            <v>18500</v>
          </cell>
          <cell r="V21">
            <v>18500</v>
          </cell>
          <cell r="W21">
            <v>18500</v>
          </cell>
          <cell r="X21">
            <v>18500</v>
          </cell>
          <cell r="Y21">
            <v>18500</v>
          </cell>
          <cell r="Z21">
            <v>18500</v>
          </cell>
          <cell r="AA21">
            <v>18500</v>
          </cell>
          <cell r="AB21">
            <v>18500</v>
          </cell>
        </row>
        <row r="23">
          <cell r="A23" t="str">
            <v>1</v>
          </cell>
          <cell r="B23" t="str">
            <v>PLTG SIANTAN</v>
          </cell>
          <cell r="C23">
            <v>34000</v>
          </cell>
          <cell r="D23">
            <v>28000</v>
          </cell>
          <cell r="E23">
            <v>28000</v>
          </cell>
          <cell r="F23">
            <v>28000</v>
          </cell>
          <cell r="G23">
            <v>28000</v>
          </cell>
          <cell r="H23">
            <v>28000</v>
          </cell>
          <cell r="I23">
            <v>28000</v>
          </cell>
          <cell r="J23">
            <v>28000</v>
          </cell>
          <cell r="K23">
            <v>28000</v>
          </cell>
          <cell r="L23">
            <v>28000</v>
          </cell>
          <cell r="M23">
            <v>28000</v>
          </cell>
          <cell r="N23">
            <v>28000</v>
          </cell>
          <cell r="O23">
            <v>28000</v>
          </cell>
          <cell r="P23">
            <v>28000</v>
          </cell>
          <cell r="Q23" t="str">
            <v>CI plus</v>
          </cell>
          <cell r="R23">
            <v>28000</v>
          </cell>
          <cell r="S23">
            <v>28000</v>
          </cell>
          <cell r="T23">
            <v>28000</v>
          </cell>
          <cell r="U23">
            <v>28000</v>
          </cell>
          <cell r="V23">
            <v>28000</v>
          </cell>
          <cell r="W23">
            <v>28000</v>
          </cell>
          <cell r="X23">
            <v>28000</v>
          </cell>
          <cell r="Y23">
            <v>28000</v>
          </cell>
          <cell r="Z23">
            <v>28000</v>
          </cell>
          <cell r="AA23">
            <v>28000</v>
          </cell>
          <cell r="AB23" t="str">
            <v>MI</v>
          </cell>
        </row>
        <row r="24">
          <cell r="A24" t="str">
            <v>2</v>
          </cell>
          <cell r="B24" t="str">
            <v>RENC. RELOK. PLTG</v>
          </cell>
          <cell r="C24">
            <v>20000</v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  <cell r="V24" t="str">
            <v/>
          </cell>
          <cell r="W24" t="str">
            <v/>
          </cell>
          <cell r="X24" t="str">
            <v/>
          </cell>
          <cell r="Y24">
            <v>18000</v>
          </cell>
          <cell r="Z24">
            <v>18000</v>
          </cell>
          <cell r="AA24">
            <v>18000</v>
          </cell>
          <cell r="AB24">
            <v>18000</v>
          </cell>
        </row>
        <row r="25">
          <cell r="B25" t="str">
            <v>PLTD SEI RAYA</v>
          </cell>
          <cell r="C25" t="str">
            <v/>
          </cell>
        </row>
        <row r="26">
          <cell r="A26" t="str">
            <v>1</v>
          </cell>
          <cell r="B26" t="str">
            <v>S W D  I</v>
          </cell>
          <cell r="C26">
            <v>8800</v>
          </cell>
          <cell r="D26">
            <v>7500</v>
          </cell>
          <cell r="E26">
            <v>7000</v>
          </cell>
          <cell r="F26">
            <v>7500</v>
          </cell>
          <cell r="G26">
            <v>7500</v>
          </cell>
          <cell r="H26" t="str">
            <v>RUSAK</v>
          </cell>
          <cell r="I26">
            <v>7500</v>
          </cell>
          <cell r="J26">
            <v>7500</v>
          </cell>
          <cell r="K26" t="str">
            <v>TO/EFI</v>
          </cell>
          <cell r="L26">
            <v>7500</v>
          </cell>
          <cell r="M26">
            <v>7500</v>
          </cell>
          <cell r="N26">
            <v>7500</v>
          </cell>
          <cell r="O26">
            <v>7500</v>
          </cell>
          <cell r="P26">
            <v>7500</v>
          </cell>
          <cell r="Q26">
            <v>7500</v>
          </cell>
          <cell r="R26">
            <v>7500</v>
          </cell>
          <cell r="S26">
            <v>7500</v>
          </cell>
          <cell r="T26">
            <v>7500</v>
          </cell>
          <cell r="U26">
            <v>7500</v>
          </cell>
          <cell r="V26">
            <v>7500</v>
          </cell>
          <cell r="W26" t="str">
            <v>SO/TMC</v>
          </cell>
          <cell r="X26">
            <v>7500</v>
          </cell>
          <cell r="Y26">
            <v>7500</v>
          </cell>
          <cell r="Z26">
            <v>7500</v>
          </cell>
          <cell r="AA26">
            <v>7500</v>
          </cell>
          <cell r="AB26">
            <v>7500</v>
          </cell>
        </row>
        <row r="27">
          <cell r="A27" t="str">
            <v>2</v>
          </cell>
          <cell r="B27" t="str">
            <v>S W D  II</v>
          </cell>
          <cell r="C27">
            <v>8800</v>
          </cell>
          <cell r="D27">
            <v>7500</v>
          </cell>
          <cell r="E27">
            <v>7000</v>
          </cell>
          <cell r="F27">
            <v>7000</v>
          </cell>
          <cell r="G27">
            <v>7500</v>
          </cell>
          <cell r="H27">
            <v>7500</v>
          </cell>
          <cell r="I27" t="str">
            <v>TO/EFI</v>
          </cell>
          <cell r="J27">
            <v>7500</v>
          </cell>
          <cell r="K27">
            <v>7500</v>
          </cell>
          <cell r="L27">
            <v>7500</v>
          </cell>
          <cell r="M27">
            <v>7500</v>
          </cell>
          <cell r="N27">
            <v>7500</v>
          </cell>
          <cell r="O27">
            <v>7500</v>
          </cell>
          <cell r="P27">
            <v>7500</v>
          </cell>
          <cell r="Q27">
            <v>7500</v>
          </cell>
          <cell r="R27">
            <v>7500</v>
          </cell>
          <cell r="S27">
            <v>7500</v>
          </cell>
          <cell r="T27" t="str">
            <v>TO/TMC</v>
          </cell>
          <cell r="U27">
            <v>7500</v>
          </cell>
          <cell r="V27">
            <v>7500</v>
          </cell>
          <cell r="W27">
            <v>7500</v>
          </cell>
          <cell r="X27">
            <v>7500</v>
          </cell>
          <cell r="Y27">
            <v>7500</v>
          </cell>
          <cell r="Z27">
            <v>7500</v>
          </cell>
          <cell r="AA27">
            <v>7500</v>
          </cell>
          <cell r="AB27">
            <v>7500</v>
          </cell>
        </row>
        <row r="28">
          <cell r="A28" t="str">
            <v>3</v>
          </cell>
          <cell r="B28" t="str">
            <v>S W D  III</v>
          </cell>
          <cell r="C28">
            <v>8800</v>
          </cell>
          <cell r="D28">
            <v>7500</v>
          </cell>
          <cell r="E28">
            <v>7500</v>
          </cell>
          <cell r="F28" t="str">
            <v>RUSAK/EFI</v>
          </cell>
          <cell r="H28">
            <v>7500</v>
          </cell>
          <cell r="I28">
            <v>7500</v>
          </cell>
          <cell r="J28">
            <v>7500</v>
          </cell>
          <cell r="K28">
            <v>7500</v>
          </cell>
          <cell r="L28">
            <v>7500</v>
          </cell>
          <cell r="M28">
            <v>7500</v>
          </cell>
          <cell r="N28">
            <v>7500</v>
          </cell>
          <cell r="O28">
            <v>7500</v>
          </cell>
          <cell r="P28">
            <v>7500</v>
          </cell>
          <cell r="Q28">
            <v>7500</v>
          </cell>
          <cell r="R28">
            <v>7500</v>
          </cell>
          <cell r="S28" t="str">
            <v>TO/TMC</v>
          </cell>
          <cell r="T28">
            <v>7500</v>
          </cell>
          <cell r="U28">
            <v>7500</v>
          </cell>
          <cell r="V28">
            <v>7500</v>
          </cell>
          <cell r="W28">
            <v>7500</v>
          </cell>
          <cell r="X28">
            <v>7500</v>
          </cell>
          <cell r="Y28">
            <v>7500</v>
          </cell>
          <cell r="Z28">
            <v>7500</v>
          </cell>
          <cell r="AA28">
            <v>7500</v>
          </cell>
          <cell r="AB28">
            <v>7500</v>
          </cell>
        </row>
        <row r="29">
          <cell r="A29" t="str">
            <v>4</v>
          </cell>
          <cell r="B29" t="str">
            <v>S W D  IV</v>
          </cell>
          <cell r="C29">
            <v>8800</v>
          </cell>
          <cell r="D29">
            <v>7500</v>
          </cell>
          <cell r="E29">
            <v>7500</v>
          </cell>
          <cell r="F29">
            <v>7500</v>
          </cell>
          <cell r="G29">
            <v>7500</v>
          </cell>
          <cell r="H29">
            <v>7500</v>
          </cell>
          <cell r="I29">
            <v>7500</v>
          </cell>
          <cell r="J29">
            <v>7500</v>
          </cell>
          <cell r="K29">
            <v>7500</v>
          </cell>
          <cell r="L29">
            <v>7500</v>
          </cell>
          <cell r="M29">
            <v>7500</v>
          </cell>
          <cell r="N29">
            <v>7500</v>
          </cell>
          <cell r="O29">
            <v>7500</v>
          </cell>
          <cell r="P29">
            <v>7500</v>
          </cell>
          <cell r="Q29">
            <v>7500</v>
          </cell>
          <cell r="R29" t="str">
            <v>TO/TMC</v>
          </cell>
          <cell r="S29">
            <v>7500</v>
          </cell>
          <cell r="T29">
            <v>7500</v>
          </cell>
          <cell r="U29">
            <v>7500</v>
          </cell>
          <cell r="V29">
            <v>7500</v>
          </cell>
          <cell r="W29">
            <v>7500</v>
          </cell>
          <cell r="X29">
            <v>7500</v>
          </cell>
          <cell r="Y29">
            <v>7500</v>
          </cell>
          <cell r="Z29">
            <v>7500</v>
          </cell>
          <cell r="AA29">
            <v>7500</v>
          </cell>
          <cell r="AB29">
            <v>7500</v>
          </cell>
        </row>
        <row r="30">
          <cell r="A30" t="str">
            <v>5</v>
          </cell>
          <cell r="B30" t="str">
            <v>SULZER I</v>
          </cell>
          <cell r="C30">
            <v>7600</v>
          </cell>
          <cell r="D30">
            <v>0</v>
          </cell>
          <cell r="E30">
            <v>5000</v>
          </cell>
          <cell r="F30">
            <v>5000</v>
          </cell>
          <cell r="G30" t="str">
            <v>RUSAK COUNTER WEIGHT 15/3/01 (REHAB TMC)</v>
          </cell>
          <cell r="P30">
            <v>6500</v>
          </cell>
          <cell r="Q30">
            <v>6500</v>
          </cell>
          <cell r="R30">
            <v>6500</v>
          </cell>
          <cell r="S30">
            <v>6500</v>
          </cell>
          <cell r="T30">
            <v>6500</v>
          </cell>
          <cell r="U30">
            <v>6500</v>
          </cell>
          <cell r="V30" t="str">
            <v>TO/TMC</v>
          </cell>
          <cell r="W30">
            <v>6500</v>
          </cell>
          <cell r="X30">
            <v>6500</v>
          </cell>
          <cell r="Y30">
            <v>6500</v>
          </cell>
          <cell r="Z30">
            <v>6500</v>
          </cell>
          <cell r="AA30">
            <v>6500</v>
          </cell>
          <cell r="AB30">
            <v>6500</v>
          </cell>
        </row>
        <row r="31">
          <cell r="A31" t="str">
            <v>6</v>
          </cell>
          <cell r="B31" t="str">
            <v>SULZER II</v>
          </cell>
          <cell r="C31">
            <v>7600</v>
          </cell>
          <cell r="D31">
            <v>6500</v>
          </cell>
          <cell r="E31">
            <v>4500</v>
          </cell>
          <cell r="F31">
            <v>4500</v>
          </cell>
          <cell r="G31">
            <v>4500</v>
          </cell>
          <cell r="H31">
            <v>4500</v>
          </cell>
          <cell r="I31">
            <v>4500</v>
          </cell>
          <cell r="J31" t="str">
            <v>MO</v>
          </cell>
          <cell r="L31">
            <v>6500</v>
          </cell>
          <cell r="M31">
            <v>6500</v>
          </cell>
          <cell r="N31">
            <v>6500</v>
          </cell>
          <cell r="O31">
            <v>6500</v>
          </cell>
          <cell r="P31">
            <v>6500</v>
          </cell>
          <cell r="Q31">
            <v>6500</v>
          </cell>
          <cell r="R31">
            <v>6500</v>
          </cell>
          <cell r="S31">
            <v>6500</v>
          </cell>
          <cell r="T31">
            <v>6500</v>
          </cell>
          <cell r="U31" t="str">
            <v>TO/TMC</v>
          </cell>
          <cell r="V31">
            <v>6500</v>
          </cell>
          <cell r="W31">
            <v>6500</v>
          </cell>
          <cell r="X31">
            <v>6500</v>
          </cell>
          <cell r="Y31">
            <v>6500</v>
          </cell>
          <cell r="Z31">
            <v>6500</v>
          </cell>
          <cell r="AA31">
            <v>6500</v>
          </cell>
          <cell r="AB31">
            <v>6500</v>
          </cell>
        </row>
        <row r="32">
          <cell r="A32">
            <v>1</v>
          </cell>
          <cell r="B32" t="str">
            <v>PLTD APUNG</v>
          </cell>
          <cell r="C32">
            <v>10000</v>
          </cell>
          <cell r="D32">
            <v>8500</v>
          </cell>
          <cell r="E32" t="str">
            <v>RUSAK/GRINDING 24/8/00</v>
          </cell>
          <cell r="I32">
            <v>8500</v>
          </cell>
          <cell r="J32">
            <v>8500</v>
          </cell>
          <cell r="K32">
            <v>8500</v>
          </cell>
          <cell r="L32">
            <v>8500</v>
          </cell>
          <cell r="M32">
            <v>8500</v>
          </cell>
          <cell r="N32">
            <v>8500</v>
          </cell>
          <cell r="O32">
            <v>8500</v>
          </cell>
          <cell r="P32">
            <v>8500</v>
          </cell>
          <cell r="Q32">
            <v>8000</v>
          </cell>
          <cell r="R32">
            <v>8000</v>
          </cell>
          <cell r="S32">
            <v>8000</v>
          </cell>
          <cell r="T32">
            <v>8000</v>
          </cell>
          <cell r="U32">
            <v>8000</v>
          </cell>
          <cell r="V32">
            <v>8000</v>
          </cell>
          <cell r="W32">
            <v>8000</v>
          </cell>
          <cell r="X32">
            <v>8000</v>
          </cell>
          <cell r="Y32">
            <v>8000</v>
          </cell>
          <cell r="Z32">
            <v>8000</v>
          </cell>
          <cell r="AA32">
            <v>8000</v>
          </cell>
          <cell r="AB32">
            <v>8000</v>
          </cell>
        </row>
        <row r="33">
          <cell r="B33" t="str">
            <v>TOTAL SEI RAYA</v>
          </cell>
          <cell r="C33">
            <v>60400</v>
          </cell>
          <cell r="D33">
            <v>45000</v>
          </cell>
          <cell r="E33">
            <v>38500</v>
          </cell>
          <cell r="F33">
            <v>31500</v>
          </cell>
          <cell r="G33">
            <v>27000</v>
          </cell>
          <cell r="H33">
            <v>27000</v>
          </cell>
          <cell r="I33">
            <v>35500</v>
          </cell>
          <cell r="J33">
            <v>38500</v>
          </cell>
          <cell r="K33">
            <v>31000</v>
          </cell>
          <cell r="L33">
            <v>45000</v>
          </cell>
          <cell r="M33">
            <v>45000</v>
          </cell>
          <cell r="N33">
            <v>45000</v>
          </cell>
          <cell r="O33">
            <v>45000</v>
          </cell>
          <cell r="P33">
            <v>51500</v>
          </cell>
          <cell r="Q33">
            <v>51000</v>
          </cell>
          <cell r="R33">
            <v>43500</v>
          </cell>
          <cell r="S33">
            <v>43500</v>
          </cell>
          <cell r="T33">
            <v>43500</v>
          </cell>
          <cell r="U33">
            <v>44500</v>
          </cell>
          <cell r="V33">
            <v>44500</v>
          </cell>
          <cell r="W33">
            <v>43500</v>
          </cell>
          <cell r="X33">
            <v>51000</v>
          </cell>
          <cell r="Y33">
            <v>51000</v>
          </cell>
          <cell r="Z33">
            <v>51000</v>
          </cell>
          <cell r="AA33">
            <v>51000</v>
          </cell>
          <cell r="AB33">
            <v>51000</v>
          </cell>
        </row>
        <row r="35">
          <cell r="B35" t="str">
            <v>TOTAL SEKTOR</v>
          </cell>
          <cell r="C35">
            <v>147900</v>
          </cell>
          <cell r="D35">
            <v>107500</v>
          </cell>
          <cell r="E35">
            <v>88200</v>
          </cell>
          <cell r="F35">
            <v>81200</v>
          </cell>
          <cell r="G35">
            <v>76700</v>
          </cell>
          <cell r="H35">
            <v>75100</v>
          </cell>
          <cell r="I35">
            <v>84300</v>
          </cell>
          <cell r="J35">
            <v>87600</v>
          </cell>
          <cell r="K35">
            <v>77600</v>
          </cell>
          <cell r="L35">
            <v>91600</v>
          </cell>
          <cell r="M35">
            <v>94600</v>
          </cell>
          <cell r="N35">
            <v>94500</v>
          </cell>
          <cell r="O35">
            <v>107500</v>
          </cell>
          <cell r="P35">
            <v>114000</v>
          </cell>
          <cell r="Q35">
            <v>85500</v>
          </cell>
          <cell r="R35">
            <v>109000</v>
          </cell>
          <cell r="S35">
            <v>110000</v>
          </cell>
          <cell r="T35">
            <v>115000</v>
          </cell>
          <cell r="U35">
            <v>119000</v>
          </cell>
          <cell r="V35">
            <v>119000</v>
          </cell>
          <cell r="W35">
            <v>112500</v>
          </cell>
          <cell r="X35">
            <v>120500</v>
          </cell>
          <cell r="Y35">
            <v>140500</v>
          </cell>
          <cell r="Z35">
            <v>140500</v>
          </cell>
          <cell r="AA35">
            <v>135000</v>
          </cell>
          <cell r="AB35">
            <v>115500</v>
          </cell>
        </row>
        <row r="36">
          <cell r="B36" t="str">
            <v>PRAKIRAAN BEBAN PUNCAK SIANG</v>
          </cell>
          <cell r="E36">
            <v>64000</v>
          </cell>
          <cell r="F36">
            <v>64128</v>
          </cell>
          <cell r="G36">
            <v>64256.256000000001</v>
          </cell>
          <cell r="H36">
            <v>64384.768512000002</v>
          </cell>
          <cell r="I36">
            <v>64513.538049024006</v>
          </cell>
          <cell r="J36">
            <v>64642.565125122055</v>
          </cell>
          <cell r="K36">
            <v>64771.850255372301</v>
          </cell>
          <cell r="L36">
            <v>64901.393955883046</v>
          </cell>
          <cell r="M36">
            <v>65031.196743794811</v>
          </cell>
          <cell r="N36">
            <v>65161.259137282403</v>
          </cell>
          <cell r="O36">
            <v>65291.581655556969</v>
          </cell>
          <cell r="P36">
            <v>65422.164818868085</v>
          </cell>
          <cell r="Q36">
            <v>65553.009148505822</v>
          </cell>
          <cell r="R36">
            <v>65684.115166802832</v>
          </cell>
          <cell r="S36">
            <v>65815.483397136442</v>
          </cell>
          <cell r="T36">
            <v>65947.114363930712</v>
          </cell>
          <cell r="U36">
            <v>66079.008592658574</v>
          </cell>
          <cell r="V36">
            <v>66211.166609843887</v>
          </cell>
          <cell r="W36">
            <v>66343.588943063573</v>
          </cell>
          <cell r="X36">
            <v>66476.276120949697</v>
          </cell>
          <cell r="Y36">
            <v>66609.228673191596</v>
          </cell>
          <cell r="Z36">
            <v>66742.447130537985</v>
          </cell>
          <cell r="AA36">
            <v>66875.932024799054</v>
          </cell>
          <cell r="AB36">
            <v>67009.683888848653</v>
          </cell>
        </row>
        <row r="37">
          <cell r="B37" t="str">
            <v>PRAKIRAAN BEBAN PUNCAK MALAM</v>
          </cell>
          <cell r="E37">
            <v>84000</v>
          </cell>
          <cell r="F37">
            <v>84168</v>
          </cell>
          <cell r="G37">
            <v>84336.335999999996</v>
          </cell>
          <cell r="H37">
            <v>85000</v>
          </cell>
          <cell r="I37">
            <v>85170</v>
          </cell>
          <cell r="J37">
            <v>85340.34</v>
          </cell>
          <cell r="K37">
            <v>85511.020680000001</v>
          </cell>
          <cell r="L37">
            <v>85682.042721360005</v>
          </cell>
          <cell r="M37">
            <v>85853.406806802726</v>
          </cell>
          <cell r="N37">
            <v>87000</v>
          </cell>
          <cell r="O37">
            <v>89000</v>
          </cell>
          <cell r="P37">
            <v>94000</v>
          </cell>
          <cell r="Q37">
            <v>94188</v>
          </cell>
          <cell r="R37">
            <v>94376.376000000004</v>
          </cell>
          <cell r="S37">
            <v>94565.128752000004</v>
          </cell>
          <cell r="T37">
            <v>94754.259009504007</v>
          </cell>
          <cell r="U37">
            <v>94943.767527523014</v>
          </cell>
          <cell r="V37">
            <v>95133.655062578066</v>
          </cell>
          <cell r="W37">
            <v>95323.922372703222</v>
          </cell>
          <cell r="X37">
            <v>95514.570217448636</v>
          </cell>
          <cell r="Y37">
            <v>95705.599357883533</v>
          </cell>
          <cell r="Z37">
            <v>95897.0105565993</v>
          </cell>
          <cell r="AA37">
            <v>96088.804577712493</v>
          </cell>
          <cell r="AB37">
            <v>96280.982186867914</v>
          </cell>
        </row>
        <row r="38">
          <cell r="B38" t="str">
            <v>PEMELIHARAAN (PREVENTIF)</v>
          </cell>
          <cell r="E38">
            <v>7500</v>
          </cell>
          <cell r="F38">
            <v>7500</v>
          </cell>
          <cell r="G38">
            <v>7500</v>
          </cell>
          <cell r="H38">
            <v>7500</v>
          </cell>
          <cell r="I38">
            <v>7500</v>
          </cell>
          <cell r="J38">
            <v>7500</v>
          </cell>
          <cell r="K38">
            <v>7500</v>
          </cell>
          <cell r="L38">
            <v>7500</v>
          </cell>
          <cell r="M38">
            <v>7500</v>
          </cell>
          <cell r="N38">
            <v>7500</v>
          </cell>
          <cell r="O38">
            <v>7500</v>
          </cell>
          <cell r="P38">
            <v>7500</v>
          </cell>
          <cell r="Q38">
            <v>7500</v>
          </cell>
          <cell r="R38">
            <v>7500</v>
          </cell>
          <cell r="S38">
            <v>7500</v>
          </cell>
          <cell r="T38">
            <v>7500</v>
          </cell>
          <cell r="U38">
            <v>7500</v>
          </cell>
          <cell r="V38">
            <v>7500</v>
          </cell>
          <cell r="W38">
            <v>7500</v>
          </cell>
          <cell r="X38">
            <v>7500</v>
          </cell>
          <cell r="Y38">
            <v>7500</v>
          </cell>
          <cell r="Z38">
            <v>7500</v>
          </cell>
          <cell r="AA38">
            <v>7500</v>
          </cell>
          <cell r="AB38">
            <v>7500</v>
          </cell>
        </row>
        <row r="39">
          <cell r="B39" t="str">
            <v>GANGGUAN UNIT TERBESAR</v>
          </cell>
          <cell r="E39">
            <v>28000</v>
          </cell>
          <cell r="F39">
            <v>28000</v>
          </cell>
          <cell r="G39">
            <v>28000</v>
          </cell>
          <cell r="H39">
            <v>28000</v>
          </cell>
          <cell r="I39">
            <v>28000</v>
          </cell>
          <cell r="J39">
            <v>28000</v>
          </cell>
          <cell r="K39">
            <v>28000</v>
          </cell>
          <cell r="L39">
            <v>28000</v>
          </cell>
          <cell r="M39">
            <v>28000</v>
          </cell>
          <cell r="N39">
            <v>28000</v>
          </cell>
          <cell r="O39">
            <v>28000</v>
          </cell>
          <cell r="P39">
            <v>28000</v>
          </cell>
          <cell r="Q39">
            <v>7500</v>
          </cell>
          <cell r="R39">
            <v>28000</v>
          </cell>
          <cell r="S39">
            <v>28000</v>
          </cell>
          <cell r="T39">
            <v>28000</v>
          </cell>
          <cell r="U39">
            <v>28000</v>
          </cell>
          <cell r="V39">
            <v>28000</v>
          </cell>
          <cell r="W39">
            <v>28000</v>
          </cell>
          <cell r="X39">
            <v>28000</v>
          </cell>
          <cell r="Y39">
            <v>28000</v>
          </cell>
          <cell r="Z39">
            <v>18000</v>
          </cell>
          <cell r="AA39">
            <v>30000</v>
          </cell>
          <cell r="AB39">
            <v>30000</v>
          </cell>
        </row>
        <row r="40">
          <cell r="A40" t="str">
            <v/>
          </cell>
          <cell r="B40" t="str">
            <v>CADANGAN DAYA (PASTI) MALAM</v>
          </cell>
          <cell r="E40">
            <v>4200</v>
          </cell>
          <cell r="F40">
            <v>-2968</v>
          </cell>
          <cell r="G40">
            <v>-7636.3359999999957</v>
          </cell>
          <cell r="H40">
            <v>-9900</v>
          </cell>
          <cell r="I40">
            <v>-870</v>
          </cell>
          <cell r="J40">
            <v>2259.6600000000035</v>
          </cell>
          <cell r="K40">
            <v>-7911.0206800000014</v>
          </cell>
          <cell r="L40">
            <v>5917.9572786399949</v>
          </cell>
          <cell r="M40">
            <v>8746.5931931972736</v>
          </cell>
          <cell r="N40">
            <v>7500</v>
          </cell>
          <cell r="O40">
            <v>18500</v>
          </cell>
          <cell r="P40">
            <v>20000</v>
          </cell>
          <cell r="Q40">
            <v>-8688</v>
          </cell>
          <cell r="R40">
            <v>14623.623999999996</v>
          </cell>
          <cell r="S40">
            <v>15434.871247999996</v>
          </cell>
          <cell r="T40">
            <v>20245.740990495993</v>
          </cell>
          <cell r="U40">
            <v>24056.232472476986</v>
          </cell>
          <cell r="V40">
            <v>23866.344937421934</v>
          </cell>
          <cell r="W40">
            <v>17176.077627296778</v>
          </cell>
          <cell r="X40">
            <v>24985.429782551364</v>
          </cell>
          <cell r="Y40">
            <v>44794.400642116467</v>
          </cell>
          <cell r="Z40">
            <v>44602.9894434007</v>
          </cell>
          <cell r="AA40">
            <v>38911.195422287507</v>
          </cell>
          <cell r="AB40">
            <v>19219.017813132086</v>
          </cell>
        </row>
        <row r="41">
          <cell r="A41" t="str">
            <v/>
          </cell>
          <cell r="B41" t="str">
            <v>CADANGAN DAYA (PLUS/MINUS) SIANG</v>
          </cell>
          <cell r="E41">
            <v>-3800</v>
          </cell>
          <cell r="F41">
            <v>-10928</v>
          </cell>
          <cell r="G41">
            <v>-15556.256000000001</v>
          </cell>
          <cell r="H41">
            <v>-17284.768512000002</v>
          </cell>
          <cell r="I41">
            <v>-8213.5380490240059</v>
          </cell>
          <cell r="J41">
            <v>-5042.5651251220552</v>
          </cell>
          <cell r="K41">
            <v>-15171.850255372301</v>
          </cell>
          <cell r="L41">
            <v>-1301.3939558830461</v>
          </cell>
          <cell r="M41">
            <v>1568.8032562051885</v>
          </cell>
          <cell r="N41">
            <v>1338.7408627175973</v>
          </cell>
          <cell r="O41">
            <v>14208.418344443031</v>
          </cell>
          <cell r="P41">
            <v>20577.835181131915</v>
          </cell>
          <cell r="Q41">
            <v>12446.990851494178</v>
          </cell>
          <cell r="R41">
            <v>15315.884833197168</v>
          </cell>
          <cell r="S41">
            <v>16184.516602863558</v>
          </cell>
          <cell r="T41">
            <v>21052.885636069288</v>
          </cell>
          <cell r="U41">
            <v>24920.991407341426</v>
          </cell>
          <cell r="V41">
            <v>24788.833390156113</v>
          </cell>
          <cell r="W41">
            <v>18156.411056936427</v>
          </cell>
          <cell r="X41">
            <v>26023.723879050303</v>
          </cell>
          <cell r="Y41">
            <v>45890.771326808404</v>
          </cell>
          <cell r="Z41">
            <v>55757.552869462015</v>
          </cell>
          <cell r="AA41">
            <v>38124.067975200946</v>
          </cell>
          <cell r="AB41">
            <v>18490.316111151347</v>
          </cell>
        </row>
        <row r="42">
          <cell r="A42" t="str">
            <v/>
          </cell>
          <cell r="B42" t="str">
            <v>CADANGAN DAYA (PLUS/MINUS) MALAM</v>
          </cell>
          <cell r="E42">
            <v>-23800</v>
          </cell>
          <cell r="F42">
            <v>-30968</v>
          </cell>
          <cell r="G42">
            <v>-35636.335999999996</v>
          </cell>
          <cell r="H42">
            <v>-37900</v>
          </cell>
          <cell r="I42">
            <v>-28870</v>
          </cell>
          <cell r="J42">
            <v>-25740.339999999997</v>
          </cell>
          <cell r="K42">
            <v>-35911.020680000001</v>
          </cell>
          <cell r="L42">
            <v>-22082.042721360005</v>
          </cell>
          <cell r="M42">
            <v>-19253.406806802726</v>
          </cell>
          <cell r="N42">
            <v>-20500</v>
          </cell>
          <cell r="O42">
            <v>-9500</v>
          </cell>
          <cell r="P42">
            <v>-8000</v>
          </cell>
          <cell r="Q42">
            <v>-16188</v>
          </cell>
          <cell r="R42">
            <v>-13376.376000000004</v>
          </cell>
          <cell r="S42">
            <v>-12565.128752000004</v>
          </cell>
          <cell r="T42">
            <v>-7754.2590095040068</v>
          </cell>
          <cell r="U42">
            <v>-3943.767527523014</v>
          </cell>
          <cell r="V42">
            <v>-4133.6550625780656</v>
          </cell>
          <cell r="W42">
            <v>-10823.922372703222</v>
          </cell>
          <cell r="X42">
            <v>-3014.570217448636</v>
          </cell>
          <cell r="Y42">
            <v>16794.400642116467</v>
          </cell>
          <cell r="Z42">
            <v>26602.9894434007</v>
          </cell>
          <cell r="AA42">
            <v>8911.1954222875065</v>
          </cell>
          <cell r="AB42">
            <v>-10780.982186867914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n_x0000_"/>
      <sheetName val="DFTR GARDIST"/>
      <sheetName val="Sheet1"/>
      <sheetName val="Sheet2"/>
      <sheetName val="Sheet3"/>
      <sheetName val="XXXxn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BALI"/>
      <sheetName val="LSWIL03"/>
      <sheetName val="BALI03"/>
      <sheetName val="prod03"/>
      <sheetName val="JUAL03"/>
      <sheetName val="kitluR-upj"/>
      <sheetName val="kitlur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y"/>
      <sheetName val="Spt"/>
      <sheetName val="Pbn"/>
      <sheetName val="Kpg"/>
      <sheetName val="UPpry"/>
      <sheetName val="Ksg"/>
      <sheetName val="Krn"/>
      <sheetName val="skm"/>
      <sheetName val="blk"/>
      <sheetName val="Gab.Cab"/>
      <sheetName val="SPI"/>
      <sheetName val="1"/>
      <sheetName val="2"/>
      <sheetName val="target"/>
      <sheetName val="DIST"/>
      <sheetName val="PERUNIT"/>
      <sheetName val="grafik"/>
      <sheetName val="SAIDI"/>
      <sheetName val="SAIDI (2)"/>
      <sheetName val="SAIDI (3)"/>
      <sheetName val="SAFI"/>
      <sheetName val="SAFI (2)"/>
      <sheetName val="SAFI (3)"/>
    </sheetNames>
    <sheetDataSet>
      <sheetData sheetId="0">
        <row r="2">
          <cell r="A2" t="str">
            <v>REKAPITULASI</v>
          </cell>
        </row>
        <row r="3">
          <cell r="A3" t="str">
            <v>LAPORAN SAIDI &amp; SAIFI TAHUN 2007</v>
          </cell>
        </row>
        <row r="4">
          <cell r="BE4" t="str">
            <v>ANGKA  SAIDI  PALANGKA RAYA (KOTA)</v>
          </cell>
          <cell r="CG4" t="str">
            <v>REALISASI  SAIDI &amp; SAIFI  TH 2007</v>
          </cell>
        </row>
        <row r="5">
          <cell r="A5" t="str">
            <v>PALANGKA RAYA (KOTA)</v>
          </cell>
          <cell r="BE5" t="str">
            <v>JANUARI  S/D DESEMBER  2007</v>
          </cell>
          <cell r="CG5" t="str">
            <v>KOTA PALANGKA RAYA</v>
          </cell>
        </row>
        <row r="6">
          <cell r="D6" t="str">
            <v>JANUARI</v>
          </cell>
          <cell r="F6" t="str">
            <v>JANUARI</v>
          </cell>
          <cell r="H6" t="str">
            <v>FEBRUARI</v>
          </cell>
          <cell r="J6" t="str">
            <v>FEBRUARI</v>
          </cell>
          <cell r="L6" t="str">
            <v>MARET</v>
          </cell>
          <cell r="N6" t="str">
            <v>MARET</v>
          </cell>
          <cell r="P6" t="str">
            <v>APRIL</v>
          </cell>
          <cell r="R6" t="str">
            <v>APRIL</v>
          </cell>
          <cell r="T6" t="str">
            <v>MEI</v>
          </cell>
          <cell r="V6" t="str">
            <v>MEI</v>
          </cell>
          <cell r="X6" t="str">
            <v>JUNI</v>
          </cell>
          <cell r="Z6" t="str">
            <v>JUNI</v>
          </cell>
          <cell r="AB6" t="str">
            <v>JULI</v>
          </cell>
          <cell r="AD6" t="str">
            <v>JULI</v>
          </cell>
          <cell r="AF6" t="str">
            <v>AGUSTUS</v>
          </cell>
          <cell r="AH6" t="str">
            <v>AGUSTUS</v>
          </cell>
          <cell r="AJ6" t="str">
            <v>SEPTEMBER</v>
          </cell>
          <cell r="AL6" t="str">
            <v>SEPTEMBER</v>
          </cell>
          <cell r="AN6" t="str">
            <v>OKTOBER</v>
          </cell>
          <cell r="AP6" t="str">
            <v>OKTOBER</v>
          </cell>
          <cell r="AR6" t="str">
            <v>NOVEMBER</v>
          </cell>
          <cell r="AT6" t="str">
            <v>NOVEMBER</v>
          </cell>
          <cell r="AV6" t="str">
            <v>DESEMBER</v>
          </cell>
          <cell r="AX6" t="str">
            <v>DESEMBER</v>
          </cell>
          <cell r="AZ6" t="str">
            <v xml:space="preserve">KOMULATIF </v>
          </cell>
          <cell r="BB6" t="str">
            <v>KOMULATIF</v>
          </cell>
          <cell r="CG6" t="str">
            <v>BULAN</v>
          </cell>
          <cell r="CH6" t="str">
            <v>PELG.         PADAM</v>
          </cell>
          <cell r="CJ6" t="str">
            <v>KOEFISIEN</v>
          </cell>
          <cell r="CK6" t="str">
            <v>JAM X PLG          PADAM</v>
          </cell>
          <cell r="CL6" t="str">
            <v>SAIDI (JAM/PELG)</v>
          </cell>
          <cell r="CM6" t="str">
            <v>SAIFI        (KALI/PELG)</v>
          </cell>
          <cell r="CN6" t="str">
            <v>JUMLAH        PELG.</v>
          </cell>
        </row>
        <row r="7">
          <cell r="A7" t="str">
            <v>No.</v>
          </cell>
          <cell r="C7" t="str">
            <v>PENYEBAB  PEMADAMAN</v>
          </cell>
          <cell r="D7" t="str">
            <v>PLG</v>
          </cell>
          <cell r="E7" t="str">
            <v>JAM X PLG</v>
          </cell>
          <cell r="H7" t="str">
            <v>PLG</v>
          </cell>
          <cell r="I7" t="str">
            <v>JAM X PLG</v>
          </cell>
          <cell r="L7" t="str">
            <v>PLG</v>
          </cell>
          <cell r="M7" t="str">
            <v>JAM X PLG</v>
          </cell>
          <cell r="P7" t="str">
            <v>PLG</v>
          </cell>
          <cell r="Q7" t="str">
            <v>JAM X PLG</v>
          </cell>
          <cell r="T7" t="str">
            <v>PLG</v>
          </cell>
          <cell r="U7" t="str">
            <v>JAM X PLG</v>
          </cell>
          <cell r="X7" t="str">
            <v>PLG</v>
          </cell>
          <cell r="Y7" t="str">
            <v>JAM X PLG</v>
          </cell>
          <cell r="AB7" t="str">
            <v>PLG</v>
          </cell>
          <cell r="AC7" t="str">
            <v>JAM X PLG</v>
          </cell>
          <cell r="AF7" t="str">
            <v>PLG</v>
          </cell>
          <cell r="AG7" t="str">
            <v>JAM X PLG</v>
          </cell>
          <cell r="AJ7" t="str">
            <v>PLG</v>
          </cell>
          <cell r="AK7" t="str">
            <v>JAM X PLG</v>
          </cell>
          <cell r="AN7" t="str">
            <v>PLG</v>
          </cell>
          <cell r="AO7" t="str">
            <v>JAM X PLG</v>
          </cell>
          <cell r="AR7" t="str">
            <v>PLG</v>
          </cell>
          <cell r="AS7" t="str">
            <v>JAM X PLG</v>
          </cell>
          <cell r="AV7" t="str">
            <v>PLG</v>
          </cell>
          <cell r="AW7" t="str">
            <v>JAM X PLG</v>
          </cell>
          <cell r="AZ7" t="str">
            <v>PLG</v>
          </cell>
          <cell r="BA7" t="str">
            <v>JAM X PLG</v>
          </cell>
          <cell r="CJ7" t="str">
            <v>JAM</v>
          </cell>
        </row>
        <row r="8">
          <cell r="D8" t="str">
            <v>PADAM</v>
          </cell>
          <cell r="E8" t="str">
            <v>PADAM</v>
          </cell>
          <cell r="F8" t="str">
            <v>SAIDI</v>
          </cell>
          <cell r="G8" t="str">
            <v>SAIFI</v>
          </cell>
          <cell r="H8" t="str">
            <v>PADAM</v>
          </cell>
          <cell r="I8" t="str">
            <v>PADAM</v>
          </cell>
          <cell r="J8" t="str">
            <v>SAIDI</v>
          </cell>
          <cell r="K8" t="str">
            <v>SAIFI</v>
          </cell>
          <cell r="L8" t="str">
            <v>PADAM</v>
          </cell>
          <cell r="M8" t="str">
            <v>PADAM</v>
          </cell>
          <cell r="N8" t="str">
            <v>SAIDI</v>
          </cell>
          <cell r="O8" t="str">
            <v>SAIFI</v>
          </cell>
          <cell r="P8" t="str">
            <v>PADAM</v>
          </cell>
          <cell r="Q8" t="str">
            <v>PADAM</v>
          </cell>
          <cell r="R8" t="str">
            <v>SAIDI</v>
          </cell>
          <cell r="S8" t="str">
            <v>SAIFI</v>
          </cell>
          <cell r="T8" t="str">
            <v>PADAM</v>
          </cell>
          <cell r="U8" t="str">
            <v>PADAM</v>
          </cell>
          <cell r="V8" t="str">
            <v>SAIDI</v>
          </cell>
          <cell r="W8" t="str">
            <v>SAIFI</v>
          </cell>
          <cell r="X8" t="str">
            <v>PADAM</v>
          </cell>
          <cell r="Y8" t="str">
            <v>PADAM</v>
          </cell>
          <cell r="Z8" t="str">
            <v>SAIDI</v>
          </cell>
          <cell r="AA8" t="str">
            <v>SAIFI</v>
          </cell>
          <cell r="AB8" t="str">
            <v>PADAM</v>
          </cell>
          <cell r="AC8" t="str">
            <v>PADAM</v>
          </cell>
          <cell r="AD8" t="str">
            <v>SAIDI</v>
          </cell>
          <cell r="AE8" t="str">
            <v>SAIFI</v>
          </cell>
          <cell r="AF8" t="str">
            <v>PADAM</v>
          </cell>
          <cell r="AG8" t="str">
            <v>PADAM</v>
          </cell>
          <cell r="AH8" t="str">
            <v>SAIDI</v>
          </cell>
          <cell r="AI8" t="str">
            <v>SAIFI</v>
          </cell>
          <cell r="AJ8" t="str">
            <v>PADAM</v>
          </cell>
          <cell r="AK8" t="str">
            <v>PADAM</v>
          </cell>
          <cell r="AL8" t="str">
            <v>SAIDI</v>
          </cell>
          <cell r="AM8" t="str">
            <v>SAIFI</v>
          </cell>
          <cell r="AN8" t="str">
            <v>PADAM</v>
          </cell>
          <cell r="AO8" t="str">
            <v>PADAM</v>
          </cell>
          <cell r="AP8" t="str">
            <v>SAIDI</v>
          </cell>
          <cell r="AQ8" t="str">
            <v>SAIFI</v>
          </cell>
          <cell r="AR8" t="str">
            <v>PADAM</v>
          </cell>
          <cell r="AS8" t="str">
            <v>PADAM</v>
          </cell>
          <cell r="AT8" t="str">
            <v>SAIDI</v>
          </cell>
          <cell r="AU8" t="str">
            <v>SAIFI</v>
          </cell>
          <cell r="AV8" t="str">
            <v>PADAM</v>
          </cell>
          <cell r="AW8" t="str">
            <v>PADAM</v>
          </cell>
          <cell r="AX8" t="str">
            <v>SAIDI</v>
          </cell>
          <cell r="AY8" t="str">
            <v>SAIFI</v>
          </cell>
          <cell r="AZ8" t="str">
            <v>PADAM</v>
          </cell>
          <cell r="BA8" t="str">
            <v>PADAM</v>
          </cell>
          <cell r="BB8" t="str">
            <v>SAIDI</v>
          </cell>
          <cell r="BC8" t="str">
            <v>SAIFI</v>
          </cell>
          <cell r="CJ8" t="str">
            <v>PADAM</v>
          </cell>
        </row>
        <row r="9">
          <cell r="CG9">
            <v>1</v>
          </cell>
          <cell r="CH9">
            <v>2</v>
          </cell>
          <cell r="CJ9">
            <v>2</v>
          </cell>
          <cell r="CK9">
            <v>3</v>
          </cell>
          <cell r="CL9">
            <v>4</v>
          </cell>
          <cell r="CM9">
            <v>5</v>
          </cell>
          <cell r="CN9">
            <v>6</v>
          </cell>
        </row>
        <row r="10">
          <cell r="A10" t="str">
            <v>I</v>
          </cell>
          <cell r="C10" t="str">
            <v>PEMADAMAN KARENA GANGGUAN</v>
          </cell>
        </row>
        <row r="11">
          <cell r="CG11" t="str">
            <v xml:space="preserve">JAN </v>
          </cell>
          <cell r="CI11">
            <v>13232</v>
          </cell>
          <cell r="CJ11">
            <v>0.74748715235792018</v>
          </cell>
          <cell r="CK11">
            <v>9890.75</v>
          </cell>
          <cell r="CL11">
            <v>0.30630051717196743</v>
          </cell>
          <cell r="CM11">
            <v>0.4097736211328234</v>
          </cell>
          <cell r="CN11">
            <v>32291</v>
          </cell>
        </row>
        <row r="12">
          <cell r="A12">
            <v>1</v>
          </cell>
          <cell r="C12" t="str">
            <v>Kelompok Samb. Tenaga listrik &amp; APP</v>
          </cell>
          <cell r="D12">
            <v>232</v>
          </cell>
          <cell r="E12">
            <v>79.55</v>
          </cell>
          <cell r="F12">
            <v>2.4635347310396085E-3</v>
          </cell>
          <cell r="G12">
            <v>7.1846644575888022E-3</v>
          </cell>
          <cell r="H12">
            <v>230</v>
          </cell>
          <cell r="I12">
            <v>76.67</v>
          </cell>
          <cell r="J12">
            <v>2.4520276320839198E-3</v>
          </cell>
          <cell r="K12">
            <v>7.3557630804656519E-3</v>
          </cell>
          <cell r="L12">
            <v>231</v>
          </cell>
          <cell r="M12">
            <v>77.010000000000005</v>
          </cell>
          <cell r="N12">
            <v>2.461248362044169E-3</v>
          </cell>
          <cell r="O12">
            <v>7.3827862827191663E-3</v>
          </cell>
          <cell r="P12">
            <v>242</v>
          </cell>
          <cell r="Q12">
            <v>80.66</v>
          </cell>
          <cell r="R12">
            <v>2.5765029067910303E-3</v>
          </cell>
          <cell r="S12">
            <v>7.7301475755446238E-3</v>
          </cell>
          <cell r="T12">
            <v>238</v>
          </cell>
          <cell r="U12">
            <v>79.33</v>
          </cell>
          <cell r="V12">
            <v>2.5337762304768596E-3</v>
          </cell>
          <cell r="W12">
            <v>7.6016480884090838E-3</v>
          </cell>
          <cell r="X12">
            <v>215</v>
          </cell>
          <cell r="Y12">
            <v>71.67</v>
          </cell>
          <cell r="Z12">
            <v>2.2888257273336954E-3</v>
          </cell>
          <cell r="AA12">
            <v>6.8661578258231402E-3</v>
          </cell>
          <cell r="AB12">
            <v>187</v>
          </cell>
          <cell r="AC12">
            <v>62.33</v>
          </cell>
          <cell r="AD12">
            <v>1.9922012337392526E-3</v>
          </cell>
          <cell r="AE12">
            <v>5.9769233227858218E-3</v>
          </cell>
          <cell r="AF12">
            <v>146</v>
          </cell>
          <cell r="AG12">
            <v>48.66</v>
          </cell>
          <cell r="AH12">
            <v>1.5552785501965671E-3</v>
          </cell>
          <cell r="AI12">
            <v>4.6664748937258289E-3</v>
          </cell>
          <cell r="AJ12">
            <v>177</v>
          </cell>
          <cell r="AK12">
            <v>59</v>
          </cell>
          <cell r="AL12">
            <v>1.8852249488752557E-3</v>
          </cell>
          <cell r="AM12">
            <v>5.6556748466257672E-3</v>
          </cell>
          <cell r="AN12">
            <v>313</v>
          </cell>
          <cell r="AO12">
            <v>104.33</v>
          </cell>
          <cell r="AP12">
            <v>3.3319494123658661E-3</v>
          </cell>
          <cell r="AQ12">
            <v>9.9961676034747062E-3</v>
          </cell>
          <cell r="AR12">
            <v>277</v>
          </cell>
          <cell r="AS12">
            <v>117.10000000000001</v>
          </cell>
          <cell r="AT12">
            <v>3.7364390555201022E-3</v>
          </cell>
          <cell r="AU12">
            <v>8.8385449904275683E-3</v>
          </cell>
          <cell r="AV12">
            <v>280</v>
          </cell>
          <cell r="AW12">
            <v>79.439999999999984</v>
          </cell>
          <cell r="AX12">
            <v>2.5347798340778554E-3</v>
          </cell>
          <cell r="AY12">
            <v>8.9342693044033184E-3</v>
          </cell>
          <cell r="AZ12">
            <v>2768</v>
          </cell>
          <cell r="BA12">
            <v>935.75</v>
          </cell>
          <cell r="BB12">
            <v>2.9858008934269306E-2</v>
          </cell>
          <cell r="BC12">
            <v>8.8321633694958518E-2</v>
          </cell>
          <cell r="CG12" t="str">
            <v xml:space="preserve">FEB </v>
          </cell>
          <cell r="CI12">
            <v>30897</v>
          </cell>
          <cell r="CJ12">
            <v>0.23552184138696991</v>
          </cell>
          <cell r="CK12">
            <v>7276.9183333332094</v>
          </cell>
          <cell r="CL12">
            <v>0.23272733572128723</v>
          </cell>
          <cell r="CM12">
            <v>0.98813483433542282</v>
          </cell>
          <cell r="CN12">
            <v>31268</v>
          </cell>
        </row>
        <row r="13">
          <cell r="A13">
            <v>2</v>
          </cell>
          <cell r="C13" t="str">
            <v>Kelompok JTR</v>
          </cell>
          <cell r="D13">
            <v>275</v>
          </cell>
          <cell r="E13">
            <v>103.33</v>
          </cell>
          <cell r="F13">
            <v>3.1999628379424608E-3</v>
          </cell>
          <cell r="G13">
            <v>8.5163048527453471E-3</v>
          </cell>
          <cell r="H13">
            <v>26</v>
          </cell>
          <cell r="I13">
            <v>8.67</v>
          </cell>
          <cell r="J13">
            <v>2.7728028655494435E-4</v>
          </cell>
          <cell r="K13">
            <v>8.3152104387872584E-4</v>
          </cell>
          <cell r="L13">
            <v>15</v>
          </cell>
          <cell r="M13">
            <v>5</v>
          </cell>
          <cell r="N13">
            <v>1.5980056889002524E-4</v>
          </cell>
          <cell r="O13">
            <v>4.7940170667007577E-4</v>
          </cell>
          <cell r="P13">
            <v>13</v>
          </cell>
          <cell r="Q13">
            <v>4.33</v>
          </cell>
          <cell r="R13">
            <v>1.3831214463681083E-4</v>
          </cell>
          <cell r="S13">
            <v>4.1525586149619882E-4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9</v>
          </cell>
          <cell r="Y13">
            <v>3</v>
          </cell>
          <cell r="Z13">
            <v>9.5806853383578712E-5</v>
          </cell>
          <cell r="AA13">
            <v>2.8742056015073611E-4</v>
          </cell>
          <cell r="AB13">
            <v>9</v>
          </cell>
          <cell r="AC13">
            <v>3</v>
          </cell>
          <cell r="AD13">
            <v>9.5886470419023881E-5</v>
          </cell>
          <cell r="AE13">
            <v>2.8765941125707164E-4</v>
          </cell>
          <cell r="AF13">
            <v>22</v>
          </cell>
          <cell r="AG13">
            <v>7.33</v>
          </cell>
          <cell r="AH13">
            <v>2.3428260939048167E-4</v>
          </cell>
          <cell r="AI13">
            <v>7.0316744973950842E-4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19</v>
          </cell>
          <cell r="AO13">
            <v>6.33</v>
          </cell>
          <cell r="AP13">
            <v>2.0215891670924885E-4</v>
          </cell>
          <cell r="AQ13">
            <v>6.0679611650485432E-4</v>
          </cell>
          <cell r="AR13">
            <v>24</v>
          </cell>
          <cell r="AS13">
            <v>13.67</v>
          </cell>
          <cell r="AT13">
            <v>4.3618379068283342E-4</v>
          </cell>
          <cell r="AU13">
            <v>7.6579451180599871E-4</v>
          </cell>
          <cell r="AV13">
            <v>44</v>
          </cell>
          <cell r="AW13">
            <v>13.58</v>
          </cell>
          <cell r="AX13">
            <v>4.3331206126356094E-4</v>
          </cell>
          <cell r="AY13">
            <v>1.4039566049776644E-3</v>
          </cell>
          <cell r="AZ13">
            <v>456</v>
          </cell>
          <cell r="BA13">
            <v>168.24</v>
          </cell>
          <cell r="BB13">
            <v>5.3682195277600514E-3</v>
          </cell>
          <cell r="BC13">
            <v>1.4550095724313976E-2</v>
          </cell>
          <cell r="CG13" t="str">
            <v xml:space="preserve">MAR </v>
          </cell>
          <cell r="CI13">
            <v>12986</v>
          </cell>
          <cell r="CJ13">
            <v>0.52519867549668875</v>
          </cell>
          <cell r="CK13">
            <v>6820.23</v>
          </cell>
          <cell r="CL13">
            <v>0.21797532679216336</v>
          </cell>
          <cell r="CM13">
            <v>0.41503403752117357</v>
          </cell>
          <cell r="CN13">
            <v>31289</v>
          </cell>
        </row>
        <row r="14">
          <cell r="A14">
            <v>3</v>
          </cell>
          <cell r="C14" t="str">
            <v>Kelompok Trafo &amp; Gardu Dist.</v>
          </cell>
          <cell r="D14">
            <v>25</v>
          </cell>
          <cell r="E14">
            <v>8.33</v>
          </cell>
          <cell r="F14">
            <v>2.5796661608497724E-4</v>
          </cell>
          <cell r="G14">
            <v>7.7420953206775887E-4</v>
          </cell>
          <cell r="H14">
            <v>100</v>
          </cell>
          <cell r="I14">
            <v>33.33</v>
          </cell>
          <cell r="J14">
            <v>1.0659460150953051E-3</v>
          </cell>
          <cell r="K14">
            <v>3.1981578610720224E-3</v>
          </cell>
          <cell r="L14">
            <v>550</v>
          </cell>
          <cell r="M14">
            <v>183.34</v>
          </cell>
          <cell r="N14">
            <v>5.8595672600594458E-3</v>
          </cell>
          <cell r="O14">
            <v>1.7578062577902776E-2</v>
          </cell>
          <cell r="P14">
            <v>409</v>
          </cell>
          <cell r="Q14">
            <v>74.22</v>
          </cell>
          <cell r="R14">
            <v>2.370791541557529E-3</v>
          </cell>
          <cell r="S14">
            <v>1.3064588257841948E-2</v>
          </cell>
          <cell r="T14">
            <v>933.5</v>
          </cell>
          <cell r="U14">
            <v>161.41999999999999</v>
          </cell>
          <cell r="V14">
            <v>5.1557060270209839E-3</v>
          </cell>
          <cell r="W14">
            <v>2.9815707943402856E-2</v>
          </cell>
          <cell r="X14">
            <v>74</v>
          </cell>
          <cell r="Y14">
            <v>24.659999999999997</v>
          </cell>
          <cell r="Z14">
            <v>7.875323348130168E-4</v>
          </cell>
          <cell r="AA14">
            <v>2.3632357167949415E-3</v>
          </cell>
          <cell r="AB14">
            <v>1423</v>
          </cell>
          <cell r="AC14">
            <v>479.22</v>
          </cell>
          <cell r="AD14">
            <v>1.5316904784734875E-2</v>
          </cell>
          <cell r="AE14">
            <v>4.5482149135423658E-2</v>
          </cell>
          <cell r="AF14">
            <v>886</v>
          </cell>
          <cell r="AG14">
            <v>252.58</v>
          </cell>
          <cell r="AH14">
            <v>8.0730015661456839E-3</v>
          </cell>
          <cell r="AI14">
            <v>2.8318470930418383E-2</v>
          </cell>
          <cell r="AJ14">
            <v>65</v>
          </cell>
          <cell r="AK14">
            <v>21.66</v>
          </cell>
          <cell r="AL14">
            <v>6.9210122699386498E-4</v>
          </cell>
          <cell r="AM14">
            <v>2.0769427402862984E-3</v>
          </cell>
          <cell r="AN14">
            <v>5738.8240000000005</v>
          </cell>
          <cell r="AO14">
            <v>8899.8790666666791</v>
          </cell>
          <cell r="AP14">
            <v>0.28423221342190469</v>
          </cell>
          <cell r="AQ14">
            <v>0.18327874297393973</v>
          </cell>
          <cell r="AR14">
            <v>451</v>
          </cell>
          <cell r="AS14">
            <v>150.44999999999999</v>
          </cell>
          <cell r="AT14">
            <v>4.8005743458838538E-3</v>
          </cell>
          <cell r="AU14">
            <v>1.4390555201021058E-2</v>
          </cell>
          <cell r="AV14">
            <v>120</v>
          </cell>
          <cell r="AW14">
            <v>51.67</v>
          </cell>
          <cell r="AX14">
            <v>1.6486917677089982E-3</v>
          </cell>
          <cell r="AY14">
            <v>3.8289725590299937E-3</v>
          </cell>
          <cell r="AZ14">
            <v>10775.324000000001</v>
          </cell>
          <cell r="BA14">
            <v>10340.75906666668</v>
          </cell>
          <cell r="BB14">
            <v>0.3299540225483944</v>
          </cell>
          <cell r="BC14">
            <v>0.34382016592214426</v>
          </cell>
          <cell r="CG14" t="str">
            <v xml:space="preserve">APR </v>
          </cell>
          <cell r="CI14">
            <v>13108</v>
          </cell>
          <cell r="CJ14">
            <v>0.9244835215135796</v>
          </cell>
          <cell r="CK14">
            <v>12118.130000000001</v>
          </cell>
          <cell r="CL14">
            <v>0.38708650099022557</v>
          </cell>
          <cell r="CM14">
            <v>0.41870567942247494</v>
          </cell>
          <cell r="CN14">
            <v>31306</v>
          </cell>
        </row>
        <row r="15">
          <cell r="A15">
            <v>4</v>
          </cell>
          <cell r="C15" t="str">
            <v>Kelompok Tiang TR &amp; TM</v>
          </cell>
          <cell r="D15">
            <v>25</v>
          </cell>
          <cell r="E15">
            <v>12.5</v>
          </cell>
          <cell r="F15">
            <v>3.8710476603387944E-4</v>
          </cell>
          <cell r="G15">
            <v>7.7420953206775887E-4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1</v>
          </cell>
          <cell r="Q15">
            <v>0.33</v>
          </cell>
          <cell r="R15">
            <v>1.0541110330288125E-5</v>
          </cell>
          <cell r="S15">
            <v>3.1942758576630676E-5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866</v>
          </cell>
          <cell r="AC15">
            <v>2139.39</v>
          </cell>
          <cell r="AD15">
            <v>6.8379518649918494E-2</v>
          </cell>
          <cell r="AE15">
            <v>2.767922779429156E-2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10</v>
          </cell>
          <cell r="AW15">
            <v>1.67</v>
          </cell>
          <cell r="AX15">
            <v>5.3286534779834075E-5</v>
          </cell>
          <cell r="AY15">
            <v>3.1908104658583282E-4</v>
          </cell>
          <cell r="AZ15">
            <v>902</v>
          </cell>
          <cell r="BA15">
            <v>2153.89</v>
          </cell>
          <cell r="BB15">
            <v>6.872654754307593E-2</v>
          </cell>
          <cell r="BC15">
            <v>2.8781110402042117E-2</v>
          </cell>
          <cell r="CG15" t="str">
            <v xml:space="preserve">MEI </v>
          </cell>
          <cell r="CI15">
            <v>11905.5</v>
          </cell>
          <cell r="CJ15">
            <v>0.50038469614883874</v>
          </cell>
          <cell r="CK15">
            <v>5957.33</v>
          </cell>
          <cell r="CL15">
            <v>0.19027532019547094</v>
          </cell>
          <cell r="CM15">
            <v>0.38025807275863172</v>
          </cell>
          <cell r="CN15">
            <v>31309</v>
          </cell>
        </row>
        <row r="16">
          <cell r="A16">
            <v>5</v>
          </cell>
          <cell r="C16" t="str">
            <v>Kelompok SUTM</v>
          </cell>
          <cell r="D16">
            <v>8674</v>
          </cell>
          <cell r="E16">
            <v>3212.2400000000002</v>
          </cell>
          <cell r="F16">
            <v>9.9477873091573507E-2</v>
          </cell>
          <cell r="G16">
            <v>0.26861973924622962</v>
          </cell>
          <cell r="H16">
            <v>30541</v>
          </cell>
          <cell r="I16">
            <v>7158.2483333332093</v>
          </cell>
          <cell r="J16">
            <v>0.22893208178755306</v>
          </cell>
          <cell r="K16">
            <v>0.97674939235000635</v>
          </cell>
          <cell r="L16">
            <v>11394</v>
          </cell>
          <cell r="M16">
            <v>2024.58</v>
          </cell>
          <cell r="N16">
            <v>6.4705807152673461E-2</v>
          </cell>
          <cell r="O16">
            <v>0.36415353638658954</v>
          </cell>
          <cell r="P16">
            <v>11904</v>
          </cell>
          <cell r="Q16">
            <v>11262.380000000001</v>
          </cell>
          <cell r="R16">
            <v>0.35975148533827384</v>
          </cell>
          <cell r="S16">
            <v>0.38024659809621159</v>
          </cell>
          <cell r="T16">
            <v>10734</v>
          </cell>
          <cell r="U16">
            <v>5716.58</v>
          </cell>
          <cell r="V16">
            <v>0.18258583793797312</v>
          </cell>
          <cell r="W16">
            <v>0.34284071672681976</v>
          </cell>
          <cell r="X16">
            <v>11013</v>
          </cell>
          <cell r="Y16">
            <v>5293.58</v>
          </cell>
          <cell r="Z16">
            <v>0.16905374764474818</v>
          </cell>
          <cell r="AA16">
            <v>0.35170695877111741</v>
          </cell>
          <cell r="AB16">
            <v>9660</v>
          </cell>
          <cell r="AC16">
            <v>6069.2</v>
          </cell>
          <cell r="AD16">
            <v>0.19398472208904657</v>
          </cell>
          <cell r="AE16">
            <v>0.3087544347492569</v>
          </cell>
          <cell r="AF16">
            <v>21451</v>
          </cell>
          <cell r="AG16">
            <v>6634.4833333333245</v>
          </cell>
          <cell r="AH16">
            <v>0.21205239662905759</v>
          </cell>
          <cell r="AI16">
            <v>0.6856202256528271</v>
          </cell>
          <cell r="AJ16">
            <v>19871</v>
          </cell>
          <cell r="AK16">
            <v>4651.6166666666659</v>
          </cell>
          <cell r="AL16">
            <v>0.14863294563735513</v>
          </cell>
          <cell r="AM16">
            <v>0.63493737218813906</v>
          </cell>
          <cell r="AN16">
            <v>20826.288</v>
          </cell>
          <cell r="AO16">
            <v>3114.9010666666686</v>
          </cell>
          <cell r="AP16">
            <v>9.9479466871061212E-2</v>
          </cell>
          <cell r="AQ16">
            <v>0.66512161471640263</v>
          </cell>
          <cell r="AR16">
            <v>13477.799999999997</v>
          </cell>
          <cell r="AS16">
            <v>2257.8850000000052</v>
          </cell>
          <cell r="AT16">
            <v>7.2044830887045483E-2</v>
          </cell>
          <cell r="AU16">
            <v>0.43005105296745366</v>
          </cell>
          <cell r="AV16">
            <v>9218.478350396028</v>
          </cell>
          <cell r="AW16">
            <v>1233.4375093773472</v>
          </cell>
          <cell r="AX16">
            <v>3.9356653139034692E-2</v>
          </cell>
          <cell r="AY16">
            <v>0.29414417199732062</v>
          </cell>
          <cell r="AZ16">
            <v>178764.56635039602</v>
          </cell>
          <cell r="BA16">
            <v>58629.131909377218</v>
          </cell>
          <cell r="BB16">
            <v>1.8707444770062929</v>
          </cell>
          <cell r="BC16">
            <v>5.704038492354691</v>
          </cell>
          <cell r="CG16" t="str">
            <v xml:space="preserve">JUN </v>
          </cell>
          <cell r="CI16">
            <v>11311</v>
          </cell>
          <cell r="CJ16">
            <v>0.47678454601715142</v>
          </cell>
          <cell r="CK16">
            <v>5392.91</v>
          </cell>
          <cell r="CL16">
            <v>0.17222591256027847</v>
          </cell>
          <cell r="CM16">
            <v>0.36122377287388624</v>
          </cell>
          <cell r="CN16">
            <v>31313</v>
          </cell>
        </row>
        <row r="17">
          <cell r="A17">
            <v>6</v>
          </cell>
          <cell r="C17" t="str">
            <v>Kelompok SKTM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CG17" t="str">
            <v>JUL</v>
          </cell>
          <cell r="CI17">
            <v>12148</v>
          </cell>
          <cell r="CJ17">
            <v>0.72062397102403686</v>
          </cell>
          <cell r="CK17">
            <v>8754.14</v>
          </cell>
          <cell r="CL17">
            <v>0.27980119538466453</v>
          </cell>
          <cell r="CM17">
            <v>0.38827628088343402</v>
          </cell>
          <cell r="CN17">
            <v>31287</v>
          </cell>
        </row>
        <row r="18">
          <cell r="A18">
            <v>7</v>
          </cell>
          <cell r="C18" t="str">
            <v>Kelompok Transmisi &amp; Gardu Induk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CG18" t="str">
            <v>AGS</v>
          </cell>
          <cell r="CI18">
            <v>22505</v>
          </cell>
          <cell r="CJ18">
            <v>0.30851159001703282</v>
          </cell>
          <cell r="CK18">
            <v>6943.0533333333242</v>
          </cell>
          <cell r="CL18">
            <v>0.2219149593547903</v>
          </cell>
          <cell r="CM18">
            <v>0.71930833892671076</v>
          </cell>
          <cell r="CN18">
            <v>31287</v>
          </cell>
        </row>
        <row r="19">
          <cell r="A19">
            <v>8</v>
          </cell>
          <cell r="C19" t="str">
            <v>Kelompok Pusat Sumber Tenaga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I19" t="str">
            <v>Saidi :</v>
          </cell>
          <cell r="BJ19">
            <v>0.30630051717196738</v>
          </cell>
          <cell r="BP19" t="str">
            <v>Saidi :</v>
          </cell>
          <cell r="BQ19">
            <v>0.23272733572128723</v>
          </cell>
          <cell r="BW19" t="str">
            <v>Saidi :</v>
          </cell>
          <cell r="BX19">
            <v>0.21797532679216339</v>
          </cell>
          <cell r="CD19" t="str">
            <v>Saidi :</v>
          </cell>
          <cell r="CE19">
            <v>0.38708650099022557</v>
          </cell>
          <cell r="CG19" t="str">
            <v>SEP</v>
          </cell>
          <cell r="CI19">
            <v>20113</v>
          </cell>
          <cell r="CJ19">
            <v>0.23528447604368646</v>
          </cell>
          <cell r="CK19">
            <v>4732.2766666666657</v>
          </cell>
          <cell r="CL19">
            <v>0.15121027181322425</v>
          </cell>
          <cell r="CM19">
            <v>0.64266998977505108</v>
          </cell>
          <cell r="CN19">
            <v>31296</v>
          </cell>
        </row>
        <row r="20">
          <cell r="A20">
            <v>9</v>
          </cell>
          <cell r="C20" t="str">
            <v>Kelompok Bencana Alam</v>
          </cell>
          <cell r="D20">
            <v>25</v>
          </cell>
          <cell r="E20">
            <v>12.5</v>
          </cell>
          <cell r="F20">
            <v>3.8710476603387944E-4</v>
          </cell>
          <cell r="G20">
            <v>7.7420953206775887E-4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3</v>
          </cell>
          <cell r="AC20">
            <v>1</v>
          </cell>
          <cell r="AD20">
            <v>3.1962156806341291E-5</v>
          </cell>
          <cell r="AE20">
            <v>9.5886470419023881E-5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1</v>
          </cell>
          <cell r="AW20">
            <v>0.5</v>
          </cell>
          <cell r="AX20">
            <v>1.595405232929164E-5</v>
          </cell>
          <cell r="AY20">
            <v>3.190810465858328E-5</v>
          </cell>
          <cell r="AZ20">
            <v>29</v>
          </cell>
          <cell r="BA20">
            <v>14</v>
          </cell>
          <cell r="BB20">
            <v>4.4671346522016594E-4</v>
          </cell>
          <cell r="BC20">
            <v>9.253350350989151E-4</v>
          </cell>
          <cell r="CG20" t="str">
            <v>OKT</v>
          </cell>
          <cell r="CI20">
            <v>26897.112000000001</v>
          </cell>
          <cell r="CJ20">
            <v>0.45080825530017304</v>
          </cell>
          <cell r="CK20">
            <v>12125.440133333348</v>
          </cell>
          <cell r="CL20">
            <v>0.38724578862204101</v>
          </cell>
          <cell r="CM20">
            <v>0.85900332141032198</v>
          </cell>
          <cell r="CN20">
            <v>31312</v>
          </cell>
        </row>
        <row r="21">
          <cell r="CG21" t="str">
            <v>NOV</v>
          </cell>
          <cell r="CI21">
            <v>14229.799999999997</v>
          </cell>
          <cell r="CJ21">
            <v>0.17843574751577712</v>
          </cell>
          <cell r="CK21">
            <v>2539.105000000005</v>
          </cell>
          <cell r="CL21">
            <v>8.1018028079132262E-2</v>
          </cell>
          <cell r="CM21">
            <v>0.45404594767070827</v>
          </cell>
          <cell r="CN21">
            <v>31340</v>
          </cell>
        </row>
        <row r="22">
          <cell r="C22" t="str">
            <v>JUMLAH  I</v>
          </cell>
          <cell r="D22">
            <v>9256</v>
          </cell>
          <cell r="E22">
            <v>3428.4500000000003</v>
          </cell>
          <cell r="F22">
            <v>0.1061735468087083</v>
          </cell>
          <cell r="G22">
            <v>0.28664333715276702</v>
          </cell>
          <cell r="H22">
            <v>30897</v>
          </cell>
          <cell r="I22">
            <v>7276.9183333332094</v>
          </cell>
          <cell r="J22">
            <v>0.23272733572128723</v>
          </cell>
          <cell r="K22">
            <v>0.98813483433542271</v>
          </cell>
          <cell r="L22">
            <v>12190</v>
          </cell>
          <cell r="M22">
            <v>2289.9299999999998</v>
          </cell>
          <cell r="N22">
            <v>7.3186423343667095E-2</v>
          </cell>
          <cell r="O22">
            <v>0.38959378695388158</v>
          </cell>
          <cell r="P22">
            <v>12569</v>
          </cell>
          <cell r="Q22">
            <v>11421.920000000002</v>
          </cell>
          <cell r="R22">
            <v>0.36484763304158951</v>
          </cell>
          <cell r="S22">
            <v>0.40148853254967098</v>
          </cell>
          <cell r="T22">
            <v>11905.5</v>
          </cell>
          <cell r="U22">
            <v>5957.33</v>
          </cell>
          <cell r="V22">
            <v>0.19027532019547097</v>
          </cell>
          <cell r="W22">
            <v>0.38025807275863172</v>
          </cell>
          <cell r="X22">
            <v>11311</v>
          </cell>
          <cell r="Y22">
            <v>5392.91</v>
          </cell>
          <cell r="Z22">
            <v>0.17222591256027847</v>
          </cell>
          <cell r="AA22">
            <v>0.36122377287388624</v>
          </cell>
          <cell r="AB22">
            <v>12148</v>
          </cell>
          <cell r="AC22">
            <v>8754.14</v>
          </cell>
          <cell r="AD22">
            <v>0.27980119538466458</v>
          </cell>
          <cell r="AE22">
            <v>0.38827628088343402</v>
          </cell>
          <cell r="AF22">
            <v>22505</v>
          </cell>
          <cell r="AG22">
            <v>6943.0533333333242</v>
          </cell>
          <cell r="AH22">
            <v>0.22191495935479033</v>
          </cell>
          <cell r="AI22">
            <v>0.71930833892671087</v>
          </cell>
          <cell r="AJ22">
            <v>20113</v>
          </cell>
          <cell r="AK22">
            <v>4732.2766666666657</v>
          </cell>
          <cell r="AL22">
            <v>0.15121027181322425</v>
          </cell>
          <cell r="AM22">
            <v>0.64266998977505108</v>
          </cell>
          <cell r="AN22">
            <v>26897.112000000001</v>
          </cell>
          <cell r="AO22">
            <v>12125.440133333348</v>
          </cell>
          <cell r="AP22">
            <v>0.38724578862204106</v>
          </cell>
          <cell r="AQ22">
            <v>0.85900332141032187</v>
          </cell>
          <cell r="AR22">
            <v>14229.799999999997</v>
          </cell>
          <cell r="AS22">
            <v>2539.105000000005</v>
          </cell>
          <cell r="AT22">
            <v>8.1018028079132276E-2</v>
          </cell>
          <cell r="AU22">
            <v>0.45404594767070827</v>
          </cell>
          <cell r="AV22">
            <v>9673.478350396028</v>
          </cell>
          <cell r="AW22">
            <v>1380.2975093773471</v>
          </cell>
          <cell r="AX22">
            <v>4.4042677389194235E-2</v>
          </cell>
          <cell r="AY22">
            <v>0.30866235961697602</v>
          </cell>
          <cell r="AZ22">
            <v>193694.89035039602</v>
          </cell>
          <cell r="BA22">
            <v>72241.770976043903</v>
          </cell>
          <cell r="BB22">
            <v>2.3050979890250125</v>
          </cell>
          <cell r="BC22">
            <v>6.1804368331332489</v>
          </cell>
          <cell r="CG22" t="str">
            <v>DES</v>
          </cell>
          <cell r="CI22">
            <v>9673.478350396028</v>
          </cell>
          <cell r="CJ22">
            <v>0.14268885083314817</v>
          </cell>
          <cell r="CK22">
            <v>1380.2975093773471</v>
          </cell>
          <cell r="CL22">
            <v>4.4042677389194228E-2</v>
          </cell>
          <cell r="CM22">
            <v>0.30866235961697602</v>
          </cell>
          <cell r="CN22">
            <v>31340</v>
          </cell>
        </row>
        <row r="24">
          <cell r="A24" t="str">
            <v>II</v>
          </cell>
          <cell r="C24" t="str">
            <v>PEMADAMAN TERENCANA</v>
          </cell>
          <cell r="CG24" t="str">
            <v>KOM</v>
          </cell>
          <cell r="CI24">
            <v>199005.89035039602</v>
          </cell>
          <cell r="CJ24">
            <v>0.42174922977538326</v>
          </cell>
          <cell r="CK24">
            <v>83930.580976043901</v>
          </cell>
          <cell r="CL24">
            <v>2.6780657618393078</v>
          </cell>
          <cell r="CM24">
            <v>6.3499007769749847</v>
          </cell>
          <cell r="CN24">
            <v>31340</v>
          </cell>
        </row>
        <row r="25">
          <cell r="CG25" t="str">
            <v>Target</v>
          </cell>
          <cell r="CL25">
            <v>4.5933542669853189</v>
          </cell>
          <cell r="CM25">
            <v>6.845767621787556</v>
          </cell>
        </row>
        <row r="26">
          <cell r="A26" t="str">
            <v>II.1.</v>
          </cell>
          <cell r="C26" t="str">
            <v>Kelompok Distribusi :</v>
          </cell>
          <cell r="CG26" t="str">
            <v>Realisasi thd Target(%)</v>
          </cell>
          <cell r="CL26">
            <v>58.303052762289084</v>
          </cell>
          <cell r="CM26">
            <v>92.756592507837837</v>
          </cell>
        </row>
        <row r="27">
          <cell r="C27" t="str">
            <v>Karena Pembangunan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</row>
        <row r="28">
          <cell r="C28" t="str">
            <v>Karena Pemeliharaan</v>
          </cell>
          <cell r="D28">
            <v>3976</v>
          </cell>
          <cell r="E28">
            <v>6462.3</v>
          </cell>
          <cell r="F28">
            <v>0.2001269703632591</v>
          </cell>
          <cell r="G28">
            <v>0.12313028398005636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539</v>
          </cell>
          <cell r="Q28">
            <v>696.21</v>
          </cell>
          <cell r="R28">
            <v>2.2238867948636044E-2</v>
          </cell>
          <cell r="S28">
            <v>1.7217146872803936E-2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4515</v>
          </cell>
          <cell r="BA28">
            <v>7158.51</v>
          </cell>
          <cell r="BB28">
            <v>0.22841448627951499</v>
          </cell>
          <cell r="BC28">
            <v>0.1440650925335035</v>
          </cell>
          <cell r="CG28" t="str">
            <v>Jan s.d Feb</v>
          </cell>
          <cell r="CI28">
            <v>44129</v>
          </cell>
          <cell r="CK28">
            <v>17167.668333333211</v>
          </cell>
          <cell r="CL28">
            <v>0.53902785289325461</v>
          </cell>
          <cell r="CM28">
            <v>1.3979084554682462</v>
          </cell>
          <cell r="CN28">
            <v>31268</v>
          </cell>
        </row>
        <row r="29">
          <cell r="C29" t="str">
            <v>Karena Pelaksanaan PTM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CG29" t="str">
            <v>Jan s.d Mar</v>
          </cell>
          <cell r="CI29">
            <v>57115</v>
          </cell>
          <cell r="CK29">
            <v>23987.898333333211</v>
          </cell>
          <cell r="CL29">
            <v>0.75700317968541797</v>
          </cell>
          <cell r="CM29">
            <v>1.8129424929894198</v>
          </cell>
          <cell r="CN29">
            <v>31289</v>
          </cell>
        </row>
        <row r="30">
          <cell r="C30" t="str">
            <v>Karena Pelaksanaan PTR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CG30" t="str">
            <v>Jan s.d Apr</v>
          </cell>
          <cell r="CI30">
            <v>70223</v>
          </cell>
          <cell r="CK30">
            <v>36106.028333333212</v>
          </cell>
          <cell r="CL30">
            <v>1.1440896806756435</v>
          </cell>
          <cell r="CM30">
            <v>2.2316481724118948</v>
          </cell>
          <cell r="CN30">
            <v>31306</v>
          </cell>
        </row>
        <row r="31">
          <cell r="C31" t="str">
            <v>Karena Pelaksanaan Rehabilitasi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796</v>
          </cell>
          <cell r="M31">
            <v>4530.3</v>
          </cell>
          <cell r="N31">
            <v>0.14478890344849629</v>
          </cell>
          <cell r="O31">
            <v>2.544025056729202E-2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796</v>
          </cell>
          <cell r="BA31">
            <v>4530.3</v>
          </cell>
          <cell r="BB31">
            <v>0.14455328653477983</v>
          </cell>
          <cell r="BC31">
            <v>2.539885130823229E-2</v>
          </cell>
          <cell r="CG31" t="str">
            <v>Jan s.d Mei</v>
          </cell>
          <cell r="CI31">
            <v>82128.5</v>
          </cell>
          <cell r="CK31">
            <v>42063.358333333214</v>
          </cell>
          <cell r="CL31">
            <v>1.3343650008711145</v>
          </cell>
          <cell r="CM31">
            <v>2.6119062451705264</v>
          </cell>
          <cell r="CN31">
            <v>31309</v>
          </cell>
        </row>
        <row r="32">
          <cell r="C32" t="str">
            <v>Karena Pelebaran Jalan / Lain-lain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CG32" t="str">
            <v>Jan s.d Jun</v>
          </cell>
          <cell r="CI32">
            <v>93439.5</v>
          </cell>
          <cell r="CK32">
            <v>47456.26833333321</v>
          </cell>
          <cell r="CL32">
            <v>1.5065909134313931</v>
          </cell>
          <cell r="CM32">
            <v>2.9731300180444125</v>
          </cell>
          <cell r="CN32">
            <v>31313</v>
          </cell>
        </row>
        <row r="33">
          <cell r="BI33" t="str">
            <v>Saidi :</v>
          </cell>
          <cell r="BJ33">
            <v>0.19027532019547097</v>
          </cell>
          <cell r="BP33" t="str">
            <v>Saidi :</v>
          </cell>
          <cell r="BQ33">
            <v>0.17222591256027847</v>
          </cell>
          <cell r="BW33" t="str">
            <v>Saidi :</v>
          </cell>
          <cell r="BX33">
            <v>0.27980119538466458</v>
          </cell>
          <cell r="CD33" t="str">
            <v>Saidi :</v>
          </cell>
          <cell r="CE33">
            <v>0.22191495935479033</v>
          </cell>
          <cell r="CG33" t="str">
            <v>Apr s.d Jun</v>
          </cell>
          <cell r="CI33">
            <v>36324.5</v>
          </cell>
          <cell r="CK33">
            <v>23468.37</v>
          </cell>
          <cell r="CL33">
            <v>0.74958773374597509</v>
          </cell>
          <cell r="CM33">
            <v>1.1601875250549929</v>
          </cell>
          <cell r="CN33">
            <v>31313</v>
          </cell>
        </row>
        <row r="34">
          <cell r="C34" t="str">
            <v>JUMLAH  II.1</v>
          </cell>
          <cell r="D34">
            <v>3976</v>
          </cell>
          <cell r="E34">
            <v>6462.3</v>
          </cell>
          <cell r="F34">
            <v>0.2001269703632591</v>
          </cell>
          <cell r="G34">
            <v>0.12313028398005636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796</v>
          </cell>
          <cell r="M34">
            <v>4530.3</v>
          </cell>
          <cell r="N34">
            <v>0.14478890344849629</v>
          </cell>
          <cell r="O34">
            <v>2.544025056729202E-2</v>
          </cell>
          <cell r="P34">
            <v>539</v>
          </cell>
          <cell r="Q34">
            <v>696.21</v>
          </cell>
          <cell r="R34">
            <v>2.2238867948636044E-2</v>
          </cell>
          <cell r="S34">
            <v>1.7217146872803936E-2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5311</v>
          </cell>
          <cell r="BA34">
            <v>11688.810000000001</v>
          </cell>
          <cell r="BB34">
            <v>0.37296777281429483</v>
          </cell>
          <cell r="BC34">
            <v>0.1694639438417358</v>
          </cell>
          <cell r="CG34" t="str">
            <v>Jan s.d Jul</v>
          </cell>
          <cell r="CI34">
            <v>105587.5</v>
          </cell>
          <cell r="CK34">
            <v>56210.408333333209</v>
          </cell>
          <cell r="CL34">
            <v>1.7863921088160577</v>
          </cell>
          <cell r="CM34">
            <v>3.3614062989278466</v>
          </cell>
          <cell r="CN34">
            <v>31287</v>
          </cell>
        </row>
        <row r="35">
          <cell r="CG35" t="str">
            <v>Jan s.d Ags</v>
          </cell>
          <cell r="CI35">
            <v>128092.5</v>
          </cell>
          <cell r="CK35">
            <v>63153.461666666532</v>
          </cell>
          <cell r="CL35">
            <v>2.0083070681708479</v>
          </cell>
          <cell r="CM35">
            <v>4.0807146378545571</v>
          </cell>
          <cell r="CN35">
            <v>31287</v>
          </cell>
        </row>
        <row r="36">
          <cell r="A36" t="str">
            <v>II.2</v>
          </cell>
          <cell r="C36" t="str">
            <v>Kelompok Pembangkitan  :</v>
          </cell>
          <cell r="CG36" t="str">
            <v>Jan s.d Sep</v>
          </cell>
          <cell r="CI36">
            <v>148205.5</v>
          </cell>
          <cell r="CK36">
            <v>67885.738333333196</v>
          </cell>
          <cell r="CL36">
            <v>2.1595173399840721</v>
          </cell>
          <cell r="CM36">
            <v>4.7233846276296081</v>
          </cell>
          <cell r="CN36">
            <v>31296</v>
          </cell>
        </row>
        <row r="37">
          <cell r="C37" t="str">
            <v>Karena Cadangan Daya Kurang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CG37" t="str">
            <v>Jul s.d Sep</v>
          </cell>
          <cell r="CI37">
            <v>54766</v>
          </cell>
          <cell r="CK37">
            <v>20429.46999999999</v>
          </cell>
          <cell r="CL37">
            <v>0.65292642655267907</v>
          </cell>
          <cell r="CM37">
            <v>1.7502546095851956</v>
          </cell>
          <cell r="CN37">
            <v>31296</v>
          </cell>
        </row>
        <row r="38">
          <cell r="CG38" t="str">
            <v>Jan s.d Okt</v>
          </cell>
          <cell r="CI38">
            <v>175102.61199999999</v>
          </cell>
          <cell r="CK38">
            <v>80011.178466666548</v>
          </cell>
          <cell r="CL38">
            <v>2.5467631286061132</v>
          </cell>
          <cell r="CM38">
            <v>5.58238794903993</v>
          </cell>
          <cell r="CN38">
            <v>31312</v>
          </cell>
        </row>
        <row r="39">
          <cell r="C39" t="str">
            <v>JUMLAH  II.2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CG39" t="str">
            <v>Jan s.d Nov</v>
          </cell>
          <cell r="CI39">
            <v>189332.41199999998</v>
          </cell>
          <cell r="CK39">
            <v>82550.283466666559</v>
          </cell>
          <cell r="CL39">
            <v>2.6277811566852454</v>
          </cell>
          <cell r="CM39">
            <v>6.0364338967106379</v>
          </cell>
          <cell r="CN39">
            <v>31312</v>
          </cell>
        </row>
        <row r="40">
          <cell r="CG40" t="str">
            <v>Jan s.d Des</v>
          </cell>
          <cell r="CI40">
            <v>199005.89035039602</v>
          </cell>
          <cell r="CK40">
            <v>83930.580976043901</v>
          </cell>
          <cell r="CL40">
            <v>2.6718238340744396</v>
          </cell>
          <cell r="CM40">
            <v>6.3450962563276141</v>
          </cell>
          <cell r="CN40">
            <v>31340</v>
          </cell>
        </row>
        <row r="41">
          <cell r="C41" t="str">
            <v>JUMLAH  II ( II.1 + II.2 )</v>
          </cell>
          <cell r="D41">
            <v>3976</v>
          </cell>
          <cell r="E41">
            <v>6462.3</v>
          </cell>
          <cell r="F41">
            <v>0.2001269703632591</v>
          </cell>
          <cell r="G41">
            <v>0.12313028398005636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796</v>
          </cell>
          <cell r="M41">
            <v>4530.3</v>
          </cell>
          <cell r="N41">
            <v>0.14478890344849629</v>
          </cell>
          <cell r="O41">
            <v>2.544025056729202E-2</v>
          </cell>
          <cell r="P41">
            <v>539</v>
          </cell>
          <cell r="Q41">
            <v>696.21</v>
          </cell>
          <cell r="R41">
            <v>2.2238867948636044E-2</v>
          </cell>
          <cell r="S41">
            <v>1.7217146872803936E-2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5311</v>
          </cell>
          <cell r="BA41">
            <v>11688.810000000001</v>
          </cell>
          <cell r="BB41">
            <v>0.37296777281429483</v>
          </cell>
          <cell r="BC41">
            <v>0.1694639438417358</v>
          </cell>
          <cell r="CG41" t="str">
            <v>Okt s.d Des</v>
          </cell>
          <cell r="CI41">
            <v>50800.390350396025</v>
          </cell>
          <cell r="CK41">
            <v>16044.842642710701</v>
          </cell>
          <cell r="CL41">
            <v>0.51230649409036755</v>
          </cell>
          <cell r="CM41">
            <v>1.6217116286980062</v>
          </cell>
          <cell r="CN41">
            <v>31340</v>
          </cell>
        </row>
        <row r="43">
          <cell r="C43" t="str">
            <v>JUMLAH  ( I + II )</v>
          </cell>
          <cell r="D43">
            <v>13232</v>
          </cell>
          <cell r="E43">
            <v>9890.75</v>
          </cell>
          <cell r="F43">
            <v>0.30630051717196738</v>
          </cell>
          <cell r="G43">
            <v>0.4097736211328234</v>
          </cell>
          <cell r="H43">
            <v>30897</v>
          </cell>
          <cell r="I43">
            <v>7276.9183333332094</v>
          </cell>
          <cell r="J43">
            <v>0.23272733572128723</v>
          </cell>
          <cell r="K43">
            <v>0.98813483433542271</v>
          </cell>
          <cell r="L43">
            <v>12986</v>
          </cell>
          <cell r="M43">
            <v>6820.23</v>
          </cell>
          <cell r="N43">
            <v>0.21797532679216339</v>
          </cell>
          <cell r="O43">
            <v>0.41503403752117363</v>
          </cell>
          <cell r="P43">
            <v>13108</v>
          </cell>
          <cell r="Q43">
            <v>12118.130000000001</v>
          </cell>
          <cell r="R43">
            <v>0.38708650099022557</v>
          </cell>
          <cell r="S43">
            <v>0.41870567942247494</v>
          </cell>
          <cell r="T43">
            <v>11905.5</v>
          </cell>
          <cell r="U43">
            <v>5957.33</v>
          </cell>
          <cell r="V43">
            <v>0.19027532019547097</v>
          </cell>
          <cell r="W43">
            <v>0.38025807275863172</v>
          </cell>
          <cell r="X43">
            <v>11311</v>
          </cell>
          <cell r="Y43">
            <v>5392.91</v>
          </cell>
          <cell r="Z43">
            <v>0.17222591256027847</v>
          </cell>
          <cell r="AA43">
            <v>0.36122377287388624</v>
          </cell>
          <cell r="AB43">
            <v>12148</v>
          </cell>
          <cell r="AC43">
            <v>8754.14</v>
          </cell>
          <cell r="AD43">
            <v>0.27980119538466458</v>
          </cell>
          <cell r="AE43">
            <v>0.38827628088343402</v>
          </cell>
          <cell r="AF43">
            <v>22505</v>
          </cell>
          <cell r="AG43">
            <v>6943.0533333333242</v>
          </cell>
          <cell r="AH43">
            <v>0.22191495935479033</v>
          </cell>
          <cell r="AI43">
            <v>0.71930833892671087</v>
          </cell>
          <cell r="AJ43">
            <v>20113</v>
          </cell>
          <cell r="AK43">
            <v>4732.2766666666657</v>
          </cell>
          <cell r="AL43">
            <v>0.15121027181322425</v>
          </cell>
          <cell r="AM43">
            <v>0.64266998977505108</v>
          </cell>
          <cell r="AN43">
            <v>26897.112000000001</v>
          </cell>
          <cell r="AO43">
            <v>12125.440133333348</v>
          </cell>
          <cell r="AP43">
            <v>0.38724578862204106</v>
          </cell>
          <cell r="AQ43">
            <v>0.85900332141032187</v>
          </cell>
          <cell r="AR43">
            <v>14229.799999999997</v>
          </cell>
          <cell r="AS43">
            <v>2539.105000000005</v>
          </cell>
          <cell r="AT43">
            <v>8.1018028079132276E-2</v>
          </cell>
          <cell r="AU43">
            <v>0.45404594767070827</v>
          </cell>
          <cell r="AV43">
            <v>9673.478350396028</v>
          </cell>
          <cell r="AW43">
            <v>1380.2975093773471</v>
          </cell>
          <cell r="AX43">
            <v>4.4042677389194235E-2</v>
          </cell>
          <cell r="AY43">
            <v>0.30866235961697602</v>
          </cell>
          <cell r="AZ43">
            <v>199005.89035039602</v>
          </cell>
          <cell r="BA43">
            <v>83930.580976043901</v>
          </cell>
          <cell r="BB43">
            <v>2.6780657618393073</v>
          </cell>
          <cell r="BC43">
            <v>6.3499007769749847</v>
          </cell>
          <cell r="CG43" t="str">
            <v>Apr s.d Mei</v>
          </cell>
          <cell r="CI43">
            <v>25013.5</v>
          </cell>
          <cell r="CK43">
            <v>18075.46</v>
          </cell>
          <cell r="CL43">
            <v>0.57736182118569657</v>
          </cell>
          <cell r="CM43">
            <v>0.7989637521811066</v>
          </cell>
          <cell r="CN43">
            <v>31309</v>
          </cell>
        </row>
        <row r="44">
          <cell r="CG44" t="str">
            <v>Apr s.dJun</v>
          </cell>
          <cell r="CI44">
            <v>36324.5</v>
          </cell>
          <cell r="CK44">
            <v>23468.37</v>
          </cell>
          <cell r="CL44">
            <v>0.74958773374597509</v>
          </cell>
          <cell r="CM44">
            <v>1.1601875250549929</v>
          </cell>
          <cell r="CN44">
            <v>31313</v>
          </cell>
        </row>
        <row r="45">
          <cell r="CG45" t="str">
            <v>Apr s.d Jul</v>
          </cell>
          <cell r="CI45">
            <v>48472.5</v>
          </cell>
          <cell r="CK45">
            <v>32222.51</v>
          </cell>
          <cell r="CL45">
            <v>1.0293889291306395</v>
          </cell>
          <cell r="CM45">
            <v>1.548463805938427</v>
          </cell>
          <cell r="CN45">
            <v>31287</v>
          </cell>
        </row>
        <row r="46">
          <cell r="G46">
            <v>32291</v>
          </cell>
          <cell r="K46">
            <v>31268</v>
          </cell>
          <cell r="O46">
            <v>31289</v>
          </cell>
          <cell r="S46">
            <v>31306</v>
          </cell>
          <cell r="W46">
            <v>31309</v>
          </cell>
          <cell r="AA46">
            <v>31313</v>
          </cell>
          <cell r="AE46">
            <v>31287</v>
          </cell>
          <cell r="AI46">
            <v>31287</v>
          </cell>
          <cell r="AM46">
            <v>31296</v>
          </cell>
          <cell r="AQ46">
            <v>31312</v>
          </cell>
          <cell r="AU46">
            <v>31340</v>
          </cell>
          <cell r="AY46">
            <v>31340</v>
          </cell>
          <cell r="BC46">
            <v>31340</v>
          </cell>
          <cell r="CG46" t="str">
            <v>Apr s.d Ags</v>
          </cell>
          <cell r="CI46">
            <v>70977.5</v>
          </cell>
          <cell r="CK46">
            <v>39165.563333333324</v>
          </cell>
          <cell r="CL46">
            <v>1.2513038884854297</v>
          </cell>
          <cell r="CM46">
            <v>2.2677721448651376</v>
          </cell>
          <cell r="CN46">
            <v>31287</v>
          </cell>
        </row>
        <row r="47">
          <cell r="BI47" t="str">
            <v>Saidi :</v>
          </cell>
          <cell r="BJ47">
            <v>0.15121027181322425</v>
          </cell>
          <cell r="BP47" t="str">
            <v>Saidi :</v>
          </cell>
          <cell r="BQ47">
            <v>0.38724578862204106</v>
          </cell>
          <cell r="BW47" t="str">
            <v>Saidi :</v>
          </cell>
          <cell r="BX47">
            <v>8.1018028079132276E-2</v>
          </cell>
          <cell r="CD47" t="str">
            <v>Saidi :</v>
          </cell>
          <cell r="CE47">
            <v>4.4042677389194235E-2</v>
          </cell>
          <cell r="CG47" t="str">
            <v>Apr s.d Sep</v>
          </cell>
          <cell r="CI47">
            <v>91090.5</v>
          </cell>
          <cell r="CK47">
            <v>43897.839999999989</v>
          </cell>
          <cell r="CL47">
            <v>1.4025141602986539</v>
          </cell>
          <cell r="CM47">
            <v>2.9104421346401885</v>
          </cell>
          <cell r="CN47">
            <v>31296</v>
          </cell>
        </row>
        <row r="50">
          <cell r="BE50" t="str">
            <v>ANGKA  SAIFI  PALANGKA RAYA (KOTA)</v>
          </cell>
        </row>
        <row r="51">
          <cell r="BE51" t="str">
            <v>JANUARI  S/D DESEMBER  2007</v>
          </cell>
        </row>
        <row r="65">
          <cell r="BI65" t="str">
            <v>Saifi :</v>
          </cell>
          <cell r="BJ65">
            <v>0.4097736211328234</v>
          </cell>
          <cell r="BP65" t="str">
            <v>Saifi :</v>
          </cell>
          <cell r="BQ65">
            <v>0.98813483433542271</v>
          </cell>
          <cell r="BW65" t="str">
            <v>Saifi :</v>
          </cell>
          <cell r="BX65">
            <v>0.41503403752117363</v>
          </cell>
          <cell r="CD65" t="str">
            <v>Saifi :</v>
          </cell>
          <cell r="CE65">
            <v>0.41870567942247494</v>
          </cell>
        </row>
        <row r="79">
          <cell r="BI79" t="str">
            <v>Saifi :</v>
          </cell>
          <cell r="BJ79">
            <v>0.38025807275863172</v>
          </cell>
          <cell r="BP79" t="str">
            <v>Saifi :</v>
          </cell>
          <cell r="BQ79">
            <v>0.36122377287388624</v>
          </cell>
          <cell r="BW79" t="str">
            <v>Saifi :</v>
          </cell>
          <cell r="BX79">
            <v>0.38827628088343402</v>
          </cell>
          <cell r="CD79" t="str">
            <v>Saifi :</v>
          </cell>
          <cell r="CE79">
            <v>0.71930833892671087</v>
          </cell>
        </row>
        <row r="93">
          <cell r="BI93" t="str">
            <v>Saifi :</v>
          </cell>
          <cell r="BJ93">
            <v>0.64266998977505108</v>
          </cell>
          <cell r="BP93" t="str">
            <v>Saifi :</v>
          </cell>
          <cell r="BQ93">
            <v>0.85900332141032187</v>
          </cell>
          <cell r="BW93" t="str">
            <v>Saifi :</v>
          </cell>
          <cell r="BX93">
            <v>0.45404594767070827</v>
          </cell>
          <cell r="CD93" t="str">
            <v>Saifi :</v>
          </cell>
          <cell r="CE93">
            <v>0.30866235961697602</v>
          </cell>
        </row>
        <row r="97">
          <cell r="BE97" t="str">
            <v>ANGKA  SAIDI &amp; SAIFI KOMULATIF PALANGKA RAYA (KOTA)</v>
          </cell>
        </row>
        <row r="98">
          <cell r="BE98" t="str">
            <v>JANUARI  S/D DESEMBER  2007</v>
          </cell>
        </row>
        <row r="121">
          <cell r="BN121" t="str">
            <v>Saidi :</v>
          </cell>
          <cell r="BO121">
            <v>2.6780657618393073</v>
          </cell>
          <cell r="CB121" t="str">
            <v>Saifi :</v>
          </cell>
          <cell r="CC121">
            <v>6.3499007769749847</v>
          </cell>
        </row>
      </sheetData>
      <sheetData sheetId="1">
        <row r="2">
          <cell r="A2" t="str">
            <v>REKAPITULASI</v>
          </cell>
        </row>
        <row r="3">
          <cell r="A3" t="str">
            <v>LAPORAN SAIDI &amp; SAIFI TAHUN 2007</v>
          </cell>
        </row>
        <row r="4">
          <cell r="CG4" t="str">
            <v>REALISASI  SAIDI &amp; SAIFI  TH 2007</v>
          </cell>
        </row>
        <row r="5">
          <cell r="A5" t="str">
            <v>RANTING  SAMPIT</v>
          </cell>
          <cell r="BE5" t="str">
            <v>ANGKA  SAIDI  SAMPIT</v>
          </cell>
          <cell r="CG5" t="str">
            <v>RANTING SAMPIT</v>
          </cell>
        </row>
        <row r="6">
          <cell r="D6" t="str">
            <v>JANUARI</v>
          </cell>
          <cell r="H6" t="str">
            <v>FEBRUARI</v>
          </cell>
          <cell r="L6" t="str">
            <v>MARET</v>
          </cell>
          <cell r="P6" t="str">
            <v>APRIL</v>
          </cell>
          <cell r="T6" t="str">
            <v>MEI</v>
          </cell>
          <cell r="X6" t="str">
            <v>JUNI</v>
          </cell>
          <cell r="AB6" t="str">
            <v>JULI</v>
          </cell>
          <cell r="AF6" t="str">
            <v>AGUSTUS</v>
          </cell>
          <cell r="AJ6" t="str">
            <v>SEPTEMBER</v>
          </cell>
          <cell r="AN6" t="str">
            <v>OKTOBER</v>
          </cell>
          <cell r="AR6" t="str">
            <v>NOVEMBER</v>
          </cell>
          <cell r="AV6" t="str">
            <v>DESEMBER</v>
          </cell>
          <cell r="AZ6" t="str">
            <v xml:space="preserve">KOMULATIF </v>
          </cell>
          <cell r="BE6" t="str">
            <v>JANUARI  S/D DESEMBER  2007</v>
          </cell>
          <cell r="CG6" t="str">
            <v>BULAN</v>
          </cell>
          <cell r="CH6" t="str">
            <v>PELG.         PADAM</v>
          </cell>
          <cell r="CJ6" t="str">
            <v>KOEFISIEN</v>
          </cell>
          <cell r="CK6" t="str">
            <v>JAM X PLG          PADAM</v>
          </cell>
          <cell r="CL6" t="str">
            <v>SAIDI (JAM/PELG)</v>
          </cell>
          <cell r="CM6" t="str">
            <v>SAIFI        (KALI/PELG)</v>
          </cell>
          <cell r="CN6" t="str">
            <v>JUMLAH        PELG.</v>
          </cell>
        </row>
        <row r="7">
          <cell r="A7" t="str">
            <v>No.</v>
          </cell>
          <cell r="C7" t="str">
            <v>PENYEBAB  PEMADAMAN</v>
          </cell>
          <cell r="D7" t="str">
            <v>PLG</v>
          </cell>
          <cell r="E7" t="str">
            <v>JAM X PLG</v>
          </cell>
          <cell r="H7" t="str">
            <v>PLG</v>
          </cell>
          <cell r="I7" t="str">
            <v>JAM X PLG</v>
          </cell>
          <cell r="L7" t="str">
            <v>PLG</v>
          </cell>
          <cell r="M7" t="str">
            <v>JAM X PLG</v>
          </cell>
          <cell r="P7" t="str">
            <v>PLG</v>
          </cell>
          <cell r="Q7" t="str">
            <v>JAM X PLG</v>
          </cell>
          <cell r="T7" t="str">
            <v>PLG</v>
          </cell>
          <cell r="U7" t="str">
            <v>JAM X PLG</v>
          </cell>
          <cell r="X7" t="str">
            <v>PLG</v>
          </cell>
          <cell r="Y7" t="str">
            <v>JAM X PLG</v>
          </cell>
          <cell r="AB7" t="str">
            <v>PLG</v>
          </cell>
          <cell r="AC7" t="str">
            <v>JAM X PLG</v>
          </cell>
          <cell r="AF7" t="str">
            <v>PLG</v>
          </cell>
          <cell r="AG7" t="str">
            <v>JAM X PLG</v>
          </cell>
          <cell r="AJ7" t="str">
            <v>PLG</v>
          </cell>
          <cell r="AK7" t="str">
            <v>JAM X PLG</v>
          </cell>
          <cell r="AN7" t="str">
            <v>PLG</v>
          </cell>
          <cell r="AO7" t="str">
            <v>JAM X PLG</v>
          </cell>
          <cell r="AR7" t="str">
            <v>PLG</v>
          </cell>
          <cell r="AS7" t="str">
            <v>JAM X PLG</v>
          </cell>
          <cell r="AV7" t="str">
            <v>PLG</v>
          </cell>
          <cell r="AW7" t="str">
            <v>JAM X PLG</v>
          </cell>
          <cell r="AZ7" t="str">
            <v>PLG</v>
          </cell>
          <cell r="BA7" t="str">
            <v>JAM X PLG</v>
          </cell>
          <cell r="CJ7" t="str">
            <v>JAM</v>
          </cell>
        </row>
        <row r="8">
          <cell r="D8" t="str">
            <v>PADAM</v>
          </cell>
          <cell r="E8" t="str">
            <v>PADAM</v>
          </cell>
          <cell r="F8" t="str">
            <v>SAIDI</v>
          </cell>
          <cell r="G8" t="str">
            <v>SAIFI</v>
          </cell>
          <cell r="H8" t="str">
            <v>PADAM</v>
          </cell>
          <cell r="I8" t="str">
            <v>PADAM</v>
          </cell>
          <cell r="J8" t="str">
            <v>SAIDI</v>
          </cell>
          <cell r="K8" t="str">
            <v>SAIFI</v>
          </cell>
          <cell r="L8" t="str">
            <v>PADAM</v>
          </cell>
          <cell r="M8" t="str">
            <v>PADAM</v>
          </cell>
          <cell r="N8" t="str">
            <v>SAIDI</v>
          </cell>
          <cell r="O8" t="str">
            <v>SAIFI</v>
          </cell>
          <cell r="P8" t="str">
            <v>PADAM</v>
          </cell>
          <cell r="Q8" t="str">
            <v>PADAM</v>
          </cell>
          <cell r="R8" t="str">
            <v>SAIDI</v>
          </cell>
          <cell r="S8" t="str">
            <v>SAIFI</v>
          </cell>
          <cell r="T8" t="str">
            <v>PADAM</v>
          </cell>
          <cell r="U8" t="str">
            <v>PADAM</v>
          </cell>
          <cell r="V8" t="str">
            <v>SAIDI</v>
          </cell>
          <cell r="W8" t="str">
            <v>SAIFI</v>
          </cell>
          <cell r="X8" t="str">
            <v>PADAM</v>
          </cell>
          <cell r="Y8" t="str">
            <v>PADAM</v>
          </cell>
          <cell r="Z8" t="str">
            <v>SAIDI</v>
          </cell>
          <cell r="AA8" t="str">
            <v>SAIFI</v>
          </cell>
          <cell r="AB8" t="str">
            <v>PADAM</v>
          </cell>
          <cell r="AC8" t="str">
            <v>PADAM</v>
          </cell>
          <cell r="AD8" t="str">
            <v>SAIDI</v>
          </cell>
          <cell r="AE8" t="str">
            <v>SAIFI</v>
          </cell>
          <cell r="AF8" t="str">
            <v>PADAM</v>
          </cell>
          <cell r="AG8" t="str">
            <v>PADAM</v>
          </cell>
          <cell r="AH8" t="str">
            <v>SAIDI</v>
          </cell>
          <cell r="AI8" t="str">
            <v>SAIFI</v>
          </cell>
          <cell r="AJ8" t="str">
            <v>PADAM</v>
          </cell>
          <cell r="AK8" t="str">
            <v>PADAM</v>
          </cell>
          <cell r="AL8" t="str">
            <v>SAIDI</v>
          </cell>
          <cell r="AM8" t="str">
            <v>SAIFI</v>
          </cell>
          <cell r="AN8" t="str">
            <v>PADAM</v>
          </cell>
          <cell r="AO8" t="str">
            <v>PADAM</v>
          </cell>
          <cell r="AP8" t="str">
            <v>SAIDI</v>
          </cell>
          <cell r="AQ8" t="str">
            <v>SAIFI</v>
          </cell>
          <cell r="AR8" t="str">
            <v>PADAM</v>
          </cell>
          <cell r="AS8" t="str">
            <v>PADAM</v>
          </cell>
          <cell r="AT8" t="str">
            <v>SAIDI</v>
          </cell>
          <cell r="AU8" t="str">
            <v>SAIFI</v>
          </cell>
          <cell r="AV8" t="str">
            <v>PADAM</v>
          </cell>
          <cell r="AW8" t="str">
            <v>PADAM</v>
          </cell>
          <cell r="AX8" t="str">
            <v>SAIDI</v>
          </cell>
          <cell r="AY8" t="str">
            <v>SAIFI</v>
          </cell>
          <cell r="AZ8" t="str">
            <v>PADAM</v>
          </cell>
          <cell r="BA8" t="str">
            <v>PADAM</v>
          </cell>
          <cell r="BB8" t="str">
            <v>SAIDI</v>
          </cell>
          <cell r="BC8" t="str">
            <v>SAIFI</v>
          </cell>
          <cell r="CJ8" t="str">
            <v>PADAM</v>
          </cell>
        </row>
        <row r="9">
          <cell r="CG9">
            <v>1</v>
          </cell>
          <cell r="CH9">
            <v>2</v>
          </cell>
          <cell r="CJ9">
            <v>2</v>
          </cell>
          <cell r="CK9">
            <v>3</v>
          </cell>
          <cell r="CL9">
            <v>4</v>
          </cell>
          <cell r="CM9">
            <v>5</v>
          </cell>
          <cell r="CN9">
            <v>6</v>
          </cell>
        </row>
        <row r="10">
          <cell r="A10" t="str">
            <v>I</v>
          </cell>
          <cell r="C10" t="str">
            <v>PEMADAMAN KARENA GANGGUAN</v>
          </cell>
        </row>
        <row r="11">
          <cell r="CG11" t="str">
            <v xml:space="preserve">JAN </v>
          </cell>
          <cell r="CI11">
            <v>22478</v>
          </cell>
          <cell r="CJ11">
            <v>0.57335127680398612</v>
          </cell>
          <cell r="CK11">
            <v>12887.79</v>
          </cell>
          <cell r="CL11">
            <v>0.32965315257705591</v>
          </cell>
          <cell r="CM11">
            <v>0.57495843458242746</v>
          </cell>
          <cell r="CN11">
            <v>39095</v>
          </cell>
        </row>
        <row r="12">
          <cell r="A12">
            <v>1</v>
          </cell>
          <cell r="C12" t="str">
            <v>Kelompok Samb. Tenaga listrik &amp; APP</v>
          </cell>
          <cell r="D12">
            <v>53</v>
          </cell>
          <cell r="E12">
            <v>0.47</v>
          </cell>
          <cell r="F12">
            <v>1.2021997697915334E-5</v>
          </cell>
          <cell r="G12">
            <v>1.3556720808287504E-3</v>
          </cell>
          <cell r="H12">
            <v>37</v>
          </cell>
          <cell r="I12">
            <v>0.8</v>
          </cell>
          <cell r="J12">
            <v>2.0296326364927949E-5</v>
          </cell>
          <cell r="K12">
            <v>9.3870509437791756E-4</v>
          </cell>
          <cell r="L12">
            <v>61</v>
          </cell>
          <cell r="M12">
            <v>15.94</v>
          </cell>
          <cell r="N12">
            <v>4.0212921617598828E-4</v>
          </cell>
          <cell r="O12">
            <v>1.5388884684275587E-3</v>
          </cell>
          <cell r="P12">
            <v>102</v>
          </cell>
          <cell r="Q12">
            <v>2.0299999999999998</v>
          </cell>
          <cell r="R12">
            <v>5.1038366772263285E-5</v>
          </cell>
          <cell r="S12">
            <v>2.5644893649117515E-3</v>
          </cell>
          <cell r="T12">
            <v>54</v>
          </cell>
          <cell r="U12">
            <v>0.59000000000000008</v>
          </cell>
          <cell r="V12">
            <v>1.4824120603015077E-5</v>
          </cell>
          <cell r="W12">
            <v>1.3567839195979898E-3</v>
          </cell>
          <cell r="X12">
            <v>80</v>
          </cell>
          <cell r="Y12">
            <v>1.1400000000000001</v>
          </cell>
          <cell r="Z12">
            <v>2.8631705846895724E-5</v>
          </cell>
          <cell r="AA12">
            <v>2.0092425155716293E-3</v>
          </cell>
          <cell r="AB12">
            <v>47</v>
          </cell>
          <cell r="AC12">
            <v>0.72000000000000008</v>
          </cell>
          <cell r="AD12">
            <v>1.8064127653168752E-5</v>
          </cell>
          <cell r="AE12">
            <v>1.17918611069296E-3</v>
          </cell>
          <cell r="AF12">
            <v>40</v>
          </cell>
          <cell r="AG12">
            <v>0.56000000000000005</v>
          </cell>
          <cell r="AH12">
            <v>1.4049877063575696E-5</v>
          </cell>
          <cell r="AI12">
            <v>1.0035626473982638E-3</v>
          </cell>
          <cell r="AJ12">
            <v>41</v>
          </cell>
          <cell r="AK12">
            <v>0.56900000000000006</v>
          </cell>
          <cell r="AL12">
            <v>1.4255649646740494E-5</v>
          </cell>
          <cell r="AM12">
            <v>1.0272084982712833E-3</v>
          </cell>
          <cell r="AN12">
            <v>49</v>
          </cell>
          <cell r="AO12">
            <v>0.45</v>
          </cell>
          <cell r="AP12">
            <v>1.1226144443058501E-5</v>
          </cell>
          <cell r="AQ12">
            <v>1.2224023949108146E-3</v>
          </cell>
          <cell r="AR12">
            <v>70</v>
          </cell>
          <cell r="AS12">
            <v>0.6</v>
          </cell>
          <cell r="AT12">
            <v>1.4913131011855938E-5</v>
          </cell>
          <cell r="AU12">
            <v>1.7398652847165263E-3</v>
          </cell>
          <cell r="AV12">
            <v>70</v>
          </cell>
          <cell r="AW12">
            <v>0.6</v>
          </cell>
          <cell r="AX12">
            <v>1.4913131011855938E-5</v>
          </cell>
          <cell r="AY12">
            <v>1.7398652847165263E-3</v>
          </cell>
          <cell r="AZ12">
            <v>704</v>
          </cell>
          <cell r="BA12">
            <v>24.469000000000001</v>
          </cell>
          <cell r="BB12">
            <v>6.0818233788183837E-4</v>
          </cell>
          <cell r="BC12">
            <v>1.7498073720577635E-2</v>
          </cell>
          <cell r="CG12" t="str">
            <v xml:space="preserve">FEB </v>
          </cell>
          <cell r="CI12">
            <v>28663</v>
          </cell>
          <cell r="CJ12">
            <v>0.20832676272546488</v>
          </cell>
          <cell r="CK12">
            <v>5971.2699999999995</v>
          </cell>
          <cell r="CL12">
            <v>0.15149355591637911</v>
          </cell>
          <cell r="CM12">
            <v>0.72719200324741218</v>
          </cell>
          <cell r="CN12">
            <v>39416</v>
          </cell>
        </row>
        <row r="13">
          <cell r="A13">
            <v>2</v>
          </cell>
          <cell r="C13" t="str">
            <v>Kelompok JTR</v>
          </cell>
          <cell r="D13">
            <v>306</v>
          </cell>
          <cell r="E13">
            <v>2.98</v>
          </cell>
          <cell r="F13">
            <v>7.6224581148484459E-5</v>
          </cell>
          <cell r="G13">
            <v>7.8270878628980689E-3</v>
          </cell>
          <cell r="H13">
            <v>463</v>
          </cell>
          <cell r="I13">
            <v>4.53</v>
          </cell>
          <cell r="J13">
            <v>1.1492794804140451E-4</v>
          </cell>
          <cell r="K13">
            <v>1.174649888370205E-2</v>
          </cell>
          <cell r="L13">
            <v>472</v>
          </cell>
          <cell r="M13">
            <v>5.5200000000000005</v>
          </cell>
          <cell r="N13">
            <v>1.3925679255278892E-4</v>
          </cell>
          <cell r="O13">
            <v>1.1907464870455865E-2</v>
          </cell>
          <cell r="P13">
            <v>402</v>
          </cell>
          <cell r="Q13">
            <v>3.73</v>
          </cell>
          <cell r="R13">
            <v>9.3779856187459145E-5</v>
          </cell>
          <cell r="S13">
            <v>1.0107105144063962E-2</v>
          </cell>
          <cell r="T13">
            <v>86</v>
          </cell>
          <cell r="U13">
            <v>6.65</v>
          </cell>
          <cell r="V13">
            <v>1.6708542713567839E-4</v>
          </cell>
          <cell r="W13">
            <v>2.1608040201005025E-3</v>
          </cell>
          <cell r="X13">
            <v>254</v>
          </cell>
          <cell r="Y13">
            <v>2.7199999999999998</v>
          </cell>
          <cell r="Z13">
            <v>6.8314245529435403E-5</v>
          </cell>
          <cell r="AA13">
            <v>6.3793449869399233E-3</v>
          </cell>
          <cell r="AB13">
            <v>375</v>
          </cell>
          <cell r="AC13">
            <v>4.6100000000000003</v>
          </cell>
          <cell r="AD13">
            <v>1.1566059511264992E-4</v>
          </cell>
          <cell r="AE13">
            <v>9.4083998193587228E-3</v>
          </cell>
          <cell r="AF13">
            <v>89</v>
          </cell>
          <cell r="AG13">
            <v>0.85</v>
          </cell>
          <cell r="AH13">
            <v>2.1325706257213106E-5</v>
          </cell>
          <cell r="AI13">
            <v>2.2329268904611372E-3</v>
          </cell>
          <cell r="AJ13">
            <v>89</v>
          </cell>
          <cell r="AK13">
            <v>0.85</v>
          </cell>
          <cell r="AL13">
            <v>2.1295785939770505E-5</v>
          </cell>
          <cell r="AM13">
            <v>2.2297940572230295E-3</v>
          </cell>
          <cell r="AN13">
            <v>249</v>
          </cell>
          <cell r="AO13">
            <v>3.21</v>
          </cell>
          <cell r="AP13">
            <v>8.0079830360483975E-5</v>
          </cell>
          <cell r="AQ13">
            <v>6.2117999251590367E-3</v>
          </cell>
          <cell r="AR13">
            <v>219</v>
          </cell>
          <cell r="AS13">
            <v>2.79</v>
          </cell>
          <cell r="AT13">
            <v>6.9346059205130121E-5</v>
          </cell>
          <cell r="AU13">
            <v>5.4432928193274182E-3</v>
          </cell>
          <cell r="AV13">
            <v>219</v>
          </cell>
          <cell r="AW13">
            <v>2.79</v>
          </cell>
          <cell r="AX13">
            <v>6.9346059205130121E-5</v>
          </cell>
          <cell r="AY13">
            <v>5.4432928193274182E-3</v>
          </cell>
          <cell r="AZ13">
            <v>3223</v>
          </cell>
          <cell r="BA13">
            <v>41.230000000000004</v>
          </cell>
          <cell r="BB13">
            <v>1.024780652698034E-3</v>
          </cell>
          <cell r="BC13">
            <v>8.0108368752019488E-2</v>
          </cell>
          <cell r="CG13" t="str">
            <v xml:space="preserve">MAR </v>
          </cell>
          <cell r="CI13">
            <v>21460</v>
          </cell>
          <cell r="CJ13">
            <v>0.24812208760484625</v>
          </cell>
          <cell r="CK13">
            <v>5324.7000000000007</v>
          </cell>
          <cell r="CL13">
            <v>0.13432982668583973</v>
          </cell>
          <cell r="CM13">
            <v>0.54138600872877718</v>
          </cell>
          <cell r="CN13">
            <v>39639</v>
          </cell>
        </row>
        <row r="14">
          <cell r="A14">
            <v>3</v>
          </cell>
          <cell r="C14" t="str">
            <v>Kelompok Trafo &amp; Gardu Dist.</v>
          </cell>
          <cell r="D14">
            <v>450</v>
          </cell>
          <cell r="E14">
            <v>734.37</v>
          </cell>
          <cell r="F14">
            <v>1.8784243509400181E-2</v>
          </cell>
          <cell r="G14">
            <v>1.1510423327791277E-2</v>
          </cell>
          <cell r="H14">
            <v>3</v>
          </cell>
          <cell r="I14">
            <v>0.04</v>
          </cell>
          <cell r="J14">
            <v>1.0148163182463973E-6</v>
          </cell>
          <cell r="K14">
            <v>7.6111223868479801E-5</v>
          </cell>
          <cell r="L14">
            <v>1</v>
          </cell>
          <cell r="M14">
            <v>0.02</v>
          </cell>
          <cell r="N14">
            <v>5.0455359620575693E-7</v>
          </cell>
          <cell r="O14">
            <v>2.5227679810287846E-5</v>
          </cell>
          <cell r="P14">
            <v>1</v>
          </cell>
          <cell r="Q14">
            <v>0.42</v>
          </cell>
          <cell r="R14">
            <v>1.0559662090813093E-5</v>
          </cell>
          <cell r="S14">
            <v>2.5142052597174033E-5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1</v>
          </cell>
          <cell r="AG14">
            <v>0.01</v>
          </cell>
          <cell r="AH14">
            <v>2.5089066184956595E-7</v>
          </cell>
          <cell r="AI14">
            <v>2.5089066184956597E-5</v>
          </cell>
          <cell r="AJ14">
            <v>1</v>
          </cell>
          <cell r="AK14">
            <v>0.01</v>
          </cell>
          <cell r="AL14">
            <v>2.5053865811494716E-7</v>
          </cell>
          <cell r="AM14">
            <v>2.5053865811494713E-5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457</v>
          </cell>
          <cell r="BA14">
            <v>734.86999999999989</v>
          </cell>
          <cell r="BB14">
            <v>1.826535431113762E-2</v>
          </cell>
          <cell r="BC14">
            <v>1.1358834787363607E-2</v>
          </cell>
          <cell r="CG14" t="str">
            <v xml:space="preserve">APR </v>
          </cell>
          <cell r="CI14">
            <v>22999</v>
          </cell>
          <cell r="CJ14">
            <v>0.11825079351276142</v>
          </cell>
          <cell r="CK14">
            <v>2719.65</v>
          </cell>
          <cell r="CL14">
            <v>6.8377583345904366E-2</v>
          </cell>
          <cell r="CM14">
            <v>0.5782420676824056</v>
          </cell>
          <cell r="CN14">
            <v>39774</v>
          </cell>
        </row>
        <row r="15">
          <cell r="A15">
            <v>4</v>
          </cell>
          <cell r="C15" t="str">
            <v>Kelompok Tiang TR &amp; TM</v>
          </cell>
          <cell r="D15">
            <v>694</v>
          </cell>
          <cell r="E15">
            <v>123.44</v>
          </cell>
          <cell r="F15">
            <v>3.1574370124056784E-3</v>
          </cell>
          <cell r="G15">
            <v>1.7751630643304771E-2</v>
          </cell>
          <cell r="H15">
            <v>3100</v>
          </cell>
          <cell r="I15">
            <v>139.93</v>
          </cell>
          <cell r="J15">
            <v>3.5500811853054598E-3</v>
          </cell>
          <cell r="K15">
            <v>7.8648264664095802E-2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650</v>
          </cell>
          <cell r="AC15">
            <v>37.85</v>
          </cell>
          <cell r="AD15">
            <v>9.4962115510060716E-4</v>
          </cell>
          <cell r="AE15">
            <v>1.6307893020221786E-2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4444</v>
          </cell>
          <cell r="BA15">
            <v>301.22000000000003</v>
          </cell>
          <cell r="BB15">
            <v>7.4868888723187439E-3</v>
          </cell>
          <cell r="BC15">
            <v>0.11045659036114633</v>
          </cell>
          <cell r="CG15" t="str">
            <v xml:space="preserve">MEI </v>
          </cell>
          <cell r="CI15">
            <v>17288</v>
          </cell>
          <cell r="CJ15">
            <v>0.26308769088385009</v>
          </cell>
          <cell r="CK15">
            <v>4548.26</v>
          </cell>
          <cell r="CL15">
            <v>0.11427788944723619</v>
          </cell>
          <cell r="CM15">
            <v>0.43437185929648242</v>
          </cell>
          <cell r="CN15">
            <v>39800</v>
          </cell>
        </row>
        <row r="16">
          <cell r="A16">
            <v>5</v>
          </cell>
          <cell r="C16" t="str">
            <v>Kelompok SUTM</v>
          </cell>
          <cell r="D16">
            <v>11246</v>
          </cell>
          <cell r="E16">
            <v>2824.61</v>
          </cell>
          <cell r="F16">
            <v>7.224990407980561E-2</v>
          </cell>
          <cell r="G16">
            <v>0.28765826832075714</v>
          </cell>
          <cell r="H16">
            <v>19665</v>
          </cell>
          <cell r="I16">
            <v>2586.7299999999996</v>
          </cell>
          <cell r="J16">
            <v>6.5626395372437571E-2</v>
          </cell>
          <cell r="K16">
            <v>0.49890907245788513</v>
          </cell>
          <cell r="L16">
            <v>19842</v>
          </cell>
          <cell r="M16">
            <v>2773.01</v>
          </cell>
          <cell r="N16">
            <v>6.9956608390726316E-2</v>
          </cell>
          <cell r="O16">
            <v>0.50056762279573153</v>
          </cell>
          <cell r="P16">
            <v>21319</v>
          </cell>
          <cell r="Q16">
            <v>2408.2600000000002</v>
          </cell>
          <cell r="R16">
            <v>6.0548599587670345E-2</v>
          </cell>
          <cell r="S16">
            <v>0.53600341931915318</v>
          </cell>
          <cell r="T16">
            <v>13364</v>
          </cell>
          <cell r="U16">
            <v>3790.9800000000005</v>
          </cell>
          <cell r="V16">
            <v>9.5250753768844232E-2</v>
          </cell>
          <cell r="W16">
            <v>0.33577889447236181</v>
          </cell>
          <cell r="X16">
            <v>14541</v>
          </cell>
          <cell r="Y16">
            <v>2797.74</v>
          </cell>
          <cell r="Z16">
            <v>7.0266726943942134E-2</v>
          </cell>
          <cell r="AA16">
            <v>0.36520494273658832</v>
          </cell>
          <cell r="AB16">
            <v>11895</v>
          </cell>
          <cell r="AC16">
            <v>2815.71</v>
          </cell>
          <cell r="AD16">
            <v>7.0643534547644132E-2</v>
          </cell>
          <cell r="AE16">
            <v>0.29843444227005872</v>
          </cell>
          <cell r="AF16">
            <v>23125</v>
          </cell>
          <cell r="AG16">
            <v>8249.9999999999945</v>
          </cell>
          <cell r="AH16">
            <v>0.20698479602589179</v>
          </cell>
          <cell r="AI16">
            <v>0.58018465552712128</v>
          </cell>
          <cell r="AJ16">
            <v>18859</v>
          </cell>
          <cell r="AK16">
            <v>4255.1500000000015</v>
          </cell>
          <cell r="AL16">
            <v>0.10660795710778177</v>
          </cell>
          <cell r="AM16">
            <v>0.47249085533897878</v>
          </cell>
          <cell r="AN16">
            <v>23834.2</v>
          </cell>
          <cell r="AO16">
            <v>10473.848666666672</v>
          </cell>
          <cell r="AP16">
            <v>0.26129097334830165</v>
          </cell>
          <cell r="AQ16">
            <v>0.59459149307721093</v>
          </cell>
          <cell r="AR16">
            <v>22401.654999999999</v>
          </cell>
          <cell r="AS16">
            <v>24737.963250000001</v>
          </cell>
          <cell r="AT16">
            <v>0.6148674781895459</v>
          </cell>
          <cell r="AU16">
            <v>0.55679802649566279</v>
          </cell>
          <cell r="AV16">
            <v>15123.816745353784</v>
          </cell>
          <cell r="AW16">
            <v>13868.932858797683</v>
          </cell>
          <cell r="AX16">
            <v>0.34471535452980595</v>
          </cell>
          <cell r="AY16">
            <v>0.37590576753793614</v>
          </cell>
          <cell r="AZ16">
            <v>215215.67174535379</v>
          </cell>
          <cell r="BA16">
            <v>81582.934775464339</v>
          </cell>
          <cell r="BB16">
            <v>2.0277616577303292</v>
          </cell>
          <cell r="BC16">
            <v>5.3492325142384063</v>
          </cell>
          <cell r="CG16" t="str">
            <v xml:space="preserve">JUN </v>
          </cell>
          <cell r="CI16">
            <v>14875</v>
          </cell>
          <cell r="CJ16">
            <v>0.18834285714285715</v>
          </cell>
          <cell r="CK16">
            <v>2801.6</v>
          </cell>
          <cell r="CL16">
            <v>7.036367289531846E-2</v>
          </cell>
          <cell r="CM16">
            <v>0.37359353023909986</v>
          </cell>
          <cell r="CN16">
            <v>39816</v>
          </cell>
        </row>
        <row r="17">
          <cell r="A17">
            <v>6</v>
          </cell>
          <cell r="C17" t="str">
            <v>Kelompok SKTM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3784</v>
          </cell>
          <cell r="U17">
            <v>750.04</v>
          </cell>
          <cell r="V17">
            <v>1.8845226130653266E-2</v>
          </cell>
          <cell r="W17">
            <v>9.5075376884422108E-2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1725</v>
          </cell>
          <cell r="AC17">
            <v>124.83</v>
          </cell>
          <cell r="AD17">
            <v>3.1318681318681318E-3</v>
          </cell>
          <cell r="AE17">
            <v>4.3278639169050129E-2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5509</v>
          </cell>
          <cell r="BA17">
            <v>874.87</v>
          </cell>
          <cell r="BB17">
            <v>2.1745084880570677E-2</v>
          </cell>
          <cell r="BC17">
            <v>0.13692739790719061</v>
          </cell>
          <cell r="CG17" t="str">
            <v>JUL</v>
          </cell>
          <cell r="CI17">
            <v>21277</v>
          </cell>
          <cell r="CJ17">
            <v>0.35757202613150346</v>
          </cell>
          <cell r="CK17">
            <v>7608.0599999999995</v>
          </cell>
          <cell r="CL17">
            <v>0.19087912087912087</v>
          </cell>
          <cell r="CM17">
            <v>0.53382006121732151</v>
          </cell>
          <cell r="CN17">
            <v>39858</v>
          </cell>
        </row>
        <row r="18">
          <cell r="A18">
            <v>7</v>
          </cell>
          <cell r="C18" t="str">
            <v>Kelompok Transmisi &amp; Gardu Induk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CG18" t="str">
            <v>AGS</v>
          </cell>
          <cell r="CI18">
            <v>23255</v>
          </cell>
          <cell r="CJ18">
            <v>0.35482347882175852</v>
          </cell>
          <cell r="CK18">
            <v>8251.4199999999946</v>
          </cell>
          <cell r="CL18">
            <v>0.20702042249987443</v>
          </cell>
          <cell r="CM18">
            <v>0.58344623413116559</v>
          </cell>
          <cell r="CN18">
            <v>39858</v>
          </cell>
        </row>
        <row r="19">
          <cell r="A19">
            <v>8</v>
          </cell>
          <cell r="C19" t="str">
            <v>Kelompok Pusat Sumber Tenaga</v>
          </cell>
          <cell r="D19">
            <v>4688</v>
          </cell>
          <cell r="E19">
            <v>1040.6300000000001</v>
          </cell>
          <cell r="F19">
            <v>2.6617981839109864E-2</v>
          </cell>
          <cell r="G19">
            <v>0.11991303235707891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1175</v>
          </cell>
          <cell r="Q19">
            <v>305.20999999999998</v>
          </cell>
          <cell r="R19">
            <v>7.6736058731834865E-3</v>
          </cell>
          <cell r="S19">
            <v>2.9541911801679491E-2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6250</v>
          </cell>
          <cell r="AK19">
            <v>3854.1666666666633</v>
          </cell>
          <cell r="AL19">
            <v>9.6561774481802462E-2</v>
          </cell>
          <cell r="AM19">
            <v>0.15658666132184196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1841.555187564154</v>
          </cell>
          <cell r="AW19">
            <v>1016.2576818809891</v>
          </cell>
          <cell r="AX19">
            <v>2.5259306586160345E-2</v>
          </cell>
          <cell r="AY19">
            <v>4.5772256296178614E-2</v>
          </cell>
          <cell r="AZ19">
            <v>13954.555187564154</v>
          </cell>
          <cell r="BA19">
            <v>6216.2643485476528</v>
          </cell>
          <cell r="BB19">
            <v>0.15450660772370076</v>
          </cell>
          <cell r="BC19">
            <v>0.34684351620719694</v>
          </cell>
          <cell r="BI19" t="str">
            <v>Saidi :</v>
          </cell>
          <cell r="BJ19">
            <v>0.32965315257705591</v>
          </cell>
          <cell r="BP19" t="str">
            <v>Saidi :</v>
          </cell>
          <cell r="BQ19">
            <v>0.15149355591637911</v>
          </cell>
          <cell r="BW19" t="str">
            <v>Saidi :</v>
          </cell>
          <cell r="BX19">
            <v>0.1343298266858397</v>
          </cell>
          <cell r="CD19" t="str">
            <v>Saidi :</v>
          </cell>
          <cell r="CE19">
            <v>6.8377583345904366E-2</v>
          </cell>
          <cell r="CG19" t="str">
            <v>SEP</v>
          </cell>
          <cell r="CI19">
            <v>25240</v>
          </cell>
          <cell r="CJ19">
            <v>0.32134491547807703</v>
          </cell>
          <cell r="CK19">
            <v>8110.7456666666649</v>
          </cell>
          <cell r="CL19">
            <v>0.20320553356382887</v>
          </cell>
          <cell r="CM19">
            <v>0.63235957308212654</v>
          </cell>
          <cell r="CN19">
            <v>39914</v>
          </cell>
        </row>
        <row r="20">
          <cell r="A20">
            <v>9</v>
          </cell>
          <cell r="C20" t="str">
            <v>Kelompok Bencana Alam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CG20" t="str">
            <v>OKT</v>
          </cell>
          <cell r="CI20">
            <v>24132.2</v>
          </cell>
          <cell r="CJ20">
            <v>0.43417130086219541</v>
          </cell>
          <cell r="CK20">
            <v>10477.508666666672</v>
          </cell>
          <cell r="CL20">
            <v>0.2613822793231052</v>
          </cell>
          <cell r="CM20">
            <v>0.60202569539728079</v>
          </cell>
          <cell r="CN20">
            <v>40085</v>
          </cell>
        </row>
        <row r="21">
          <cell r="CG21" t="str">
            <v>NOV</v>
          </cell>
          <cell r="CI21">
            <v>22690.654999999999</v>
          </cell>
          <cell r="CJ21">
            <v>1.0903763355443024</v>
          </cell>
          <cell r="CK21">
            <v>24741.35325</v>
          </cell>
          <cell r="CL21">
            <v>0.61495173737976283</v>
          </cell>
          <cell r="CM21">
            <v>0.5639811845997067</v>
          </cell>
          <cell r="CN21">
            <v>40233</v>
          </cell>
        </row>
        <row r="22">
          <cell r="C22" t="str">
            <v>JUMLAH  I</v>
          </cell>
          <cell r="D22">
            <v>17437</v>
          </cell>
          <cell r="E22">
            <v>4726.5</v>
          </cell>
          <cell r="F22">
            <v>0.12089781301956774</v>
          </cell>
          <cell r="G22">
            <v>0.44601611459265889</v>
          </cell>
          <cell r="H22">
            <v>23268</v>
          </cell>
          <cell r="I22">
            <v>2732.0299999999997</v>
          </cell>
          <cell r="J22">
            <v>6.931271564846761E-2</v>
          </cell>
          <cell r="K22">
            <v>0.59031865232392944</v>
          </cell>
          <cell r="L22">
            <v>20376</v>
          </cell>
          <cell r="M22">
            <v>2794.4900000000002</v>
          </cell>
          <cell r="N22">
            <v>7.0498498953051297E-2</v>
          </cell>
          <cell r="O22">
            <v>0.51403920381442525</v>
          </cell>
          <cell r="P22">
            <v>22999</v>
          </cell>
          <cell r="Q22">
            <v>2719.65</v>
          </cell>
          <cell r="R22">
            <v>6.8377583345904366E-2</v>
          </cell>
          <cell r="S22">
            <v>0.5782420676824056</v>
          </cell>
          <cell r="T22">
            <v>17288</v>
          </cell>
          <cell r="U22">
            <v>4548.26</v>
          </cell>
          <cell r="V22">
            <v>0.11427788944723619</v>
          </cell>
          <cell r="W22">
            <v>0.43437185929648237</v>
          </cell>
          <cell r="X22">
            <v>14875</v>
          </cell>
          <cell r="Y22">
            <v>2801.6</v>
          </cell>
          <cell r="Z22">
            <v>7.036367289531846E-2</v>
          </cell>
          <cell r="AA22">
            <v>0.37359353023909986</v>
          </cell>
          <cell r="AB22">
            <v>14692</v>
          </cell>
          <cell r="AC22">
            <v>2983.72</v>
          </cell>
          <cell r="AD22">
            <v>7.4858748557378701E-2</v>
          </cell>
          <cell r="AE22">
            <v>0.36860856038938233</v>
          </cell>
          <cell r="AF22">
            <v>23255</v>
          </cell>
          <cell r="AG22">
            <v>8251.4199999999946</v>
          </cell>
          <cell r="AH22">
            <v>0.20702042249987443</v>
          </cell>
          <cell r="AI22">
            <v>0.5834462341311657</v>
          </cell>
          <cell r="AJ22">
            <v>25240</v>
          </cell>
          <cell r="AK22">
            <v>8110.7456666666649</v>
          </cell>
          <cell r="AL22">
            <v>0.20320553356382887</v>
          </cell>
          <cell r="AM22">
            <v>0.63235957308212654</v>
          </cell>
          <cell r="AN22">
            <v>24132.2</v>
          </cell>
          <cell r="AO22">
            <v>10477.508666666672</v>
          </cell>
          <cell r="AP22">
            <v>0.2613822793231052</v>
          </cell>
          <cell r="AQ22">
            <v>0.60202569539728079</v>
          </cell>
          <cell r="AR22">
            <v>22690.654999999999</v>
          </cell>
          <cell r="AS22">
            <v>24741.35325</v>
          </cell>
          <cell r="AT22">
            <v>0.61495173737976294</v>
          </cell>
          <cell r="AU22">
            <v>0.5639811845997067</v>
          </cell>
          <cell r="AV22">
            <v>17254.371932917937</v>
          </cell>
          <cell r="AW22">
            <v>14888.580540678671</v>
          </cell>
          <cell r="AX22">
            <v>0.37005892030618326</v>
          </cell>
          <cell r="AY22">
            <v>0.4288611819381587</v>
          </cell>
          <cell r="AZ22">
            <v>243507.22693291795</v>
          </cell>
          <cell r="BA22">
            <v>89775.858124011997</v>
          </cell>
          <cell r="BB22">
            <v>2.2313985565086369</v>
          </cell>
          <cell r="BC22">
            <v>6.0524252959739009</v>
          </cell>
          <cell r="CG22" t="str">
            <v>DES</v>
          </cell>
          <cell r="CI22">
            <v>17254.371932917937</v>
          </cell>
          <cell r="CJ22">
            <v>0.86288742346362646</v>
          </cell>
          <cell r="CK22">
            <v>14888.580540678671</v>
          </cell>
          <cell r="CL22">
            <v>0.37005892030618326</v>
          </cell>
          <cell r="CM22">
            <v>0.42886118193815864</v>
          </cell>
          <cell r="CN22">
            <v>40233</v>
          </cell>
        </row>
        <row r="24">
          <cell r="A24" t="str">
            <v>II</v>
          </cell>
          <cell r="C24" t="str">
            <v>PEMADAMAN TERENCANA</v>
          </cell>
          <cell r="CG24" t="str">
            <v>KOM</v>
          </cell>
          <cell r="CI24">
            <v>261612.22693291795</v>
          </cell>
          <cell r="CJ24">
            <v>0.41408973653127451</v>
          </cell>
          <cell r="CK24">
            <v>108330.938124012</v>
          </cell>
          <cell r="CL24">
            <v>2.6925891214677504</v>
          </cell>
          <cell r="CM24">
            <v>6.5024290242566538</v>
          </cell>
          <cell r="CN24">
            <v>40233</v>
          </cell>
        </row>
        <row r="25">
          <cell r="CG25" t="str">
            <v>Target</v>
          </cell>
          <cell r="CL25">
            <v>4.6680861839497689</v>
          </cell>
          <cell r="CM25">
            <v>6.8361540570120285</v>
          </cell>
        </row>
        <row r="26">
          <cell r="A26" t="str">
            <v>II.1.</v>
          </cell>
          <cell r="C26" t="str">
            <v>Kelompok Distribusi :</v>
          </cell>
          <cell r="CG26" t="str">
            <v>Realisasi thd Target(%)</v>
          </cell>
          <cell r="CL26">
            <v>57.680792842378338</v>
          </cell>
          <cell r="CM26">
            <v>95.118234171257981</v>
          </cell>
        </row>
        <row r="27">
          <cell r="C27" t="str">
            <v>Karena Pembangunan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</row>
        <row r="28">
          <cell r="C28" t="str">
            <v>Karena Pemeliharaan</v>
          </cell>
          <cell r="D28">
            <v>5041</v>
          </cell>
          <cell r="E28">
            <v>8161.29</v>
          </cell>
          <cell r="F28">
            <v>0.20875533955748818</v>
          </cell>
          <cell r="G28">
            <v>0.12894231998976852</v>
          </cell>
          <cell r="H28">
            <v>5395</v>
          </cell>
          <cell r="I28">
            <v>3239.24</v>
          </cell>
          <cell r="J28">
            <v>8.2180840267911504E-2</v>
          </cell>
          <cell r="K28">
            <v>0.13687335092348285</v>
          </cell>
          <cell r="L28">
            <v>1084</v>
          </cell>
          <cell r="M28">
            <v>2530.21</v>
          </cell>
          <cell r="N28">
            <v>6.383132773278842E-2</v>
          </cell>
          <cell r="O28">
            <v>2.7346804914352027E-2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6585</v>
          </cell>
          <cell r="AC28">
            <v>4624.34</v>
          </cell>
          <cell r="AD28">
            <v>0.11602037232174219</v>
          </cell>
          <cell r="AE28">
            <v>0.16521150082793917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18105</v>
          </cell>
          <cell r="BA28">
            <v>18555.079999999998</v>
          </cell>
          <cell r="BB28">
            <v>0.46119056495911309</v>
          </cell>
          <cell r="BC28">
            <v>0.45000372828275298</v>
          </cell>
          <cell r="CG28" t="str">
            <v>Jan s.d Feb</v>
          </cell>
          <cell r="CI28">
            <v>51141</v>
          </cell>
          <cell r="CK28">
            <v>18859.060000000001</v>
          </cell>
          <cell r="CL28">
            <v>0.48114670849343499</v>
          </cell>
          <cell r="CM28">
            <v>1.3021504378298396</v>
          </cell>
          <cell r="CN28">
            <v>39416</v>
          </cell>
        </row>
        <row r="29">
          <cell r="C29" t="str">
            <v>Karena Pelaksanaan PTM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CG29" t="str">
            <v>Jan s.d Mar</v>
          </cell>
          <cell r="CI29">
            <v>72601</v>
          </cell>
          <cell r="CK29">
            <v>24183.760000000002</v>
          </cell>
          <cell r="CL29">
            <v>0.6154765351792747</v>
          </cell>
          <cell r="CM29">
            <v>1.8435364465586168</v>
          </cell>
          <cell r="CN29">
            <v>39639</v>
          </cell>
        </row>
        <row r="30">
          <cell r="C30" t="str">
            <v>Karena Pelaksanaan PTR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CG30" t="str">
            <v>Jan s.d Apr</v>
          </cell>
          <cell r="CI30">
            <v>95600</v>
          </cell>
          <cell r="CK30">
            <v>26903.410000000003</v>
          </cell>
          <cell r="CL30">
            <v>0.68385411852517908</v>
          </cell>
          <cell r="CM30">
            <v>2.4217785142410224</v>
          </cell>
          <cell r="CN30">
            <v>39774</v>
          </cell>
        </row>
        <row r="31">
          <cell r="C31" t="str">
            <v>Karena Pelaksanaan Rehabilitasi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CG31" t="str">
            <v>Jan s.d Mei</v>
          </cell>
          <cell r="CI31">
            <v>112888</v>
          </cell>
          <cell r="CK31">
            <v>31451.670000000006</v>
          </cell>
          <cell r="CL31">
            <v>0.79813200797241524</v>
          </cell>
          <cell r="CM31">
            <v>2.8561503735375049</v>
          </cell>
          <cell r="CN31">
            <v>39800</v>
          </cell>
        </row>
        <row r="32">
          <cell r="C32" t="str">
            <v>Karena Pelebaran Jalan / ( lain-lain )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CG32" t="str">
            <v>Jan s.d Jun</v>
          </cell>
          <cell r="CI32">
            <v>127763</v>
          </cell>
          <cell r="CK32">
            <v>34253.270000000004</v>
          </cell>
          <cell r="CL32">
            <v>0.86849568086773365</v>
          </cell>
          <cell r="CM32">
            <v>3.2297439037766047</v>
          </cell>
          <cell r="CN32">
            <v>39816</v>
          </cell>
        </row>
        <row r="33">
          <cell r="BI33" t="str">
            <v>Saidi :</v>
          </cell>
          <cell r="BJ33">
            <v>0.11427788944723619</v>
          </cell>
          <cell r="BP33" t="str">
            <v>Saidi :</v>
          </cell>
          <cell r="BQ33">
            <v>7.036367289531846E-2</v>
          </cell>
          <cell r="BW33" t="str">
            <v>Saidi :</v>
          </cell>
          <cell r="BX33">
            <v>0.1908791208791209</v>
          </cell>
          <cell r="CD33" t="str">
            <v>Saidi :</v>
          </cell>
          <cell r="CE33">
            <v>0.20702042249987443</v>
          </cell>
          <cell r="CG33" t="str">
            <v>Apr s.d Jun</v>
          </cell>
          <cell r="CI33">
            <v>55162</v>
          </cell>
          <cell r="CK33">
            <v>10069.51</v>
          </cell>
          <cell r="CL33">
            <v>0.25301914568845901</v>
          </cell>
          <cell r="CM33">
            <v>1.3862074572179879</v>
          </cell>
          <cell r="CN33">
            <v>39816</v>
          </cell>
        </row>
        <row r="34">
          <cell r="C34" t="str">
            <v>JUMLAH  II.1</v>
          </cell>
          <cell r="D34">
            <v>5041</v>
          </cell>
          <cell r="E34">
            <v>8161.29</v>
          </cell>
          <cell r="F34">
            <v>0.20875533955748818</v>
          </cell>
          <cell r="G34">
            <v>0.12894231998976852</v>
          </cell>
          <cell r="H34">
            <v>5395</v>
          </cell>
          <cell r="I34">
            <v>3239.24</v>
          </cell>
          <cell r="J34">
            <v>8.2180840267911504E-2</v>
          </cell>
          <cell r="K34">
            <v>0.13687335092348285</v>
          </cell>
          <cell r="L34">
            <v>1084</v>
          </cell>
          <cell r="M34">
            <v>2530.21</v>
          </cell>
          <cell r="N34">
            <v>6.383132773278842E-2</v>
          </cell>
          <cell r="O34">
            <v>2.7346804914352027E-2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6585</v>
          </cell>
          <cell r="AC34">
            <v>4624.34</v>
          </cell>
          <cell r="AD34">
            <v>0.11602037232174219</v>
          </cell>
          <cell r="AE34">
            <v>0.16521150082793917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18105</v>
          </cell>
          <cell r="BA34">
            <v>18555.079999999998</v>
          </cell>
          <cell r="BB34">
            <v>0.46119056495911309</v>
          </cell>
          <cell r="BC34">
            <v>0.45000372828275298</v>
          </cell>
          <cell r="CG34" t="str">
            <v>Jan s.d Jul</v>
          </cell>
          <cell r="CI34">
            <v>149040</v>
          </cell>
          <cell r="CK34">
            <v>41861.33</v>
          </cell>
          <cell r="CL34">
            <v>1.0593748017468545</v>
          </cell>
          <cell r="CM34">
            <v>3.7635639649939261</v>
          </cell>
          <cell r="CN34">
            <v>39858</v>
          </cell>
        </row>
        <row r="35">
          <cell r="CG35" t="str">
            <v>Jan s.d Ags</v>
          </cell>
          <cell r="CI35">
            <v>172295</v>
          </cell>
          <cell r="CK35">
            <v>50112.75</v>
          </cell>
          <cell r="CL35">
            <v>1.2663952242467289</v>
          </cell>
          <cell r="CM35">
            <v>4.3470101991250916</v>
          </cell>
          <cell r="CN35">
            <v>39858</v>
          </cell>
        </row>
        <row r="36">
          <cell r="A36" t="str">
            <v>II.2</v>
          </cell>
          <cell r="C36" t="str">
            <v>Kelompok Pembangkitan  :</v>
          </cell>
          <cell r="CG36" t="str">
            <v>Jan s.d Sep</v>
          </cell>
          <cell r="CI36">
            <v>197535</v>
          </cell>
          <cell r="CK36">
            <v>58223.495666666662</v>
          </cell>
          <cell r="CL36">
            <v>1.4696007578105577</v>
          </cell>
          <cell r="CM36">
            <v>4.9793697722072183</v>
          </cell>
          <cell r="CN36">
            <v>39914</v>
          </cell>
        </row>
        <row r="37">
          <cell r="C37" t="str">
            <v>Karena Cadangan Daya Kurang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CG37" t="str">
            <v>Jul s.d Sep</v>
          </cell>
          <cell r="CI37">
            <v>69772</v>
          </cell>
          <cell r="CK37">
            <v>23970.225666666658</v>
          </cell>
          <cell r="CL37">
            <v>0.60110507694282411</v>
          </cell>
          <cell r="CM37">
            <v>1.7496258684306136</v>
          </cell>
          <cell r="CN37">
            <v>39914</v>
          </cell>
        </row>
        <row r="38">
          <cell r="CG38" t="str">
            <v>Jan s.d Okt</v>
          </cell>
          <cell r="CI38">
            <v>221667.20000000001</v>
          </cell>
          <cell r="CK38">
            <v>68701.004333333331</v>
          </cell>
          <cell r="CL38">
            <v>1.730983037133663</v>
          </cell>
          <cell r="CM38">
            <v>5.5813954676044988</v>
          </cell>
          <cell r="CN38">
            <v>40085</v>
          </cell>
        </row>
        <row r="39">
          <cell r="C39" t="str">
            <v>JUMLAH  II.2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CG39" t="str">
            <v>Jan s.d Nov</v>
          </cell>
          <cell r="CI39">
            <v>244357.85500000001</v>
          </cell>
          <cell r="CK39">
            <v>93442.357583333331</v>
          </cell>
          <cell r="CL39">
            <v>2.3459347745134256</v>
          </cell>
          <cell r="CM39">
            <v>6.1453766522042059</v>
          </cell>
          <cell r="CN39">
            <v>40085</v>
          </cell>
        </row>
        <row r="40">
          <cell r="CG40" t="str">
            <v>Jan s.d Des</v>
          </cell>
          <cell r="CI40">
            <v>261612.22693291795</v>
          </cell>
          <cell r="CK40">
            <v>108330.938124012</v>
          </cell>
          <cell r="CL40">
            <v>2.7159936948196091</v>
          </cell>
          <cell r="CM40">
            <v>6.5742378341423642</v>
          </cell>
          <cell r="CN40">
            <v>40085</v>
          </cell>
        </row>
        <row r="41">
          <cell r="C41" t="str">
            <v>JUMLAH  II ( II.1 + II.2 )</v>
          </cell>
          <cell r="D41">
            <v>5041</v>
          </cell>
          <cell r="E41">
            <v>8161.29</v>
          </cell>
          <cell r="F41">
            <v>0.20875533955748818</v>
          </cell>
          <cell r="G41">
            <v>0.12894231998976852</v>
          </cell>
          <cell r="H41">
            <v>5395</v>
          </cell>
          <cell r="I41">
            <v>3239.24</v>
          </cell>
          <cell r="J41">
            <v>8.2180840267911504E-2</v>
          </cell>
          <cell r="K41">
            <v>0.13687335092348285</v>
          </cell>
          <cell r="L41">
            <v>1084</v>
          </cell>
          <cell r="M41">
            <v>2530.21</v>
          </cell>
          <cell r="N41">
            <v>6.383132773278842E-2</v>
          </cell>
          <cell r="O41">
            <v>2.7346804914352027E-2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6585</v>
          </cell>
          <cell r="AC41">
            <v>4624.34</v>
          </cell>
          <cell r="AD41">
            <v>0.11602037232174219</v>
          </cell>
          <cell r="AE41">
            <v>0.16521150082793917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18105</v>
          </cell>
          <cell r="BA41">
            <v>18555.079999999998</v>
          </cell>
          <cell r="BB41">
            <v>0.46119056495911309</v>
          </cell>
          <cell r="BC41">
            <v>0.45000372828275298</v>
          </cell>
          <cell r="CG41" t="str">
            <v>Okt s.d Des</v>
          </cell>
          <cell r="CI41">
            <v>64077.226932917933</v>
          </cell>
          <cell r="CK41">
            <v>50107.442457345343</v>
          </cell>
          <cell r="CL41">
            <v>1.2463929370090514</v>
          </cell>
          <cell r="CM41">
            <v>1.5948680619351463</v>
          </cell>
          <cell r="CN41">
            <v>40085</v>
          </cell>
        </row>
        <row r="43">
          <cell r="C43" t="str">
            <v>JUMLAH  ( I + II )</v>
          </cell>
          <cell r="D43">
            <v>22478</v>
          </cell>
          <cell r="E43">
            <v>12887.79</v>
          </cell>
          <cell r="F43">
            <v>0.32965315257705591</v>
          </cell>
          <cell r="G43">
            <v>0.57495843458242746</v>
          </cell>
          <cell r="H43">
            <v>28663</v>
          </cell>
          <cell r="I43">
            <v>5971.2699999999995</v>
          </cell>
          <cell r="J43">
            <v>0.15149355591637911</v>
          </cell>
          <cell r="K43">
            <v>0.72719200324741229</v>
          </cell>
          <cell r="L43">
            <v>21460</v>
          </cell>
          <cell r="M43">
            <v>5324.7000000000007</v>
          </cell>
          <cell r="N43">
            <v>0.1343298266858397</v>
          </cell>
          <cell r="O43">
            <v>0.54138600872877729</v>
          </cell>
          <cell r="P43">
            <v>22999</v>
          </cell>
          <cell r="Q43">
            <v>2719.65</v>
          </cell>
          <cell r="R43">
            <v>6.8377583345904366E-2</v>
          </cell>
          <cell r="S43">
            <v>0.5782420676824056</v>
          </cell>
          <cell r="T43">
            <v>17288</v>
          </cell>
          <cell r="U43">
            <v>4548.26</v>
          </cell>
          <cell r="V43">
            <v>0.11427788944723619</v>
          </cell>
          <cell r="W43">
            <v>0.43437185929648237</v>
          </cell>
          <cell r="X43">
            <v>14875</v>
          </cell>
          <cell r="Y43">
            <v>2801.6</v>
          </cell>
          <cell r="Z43">
            <v>7.036367289531846E-2</v>
          </cell>
          <cell r="AA43">
            <v>0.37359353023909986</v>
          </cell>
          <cell r="AB43">
            <v>21277</v>
          </cell>
          <cell r="AC43">
            <v>7608.0599999999995</v>
          </cell>
          <cell r="AD43">
            <v>0.1908791208791209</v>
          </cell>
          <cell r="AE43">
            <v>0.53382006121732151</v>
          </cell>
          <cell r="AF43">
            <v>23255</v>
          </cell>
          <cell r="AG43">
            <v>8251.4199999999946</v>
          </cell>
          <cell r="AH43">
            <v>0.20702042249987443</v>
          </cell>
          <cell r="AI43">
            <v>0.5834462341311657</v>
          </cell>
          <cell r="AJ43">
            <v>25240</v>
          </cell>
          <cell r="AK43">
            <v>8110.7456666666649</v>
          </cell>
          <cell r="AL43">
            <v>0.20320553356382887</v>
          </cell>
          <cell r="AM43">
            <v>0.63235957308212654</v>
          </cell>
          <cell r="AN43">
            <v>24132.2</v>
          </cell>
          <cell r="AO43">
            <v>10477.508666666672</v>
          </cell>
          <cell r="AP43">
            <v>0.2613822793231052</v>
          </cell>
          <cell r="AQ43">
            <v>0.60202569539728079</v>
          </cell>
          <cell r="AR43">
            <v>22690.654999999999</v>
          </cell>
          <cell r="AS43">
            <v>24741.35325</v>
          </cell>
          <cell r="AT43">
            <v>0.61495173737976294</v>
          </cell>
          <cell r="AU43">
            <v>0.5639811845997067</v>
          </cell>
          <cell r="AV43">
            <v>17254.371932917937</v>
          </cell>
          <cell r="AW43">
            <v>14888.580540678671</v>
          </cell>
          <cell r="AX43">
            <v>0.37005892030618326</v>
          </cell>
          <cell r="AY43">
            <v>0.4288611819381587</v>
          </cell>
          <cell r="AZ43">
            <v>261612.22693291795</v>
          </cell>
          <cell r="BA43">
            <v>108330.938124012</v>
          </cell>
          <cell r="BB43">
            <v>2.69258912146775</v>
          </cell>
          <cell r="BC43">
            <v>6.5024290242566538</v>
          </cell>
          <cell r="CG43" t="str">
            <v>Apr s.d Mei</v>
          </cell>
          <cell r="CI43">
            <v>40287</v>
          </cell>
          <cell r="CK43">
            <v>7267.91</v>
          </cell>
          <cell r="CL43">
            <v>0.18265547279314054</v>
          </cell>
          <cell r="CM43">
            <v>1.0126139269788881</v>
          </cell>
          <cell r="CN43">
            <v>39800</v>
          </cell>
        </row>
        <row r="44">
          <cell r="CG44" t="str">
            <v>Apr s.dJun</v>
          </cell>
          <cell r="CI44">
            <v>55162</v>
          </cell>
          <cell r="CK44">
            <v>10069.51</v>
          </cell>
          <cell r="CL44">
            <v>0.25301914568845901</v>
          </cell>
          <cell r="CM44">
            <v>1.3862074572179879</v>
          </cell>
          <cell r="CN44">
            <v>39816</v>
          </cell>
        </row>
        <row r="45">
          <cell r="CG45" t="str">
            <v>Apr s.d Jul</v>
          </cell>
          <cell r="CI45">
            <v>76439</v>
          </cell>
          <cell r="CK45">
            <v>17677.57</v>
          </cell>
          <cell r="CL45">
            <v>0.44389826656757991</v>
          </cell>
          <cell r="CM45">
            <v>1.9200275184353095</v>
          </cell>
          <cell r="CN45">
            <v>39858</v>
          </cell>
        </row>
        <row r="46">
          <cell r="G46">
            <v>39095</v>
          </cell>
          <cell r="K46">
            <v>39416</v>
          </cell>
          <cell r="O46">
            <v>39639</v>
          </cell>
          <cell r="S46">
            <v>39774</v>
          </cell>
          <cell r="W46">
            <v>39800</v>
          </cell>
          <cell r="AA46">
            <v>39816</v>
          </cell>
          <cell r="AE46">
            <v>39858</v>
          </cell>
          <cell r="AI46">
            <v>39858</v>
          </cell>
          <cell r="AM46">
            <v>39914</v>
          </cell>
          <cell r="AQ46">
            <v>40085</v>
          </cell>
          <cell r="AU46">
            <v>40233</v>
          </cell>
          <cell r="AY46">
            <v>40233</v>
          </cell>
          <cell r="BC46">
            <v>40233</v>
          </cell>
          <cell r="CG46" t="str">
            <v>Apr s.d Ags</v>
          </cell>
          <cell r="CI46">
            <v>99694</v>
          </cell>
          <cell r="CK46">
            <v>25928.989999999994</v>
          </cell>
          <cell r="CL46">
            <v>0.65091868906745431</v>
          </cell>
          <cell r="CM46">
            <v>2.503473752566475</v>
          </cell>
          <cell r="CN46">
            <v>39858</v>
          </cell>
        </row>
        <row r="47">
          <cell r="BI47" t="str">
            <v>Saidi :</v>
          </cell>
          <cell r="BJ47">
            <v>0.20320553356382887</v>
          </cell>
          <cell r="BP47" t="str">
            <v>Saidi :</v>
          </cell>
          <cell r="BQ47">
            <v>0.2613822793231052</v>
          </cell>
          <cell r="BW47" t="str">
            <v>Saidi :</v>
          </cell>
          <cell r="BX47">
            <v>0.61495173737976294</v>
          </cell>
          <cell r="CD47" t="str">
            <v>Saidi :</v>
          </cell>
          <cell r="CE47">
            <v>0.37005892030618326</v>
          </cell>
          <cell r="CG47" t="str">
            <v>Apr s.d Sep</v>
          </cell>
          <cell r="CI47">
            <v>124934</v>
          </cell>
          <cell r="CK47">
            <v>34039.73566666666</v>
          </cell>
          <cell r="CL47">
            <v>0.85412422263128318</v>
          </cell>
          <cell r="CM47">
            <v>3.1358333256486013</v>
          </cell>
          <cell r="CN47">
            <v>39914</v>
          </cell>
        </row>
        <row r="50">
          <cell r="BE50" t="str">
            <v>ANGKA  SAIFI  SAMPIT</v>
          </cell>
        </row>
        <row r="51">
          <cell r="BE51" t="str">
            <v>JANUARI  S/D DESEMBER  2007</v>
          </cell>
        </row>
        <row r="65">
          <cell r="BI65" t="str">
            <v>Saifi :</v>
          </cell>
          <cell r="BJ65">
            <v>0.57495843458242746</v>
          </cell>
          <cell r="BP65" t="str">
            <v>Saifi :</v>
          </cell>
          <cell r="BQ65">
            <v>0.72719200324741229</v>
          </cell>
          <cell r="BW65" t="str">
            <v>Saifi :</v>
          </cell>
          <cell r="BX65">
            <v>0.54138600872877729</v>
          </cell>
          <cell r="CD65" t="str">
            <v>Saifi :</v>
          </cell>
          <cell r="CE65">
            <v>0.5782420676824056</v>
          </cell>
        </row>
        <row r="79">
          <cell r="BI79" t="str">
            <v>Saifi :</v>
          </cell>
          <cell r="BJ79">
            <v>0.43437185929648237</v>
          </cell>
          <cell r="BP79" t="str">
            <v>Saifi :</v>
          </cell>
          <cell r="BQ79">
            <v>0.37359353023909986</v>
          </cell>
          <cell r="BW79" t="str">
            <v>Saifi :</v>
          </cell>
          <cell r="BX79">
            <v>0.53382006121732151</v>
          </cell>
          <cell r="CD79" t="str">
            <v>Saifi :</v>
          </cell>
          <cell r="CE79">
            <v>0.5834462341311657</v>
          </cell>
        </row>
        <row r="93">
          <cell r="BI93" t="str">
            <v>Saidi :</v>
          </cell>
          <cell r="BJ93">
            <v>0.63235957308212654</v>
          </cell>
          <cell r="BP93" t="str">
            <v>Saidi :</v>
          </cell>
          <cell r="BQ93">
            <v>0.60202569539728079</v>
          </cell>
          <cell r="BW93" t="str">
            <v>Saidi :</v>
          </cell>
          <cell r="BX93">
            <v>0.5639811845997067</v>
          </cell>
          <cell r="CD93" t="str">
            <v>Saidi :</v>
          </cell>
          <cell r="CE93">
            <v>0.4288611819381587</v>
          </cell>
        </row>
        <row r="96">
          <cell r="BE96" t="str">
            <v>ANGKA  SAIDI &amp; SAIFI  KOMULATIF SAMPIT</v>
          </cell>
        </row>
        <row r="97">
          <cell r="BE97" t="str">
            <v>JANUARI  S/D DESEMBER  2007</v>
          </cell>
        </row>
        <row r="116">
          <cell r="BM116" t="str">
            <v>Saidi :</v>
          </cell>
          <cell r="BN116">
            <v>2.69258912146775</v>
          </cell>
          <cell r="CA116" t="str">
            <v>Saifi :</v>
          </cell>
          <cell r="CB116">
            <v>6.5024290242566538</v>
          </cell>
        </row>
      </sheetData>
      <sheetData sheetId="2">
        <row r="2">
          <cell r="A2" t="str">
            <v>REKAPITULASI</v>
          </cell>
        </row>
        <row r="3">
          <cell r="A3" t="str">
            <v>LAPORAN SAIDI &amp; SAIFI TAHUN 2007</v>
          </cell>
        </row>
        <row r="4">
          <cell r="BE4" t="str">
            <v>ANGKA  SAIDI  PANGKALAN BUN</v>
          </cell>
          <cell r="CG4" t="str">
            <v>REALISASI  SAIDI &amp; SAIFI  TH 2007</v>
          </cell>
        </row>
        <row r="5">
          <cell r="A5" t="str">
            <v>RANTING  PANGKALAN BUN</v>
          </cell>
          <cell r="BE5" t="str">
            <v>JANUARI  S/D DESEMBER  2007</v>
          </cell>
          <cell r="CG5" t="str">
            <v>RANTING PANGKALAN BUN</v>
          </cell>
        </row>
        <row r="6">
          <cell r="D6" t="str">
            <v>JANUARI</v>
          </cell>
          <cell r="H6" t="str">
            <v>FEBRUARI</v>
          </cell>
          <cell r="L6" t="str">
            <v>MARET</v>
          </cell>
          <cell r="P6" t="str">
            <v>APRIL</v>
          </cell>
          <cell r="T6" t="str">
            <v>MEI</v>
          </cell>
          <cell r="X6" t="str">
            <v>JUNI</v>
          </cell>
          <cell r="AB6" t="str">
            <v>JULI</v>
          </cell>
          <cell r="AF6" t="str">
            <v>AGUSTUS</v>
          </cell>
          <cell r="AJ6" t="str">
            <v>SEPTEMBER</v>
          </cell>
          <cell r="AN6" t="str">
            <v>OKTOBER</v>
          </cell>
          <cell r="AR6" t="str">
            <v>NOVEMBER</v>
          </cell>
          <cell r="AV6" t="str">
            <v>DESEMBER</v>
          </cell>
          <cell r="AZ6" t="str">
            <v>KOMULATIF</v>
          </cell>
          <cell r="CG6" t="str">
            <v>BULAN</v>
          </cell>
          <cell r="CH6" t="str">
            <v>PELG.         PADAM</v>
          </cell>
          <cell r="CJ6" t="str">
            <v>KOEFISIEN</v>
          </cell>
          <cell r="CK6" t="str">
            <v>JAM X PLG          PADAM</v>
          </cell>
          <cell r="CL6" t="str">
            <v>SAIDI (JAM/PELG)</v>
          </cell>
          <cell r="CM6" t="str">
            <v>SAIFI        (KALI/PELG)</v>
          </cell>
          <cell r="CN6" t="str">
            <v>JUMLAH        PELG.</v>
          </cell>
        </row>
        <row r="7">
          <cell r="A7" t="str">
            <v>No.</v>
          </cell>
          <cell r="C7" t="str">
            <v>PENYEBAB  PEMADAMAN</v>
          </cell>
          <cell r="D7" t="str">
            <v>PLG</v>
          </cell>
          <cell r="E7" t="str">
            <v>JAM X PLG</v>
          </cell>
          <cell r="H7" t="str">
            <v>PLG</v>
          </cell>
          <cell r="I7" t="str">
            <v>JAM X PLG</v>
          </cell>
          <cell r="L7" t="str">
            <v>PLG</v>
          </cell>
          <cell r="M7" t="str">
            <v>JAM X PLG</v>
          </cell>
          <cell r="P7" t="str">
            <v>PLG</v>
          </cell>
          <cell r="Q7" t="str">
            <v>JAM X PLG</v>
          </cell>
          <cell r="T7" t="str">
            <v>PLG</v>
          </cell>
          <cell r="U7" t="str">
            <v>JAM X PLG</v>
          </cell>
          <cell r="X7" t="str">
            <v>PLG</v>
          </cell>
          <cell r="Y7" t="str">
            <v>JAM X PLG</v>
          </cell>
          <cell r="AB7" t="str">
            <v>PLG</v>
          </cell>
          <cell r="AC7" t="str">
            <v>JAM X PLG</v>
          </cell>
          <cell r="AF7" t="str">
            <v>PLG</v>
          </cell>
          <cell r="AG7" t="str">
            <v>JAM X PLG</v>
          </cell>
          <cell r="AJ7" t="str">
            <v>PLG</v>
          </cell>
          <cell r="AK7" t="str">
            <v>JAM X PLG</v>
          </cell>
          <cell r="AN7" t="str">
            <v>PLG</v>
          </cell>
          <cell r="AO7" t="str">
            <v>JAM X PLG</v>
          </cell>
          <cell r="AR7" t="str">
            <v>PLG</v>
          </cell>
          <cell r="AS7" t="str">
            <v>JAM X PLG</v>
          </cell>
          <cell r="AV7" t="str">
            <v>PLG</v>
          </cell>
          <cell r="AW7" t="str">
            <v>JAM X PLG</v>
          </cell>
          <cell r="AZ7" t="str">
            <v>PLG</v>
          </cell>
          <cell r="BA7" t="str">
            <v>JAM X PLG</v>
          </cell>
          <cell r="CJ7" t="str">
            <v>JAM</v>
          </cell>
        </row>
        <row r="8">
          <cell r="D8" t="str">
            <v>PADAM</v>
          </cell>
          <cell r="E8" t="str">
            <v>PADAM</v>
          </cell>
          <cell r="F8" t="str">
            <v>SAIDI</v>
          </cell>
          <cell r="G8" t="str">
            <v>SAIFI</v>
          </cell>
          <cell r="H8" t="str">
            <v>PADAM</v>
          </cell>
          <cell r="I8" t="str">
            <v>PADAM</v>
          </cell>
          <cell r="J8" t="str">
            <v>SAIDI</v>
          </cell>
          <cell r="K8" t="str">
            <v>SAIFI</v>
          </cell>
          <cell r="L8" t="str">
            <v>PADAM</v>
          </cell>
          <cell r="M8" t="str">
            <v>PADAM</v>
          </cell>
          <cell r="N8" t="str">
            <v>SAIDI</v>
          </cell>
          <cell r="O8" t="str">
            <v>SAIFI</v>
          </cell>
          <cell r="P8" t="str">
            <v>PADAM</v>
          </cell>
          <cell r="Q8" t="str">
            <v>PADAM</v>
          </cell>
          <cell r="R8" t="str">
            <v>SAIDI</v>
          </cell>
          <cell r="S8" t="str">
            <v>SAIFI</v>
          </cell>
          <cell r="T8" t="str">
            <v>PADAM</v>
          </cell>
          <cell r="U8" t="str">
            <v>PADAM</v>
          </cell>
          <cell r="V8" t="str">
            <v>SAIDI</v>
          </cell>
          <cell r="W8" t="str">
            <v>SAIFI</v>
          </cell>
          <cell r="X8" t="str">
            <v>PADAM</v>
          </cell>
          <cell r="Y8" t="str">
            <v>PADAM</v>
          </cell>
          <cell r="Z8" t="str">
            <v>SAIDI</v>
          </cell>
          <cell r="AA8" t="str">
            <v>SAIFI</v>
          </cell>
          <cell r="AB8" t="str">
            <v>PADAM</v>
          </cell>
          <cell r="AC8" t="str">
            <v>PADAM</v>
          </cell>
          <cell r="AD8" t="str">
            <v>SAIDI</v>
          </cell>
          <cell r="AE8" t="str">
            <v>SAIFI</v>
          </cell>
          <cell r="AF8" t="str">
            <v>PADAM</v>
          </cell>
          <cell r="AG8" t="str">
            <v>PADAM</v>
          </cell>
          <cell r="AH8" t="str">
            <v>SAIDI</v>
          </cell>
          <cell r="AI8" t="str">
            <v>SAIFI</v>
          </cell>
          <cell r="AJ8" t="str">
            <v>PADAM</v>
          </cell>
          <cell r="AK8" t="str">
            <v>PADAM</v>
          </cell>
          <cell r="AL8" t="str">
            <v>SAIDI</v>
          </cell>
          <cell r="AM8" t="str">
            <v>SAIFI</v>
          </cell>
          <cell r="AN8" t="str">
            <v>PADAM</v>
          </cell>
          <cell r="AO8" t="str">
            <v>PADAM</v>
          </cell>
          <cell r="AP8" t="str">
            <v>SAIDI</v>
          </cell>
          <cell r="AQ8" t="str">
            <v>SAIFI</v>
          </cell>
          <cell r="AR8" t="str">
            <v>PADAM</v>
          </cell>
          <cell r="AS8" t="str">
            <v>PADAM</v>
          </cell>
          <cell r="AT8" t="str">
            <v>SAIDI</v>
          </cell>
          <cell r="AU8" t="str">
            <v>SAIFI</v>
          </cell>
          <cell r="AV8" t="str">
            <v>PADAM</v>
          </cell>
          <cell r="AW8" t="str">
            <v>PADAM</v>
          </cell>
          <cell r="AX8" t="str">
            <v>SAIDI</v>
          </cell>
          <cell r="AY8" t="str">
            <v>SAIFI</v>
          </cell>
          <cell r="AZ8" t="str">
            <v>PADAM</v>
          </cell>
          <cell r="BA8" t="str">
            <v>PADAM</v>
          </cell>
          <cell r="BB8" t="str">
            <v>SAIDI</v>
          </cell>
          <cell r="BC8" t="str">
            <v>SAIFI</v>
          </cell>
          <cell r="CJ8" t="str">
            <v>PADAM</v>
          </cell>
        </row>
        <row r="9">
          <cell r="CG9">
            <v>1</v>
          </cell>
          <cell r="CH9">
            <v>2</v>
          </cell>
          <cell r="CJ9">
            <v>2</v>
          </cell>
          <cell r="CK9">
            <v>3</v>
          </cell>
          <cell r="CL9">
            <v>4</v>
          </cell>
          <cell r="CM9">
            <v>5</v>
          </cell>
          <cell r="CN9">
            <v>6</v>
          </cell>
        </row>
        <row r="10">
          <cell r="A10" t="str">
            <v>I</v>
          </cell>
          <cell r="C10" t="str">
            <v>PEMADAMAN KARENA GANGGUAN</v>
          </cell>
        </row>
        <row r="11">
          <cell r="CG11" t="str">
            <v xml:space="preserve">JAN </v>
          </cell>
          <cell r="CI11">
            <v>21525</v>
          </cell>
          <cell r="CJ11">
            <v>1.1223781602787457</v>
          </cell>
          <cell r="CK11">
            <v>24159.189900000001</v>
          </cell>
          <cell r="CL11">
            <v>0.81003151383067895</v>
          </cell>
          <cell r="CM11">
            <v>0.72170997485331101</v>
          </cell>
          <cell r="CN11">
            <v>29825</v>
          </cell>
        </row>
        <row r="12">
          <cell r="A12">
            <v>1</v>
          </cell>
          <cell r="C12" t="str">
            <v>Kelompok Samb. Tenaga listrik &amp; APP</v>
          </cell>
          <cell r="D12">
            <v>109</v>
          </cell>
          <cell r="E12">
            <v>25.9499</v>
          </cell>
          <cell r="F12">
            <v>8.7007208717518856E-4</v>
          </cell>
          <cell r="G12">
            <v>3.6546521374685665E-3</v>
          </cell>
          <cell r="H12">
            <v>89</v>
          </cell>
          <cell r="I12">
            <v>24.32</v>
          </cell>
          <cell r="J12">
            <v>8.0834939839127839E-4</v>
          </cell>
          <cell r="K12">
            <v>2.9581865319417669E-3</v>
          </cell>
          <cell r="L12">
            <v>63</v>
          </cell>
          <cell r="M12">
            <v>18.994</v>
          </cell>
          <cell r="N12">
            <v>6.3000431191747653E-4</v>
          </cell>
          <cell r="O12">
            <v>2.0896215463199444E-3</v>
          </cell>
          <cell r="P12">
            <v>81</v>
          </cell>
          <cell r="Q12">
            <v>17.659999999999997</v>
          </cell>
          <cell r="R12">
            <v>5.8515573227302842E-4</v>
          </cell>
          <cell r="S12">
            <v>2.6838966202783299E-3</v>
          </cell>
          <cell r="T12">
            <v>109</v>
          </cell>
          <cell r="U12">
            <v>25.545000000000002</v>
          </cell>
          <cell r="V12">
            <v>8.4572090713458045E-4</v>
          </cell>
          <cell r="W12">
            <v>3.6086740605859955E-3</v>
          </cell>
          <cell r="X12">
            <v>94</v>
          </cell>
          <cell r="Y12">
            <v>29.204000000000001</v>
          </cell>
          <cell r="Z12">
            <v>9.6577267766791229E-4</v>
          </cell>
          <cell r="AA12">
            <v>3.1085684050398492E-3</v>
          </cell>
          <cell r="AB12">
            <v>58</v>
          </cell>
          <cell r="AC12">
            <v>60.900000000000006</v>
          </cell>
          <cell r="AD12">
            <v>2.0122253428052207E-3</v>
          </cell>
          <cell r="AE12">
            <v>1.9164050883859244E-3</v>
          </cell>
          <cell r="AF12">
            <v>68</v>
          </cell>
          <cell r="AG12">
            <v>68.429999999999993</v>
          </cell>
          <cell r="AH12">
            <v>2.2610275896249791E-3</v>
          </cell>
          <cell r="AI12">
            <v>2.2468197587972908E-3</v>
          </cell>
          <cell r="AJ12">
            <v>91</v>
          </cell>
          <cell r="AK12">
            <v>69.930000000000007</v>
          </cell>
          <cell r="AL12">
            <v>2.3060941828254851E-3</v>
          </cell>
          <cell r="AM12">
            <v>3.0009233610341643E-3</v>
          </cell>
          <cell r="AN12">
            <v>77</v>
          </cell>
          <cell r="AO12">
            <v>118.85000000000001</v>
          </cell>
          <cell r="AP12">
            <v>3.9065838345988231E-3</v>
          </cell>
          <cell r="AQ12">
            <v>2.5309798507707985E-3</v>
          </cell>
          <cell r="AR12">
            <v>79</v>
          </cell>
          <cell r="AS12">
            <v>70.930000000000007</v>
          </cell>
          <cell r="AT12">
            <v>2.3213876615938473E-3</v>
          </cell>
          <cell r="AU12">
            <v>2.5855015545737194E-3</v>
          </cell>
          <cell r="AV12">
            <v>54</v>
          </cell>
          <cell r="AW12">
            <v>30.212</v>
          </cell>
          <cell r="AX12">
            <v>9.887743413516609E-4</v>
          </cell>
          <cell r="AY12">
            <v>1.7673048600883653E-3</v>
          </cell>
          <cell r="AZ12">
            <v>972</v>
          </cell>
          <cell r="BA12">
            <v>560.92489999999998</v>
          </cell>
          <cell r="BB12">
            <v>1.8357875961381116E-2</v>
          </cell>
          <cell r="BC12">
            <v>3.1811487481590572E-2</v>
          </cell>
          <cell r="CG12" t="str">
            <v xml:space="preserve">FEB </v>
          </cell>
          <cell r="CI12">
            <v>57666</v>
          </cell>
          <cell r="CJ12">
            <v>1.172582110775847</v>
          </cell>
          <cell r="CK12">
            <v>67618.12</v>
          </cell>
          <cell r="CL12">
            <v>2.247494515721598</v>
          </cell>
          <cell r="CM12">
            <v>1.9167054443927407</v>
          </cell>
          <cell r="CN12">
            <v>30086</v>
          </cell>
        </row>
        <row r="13">
          <cell r="A13">
            <v>2</v>
          </cell>
          <cell r="C13" t="str">
            <v>Kelompok JTR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535.5</v>
          </cell>
          <cell r="Q13">
            <v>357</v>
          </cell>
          <cell r="R13">
            <v>1.1829025844930417E-2</v>
          </cell>
          <cell r="S13">
            <v>1.7743538767395626E-2</v>
          </cell>
          <cell r="T13">
            <v>601</v>
          </cell>
          <cell r="U13">
            <v>300.13</v>
          </cell>
          <cell r="V13">
            <v>9.9364343651713299E-3</v>
          </cell>
          <cell r="W13">
            <v>1.9897367985432877E-2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123</v>
          </cell>
          <cell r="AC13">
            <v>146.76</v>
          </cell>
          <cell r="AD13">
            <v>4.8491657029572106E-3</v>
          </cell>
          <cell r="AE13">
            <v>4.0641004460598047E-3</v>
          </cell>
          <cell r="AF13">
            <v>125</v>
          </cell>
          <cell r="AG13">
            <v>56.25</v>
          </cell>
          <cell r="AH13">
            <v>1.8585825210639352E-3</v>
          </cell>
          <cell r="AI13">
            <v>4.1301833801420784E-3</v>
          </cell>
          <cell r="AJ13">
            <v>121</v>
          </cell>
          <cell r="AK13">
            <v>47.68</v>
          </cell>
          <cell r="AL13">
            <v>1.5723519324627358E-3</v>
          </cell>
          <cell r="AM13">
            <v>3.9902387547816913E-3</v>
          </cell>
          <cell r="AN13">
            <v>70</v>
          </cell>
          <cell r="AO13">
            <v>118.64999999999999</v>
          </cell>
          <cell r="AP13">
            <v>3.9000098609604573E-3</v>
          </cell>
          <cell r="AQ13">
            <v>2.3008907734279986E-3</v>
          </cell>
          <cell r="AR13">
            <v>65</v>
          </cell>
          <cell r="AS13">
            <v>30.41</v>
          </cell>
          <cell r="AT13">
            <v>9.9525445917198504E-4</v>
          </cell>
          <cell r="AU13">
            <v>2.1273114056619209E-3</v>
          </cell>
          <cell r="AV13">
            <v>28</v>
          </cell>
          <cell r="AW13">
            <v>18.381999999999998</v>
          </cell>
          <cell r="AX13">
            <v>6.0160366552119125E-4</v>
          </cell>
          <cell r="AY13">
            <v>9.1638029782359679E-4</v>
          </cell>
          <cell r="AZ13">
            <v>1668.5</v>
          </cell>
          <cell r="BA13">
            <v>1075.2620000000002</v>
          </cell>
          <cell r="BB13">
            <v>3.5191032564228446E-2</v>
          </cell>
          <cell r="BC13">
            <v>5.4606447389952545E-2</v>
          </cell>
          <cell r="CG13" t="str">
            <v xml:space="preserve">MAR </v>
          </cell>
          <cell r="CI13">
            <v>22641</v>
          </cell>
          <cell r="CJ13">
            <v>1.926295393313016</v>
          </cell>
          <cell r="CK13">
            <v>43613.253999999994</v>
          </cell>
          <cell r="CL13">
            <v>1.446590401008325</v>
          </cell>
          <cell r="CM13">
            <v>0.75097018143221994</v>
          </cell>
          <cell r="CN13">
            <v>30149</v>
          </cell>
        </row>
        <row r="14">
          <cell r="A14">
            <v>3</v>
          </cell>
          <cell r="C14" t="str">
            <v>Kelompok Trafo &amp; Gardu Dist.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597</v>
          </cell>
          <cell r="I14">
            <v>939.8</v>
          </cell>
          <cell r="J14">
            <v>3.123712025526823E-2</v>
          </cell>
          <cell r="K14">
            <v>1.9843116399654324E-2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844</v>
          </cell>
          <cell r="U14">
            <v>878.64</v>
          </cell>
          <cell r="V14">
            <v>2.9089223638470451E-2</v>
          </cell>
          <cell r="W14">
            <v>2.7942393643436519E-2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3653</v>
          </cell>
          <cell r="AK14">
            <v>2783.1599999999989</v>
          </cell>
          <cell r="AL14">
            <v>9.178076770874552E-2</v>
          </cell>
          <cell r="AM14">
            <v>0.12046563777865717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738.38</v>
          </cell>
          <cell r="AS14">
            <v>1120.8999999999999</v>
          </cell>
          <cell r="AT14">
            <v>3.668466699394534E-2</v>
          </cell>
          <cell r="AU14">
            <v>2.4165603010963835E-2</v>
          </cell>
          <cell r="AV14">
            <v>1027.3652200217477</v>
          </cell>
          <cell r="AW14">
            <v>1369.8202933623281</v>
          </cell>
          <cell r="AX14">
            <v>4.4831297442720609E-2</v>
          </cell>
          <cell r="AY14">
            <v>3.3623473082040507E-2</v>
          </cell>
          <cell r="AZ14">
            <v>6859.7452200217476</v>
          </cell>
          <cell r="BA14">
            <v>7092.3202933623261</v>
          </cell>
          <cell r="BB14">
            <v>0.23211652081041814</v>
          </cell>
          <cell r="BC14">
            <v>0.22450483456134013</v>
          </cell>
          <cell r="CG14" t="str">
            <v xml:space="preserve">APR </v>
          </cell>
          <cell r="CI14">
            <v>16716</v>
          </cell>
          <cell r="CJ14">
            <v>1.3449599186408232</v>
          </cell>
          <cell r="CK14">
            <v>22482.350000000002</v>
          </cell>
          <cell r="CL14">
            <v>0.74494201457919162</v>
          </cell>
          <cell r="CM14">
            <v>0.55387673956262429</v>
          </cell>
          <cell r="CN14">
            <v>30180</v>
          </cell>
        </row>
        <row r="15">
          <cell r="A15">
            <v>4</v>
          </cell>
          <cell r="C15" t="str">
            <v>Kelompok Tiang TR &amp; TM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CG15" t="str">
            <v xml:space="preserve">MEI </v>
          </cell>
          <cell r="CI15">
            <v>7312</v>
          </cell>
          <cell r="CJ15">
            <v>1.4850499179431074</v>
          </cell>
          <cell r="CK15">
            <v>10858.685000000001</v>
          </cell>
          <cell r="CL15">
            <v>0.35949958616123162</v>
          </cell>
          <cell r="CM15">
            <v>0.2420791259725211</v>
          </cell>
          <cell r="CN15">
            <v>30205</v>
          </cell>
        </row>
        <row r="16">
          <cell r="A16">
            <v>5</v>
          </cell>
          <cell r="C16" t="str">
            <v>Kelompok SUTM</v>
          </cell>
          <cell r="D16">
            <v>4961</v>
          </cell>
          <cell r="E16">
            <v>5250.45</v>
          </cell>
          <cell r="F16">
            <v>0.17604191114836545</v>
          </cell>
          <cell r="G16">
            <v>0.16633696563285835</v>
          </cell>
          <cell r="H16">
            <v>19391</v>
          </cell>
          <cell r="I16">
            <v>22488.97</v>
          </cell>
          <cell r="J16">
            <v>0.74748953001396001</v>
          </cell>
          <cell r="K16">
            <v>0.6445190454031775</v>
          </cell>
          <cell r="L16">
            <v>11069</v>
          </cell>
          <cell r="M16">
            <v>25722.129999999997</v>
          </cell>
          <cell r="N16">
            <v>0.85316693754353368</v>
          </cell>
          <cell r="O16">
            <v>0.36714318882881686</v>
          </cell>
          <cell r="P16">
            <v>13036</v>
          </cell>
          <cell r="Q16">
            <v>15550.43</v>
          </cell>
          <cell r="R16">
            <v>0.5152561298873426</v>
          </cell>
          <cell r="S16">
            <v>0.43194168323392973</v>
          </cell>
          <cell r="T16">
            <v>5758</v>
          </cell>
          <cell r="U16">
            <v>9654.3700000000008</v>
          </cell>
          <cell r="V16">
            <v>0.31962820725045527</v>
          </cell>
          <cell r="W16">
            <v>0.19063069028306573</v>
          </cell>
          <cell r="X16">
            <v>10645</v>
          </cell>
          <cell r="Y16">
            <v>13981.01</v>
          </cell>
          <cell r="Z16">
            <v>0.46235027613347002</v>
          </cell>
          <cell r="AA16">
            <v>0.35202883693243825</v>
          </cell>
          <cell r="AB16">
            <v>11583</v>
          </cell>
          <cell r="AC16">
            <v>14640</v>
          </cell>
          <cell r="AD16">
            <v>0.4837270774822402</v>
          </cell>
          <cell r="AE16">
            <v>0.38271931273748555</v>
          </cell>
          <cell r="AF16">
            <v>16118</v>
          </cell>
          <cell r="AG16">
            <v>29138.86666666668</v>
          </cell>
          <cell r="AH16">
            <v>0.9627909025827418</v>
          </cell>
          <cell r="AI16">
            <v>0.53256236576904015</v>
          </cell>
          <cell r="AJ16">
            <v>21000</v>
          </cell>
          <cell r="AK16">
            <v>14441.23333333333</v>
          </cell>
          <cell r="AL16">
            <v>0.47623114804555239</v>
          </cell>
          <cell r="AM16">
            <v>0.69252077562326875</v>
          </cell>
          <cell r="AN16">
            <v>22473.75</v>
          </cell>
          <cell r="AO16">
            <v>9708.508333333335</v>
          </cell>
          <cell r="AP16">
            <v>0.3191173892559358</v>
          </cell>
          <cell r="AQ16">
            <v>0.73870920027610687</v>
          </cell>
          <cell r="AR16">
            <v>14707.17</v>
          </cell>
          <cell r="AS16">
            <v>20978.942999999996</v>
          </cell>
          <cell r="AT16">
            <v>0.68659607265586631</v>
          </cell>
          <cell r="AU16">
            <v>0.4813343151693667</v>
          </cell>
          <cell r="AV16">
            <v>26465.951742573332</v>
          </cell>
          <cell r="AW16">
            <v>39842.996096580304</v>
          </cell>
          <cell r="AX16">
            <v>1.3039763081845952</v>
          </cell>
          <cell r="AY16">
            <v>0.86617416928729607</v>
          </cell>
          <cell r="AZ16">
            <v>177207.87174257333</v>
          </cell>
          <cell r="BA16">
            <v>221397.90742991364</v>
          </cell>
          <cell r="BB16">
            <v>7.2458814410051922</v>
          </cell>
          <cell r="BC16">
            <v>5.7996357958623248</v>
          </cell>
          <cell r="CG16" t="str">
            <v xml:space="preserve">JUN </v>
          </cell>
          <cell r="CI16">
            <v>10739</v>
          </cell>
          <cell r="CJ16">
            <v>1.3046106713846728</v>
          </cell>
          <cell r="CK16">
            <v>14010.214</v>
          </cell>
          <cell r="CL16">
            <v>0.46331604881113791</v>
          </cell>
          <cell r="CM16">
            <v>0.35513740533747812</v>
          </cell>
          <cell r="CN16">
            <v>30239</v>
          </cell>
        </row>
        <row r="17">
          <cell r="A17">
            <v>6</v>
          </cell>
          <cell r="C17" t="str">
            <v>Kelompok SKTM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CG17" t="str">
            <v>JUL</v>
          </cell>
          <cell r="CI17">
            <v>11764</v>
          </cell>
          <cell r="CJ17">
            <v>1.2621268276096567</v>
          </cell>
          <cell r="CK17">
            <v>14847.66</v>
          </cell>
          <cell r="CL17">
            <v>0.49058846852800264</v>
          </cell>
          <cell r="CM17">
            <v>0.38869981827193129</v>
          </cell>
          <cell r="CN17">
            <v>30265</v>
          </cell>
        </row>
        <row r="18">
          <cell r="A18">
            <v>7</v>
          </cell>
          <cell r="C18" t="str">
            <v>Kelompok Transmisi &amp; Gardu Induk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CG18" t="str">
            <v>AGS</v>
          </cell>
          <cell r="CI18">
            <v>16311</v>
          </cell>
          <cell r="CJ18">
            <v>1.7940988698833107</v>
          </cell>
          <cell r="CK18">
            <v>29263.54666666668</v>
          </cell>
          <cell r="CL18">
            <v>0.96691051269343065</v>
          </cell>
          <cell r="CM18">
            <v>0.53893936890797955</v>
          </cell>
          <cell r="CN18">
            <v>30265</v>
          </cell>
        </row>
        <row r="19">
          <cell r="A19">
            <v>8</v>
          </cell>
          <cell r="C19" t="str">
            <v>Kelompok Pusat Sumber Tenaga</v>
          </cell>
          <cell r="D19">
            <v>6102</v>
          </cell>
          <cell r="E19">
            <v>8958.52</v>
          </cell>
          <cell r="F19">
            <v>0.30036948868398994</v>
          </cell>
          <cell r="G19">
            <v>0.20459346186085497</v>
          </cell>
          <cell r="H19">
            <v>11790</v>
          </cell>
          <cell r="I19">
            <v>11197.38</v>
          </cell>
          <cell r="J19">
            <v>0.37217908661836069</v>
          </cell>
          <cell r="K19">
            <v>0.39187662035498239</v>
          </cell>
          <cell r="L19">
            <v>10185</v>
          </cell>
          <cell r="M19">
            <v>16612.86</v>
          </cell>
          <cell r="N19">
            <v>0.55102524130153574</v>
          </cell>
          <cell r="O19">
            <v>0.337822149988391</v>
          </cell>
          <cell r="P19">
            <v>1951</v>
          </cell>
          <cell r="Q19">
            <v>3207.42</v>
          </cell>
          <cell r="R19">
            <v>0.10627634194831014</v>
          </cell>
          <cell r="S19">
            <v>6.4645460569913854E-2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1428</v>
          </cell>
          <cell r="AK19">
            <v>833.00000000000091</v>
          </cell>
          <cell r="AL19">
            <v>2.7469990766389688E-2</v>
          </cell>
          <cell r="AM19">
            <v>4.7091412742382273E-2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31456</v>
          </cell>
          <cell r="BA19">
            <v>40809.18</v>
          </cell>
          <cell r="BB19">
            <v>1.3355974472263132</v>
          </cell>
          <cell r="BC19">
            <v>1.0294878088692521</v>
          </cell>
          <cell r="BI19" t="str">
            <v>Saidi :</v>
          </cell>
          <cell r="BJ19">
            <v>0.81003151383067895</v>
          </cell>
          <cell r="BP19" t="str">
            <v>Saidi :</v>
          </cell>
          <cell r="BQ19">
            <v>2.2474945157215984</v>
          </cell>
          <cell r="BW19" t="str">
            <v>Saidi :</v>
          </cell>
          <cell r="BX19">
            <v>1.4465904010083253</v>
          </cell>
          <cell r="CD19" t="str">
            <v>Saidi :</v>
          </cell>
          <cell r="CE19">
            <v>0.74494201457919151</v>
          </cell>
          <cell r="CG19" t="str">
            <v>SEP</v>
          </cell>
          <cell r="CI19">
            <v>26293</v>
          </cell>
          <cell r="CJ19">
            <v>0.69124874808250603</v>
          </cell>
          <cell r="CK19">
            <v>18175.00333333333</v>
          </cell>
          <cell r="CL19">
            <v>0.59936035263597576</v>
          </cell>
          <cell r="CM19">
            <v>0.86706898826012402</v>
          </cell>
          <cell r="CN19">
            <v>30324</v>
          </cell>
        </row>
        <row r="20">
          <cell r="A20">
            <v>9</v>
          </cell>
          <cell r="C20" t="str">
            <v>Kelompok Bencana Alam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2202</v>
          </cell>
          <cell r="I20">
            <v>2054.73</v>
          </cell>
          <cell r="J20">
            <v>6.8295220368277607E-2</v>
          </cell>
          <cell r="K20">
            <v>7.3190188127368216E-2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2202</v>
          </cell>
          <cell r="BA20">
            <v>2054.73</v>
          </cell>
          <cell r="BB20">
            <v>6.7246931762395684E-2</v>
          </cell>
          <cell r="BC20">
            <v>7.2066764850269999E-2</v>
          </cell>
          <cell r="CG20" t="str">
            <v>OKT</v>
          </cell>
          <cell r="CI20">
            <v>22620.75</v>
          </cell>
          <cell r="CJ20">
            <v>0.43968517106344107</v>
          </cell>
          <cell r="CK20">
            <v>9946.008333333335</v>
          </cell>
          <cell r="CL20">
            <v>0.32692398295149511</v>
          </cell>
          <cell r="CM20">
            <v>0.74354107090030575</v>
          </cell>
          <cell r="CN20">
            <v>30423</v>
          </cell>
        </row>
        <row r="21">
          <cell r="CG21" t="str">
            <v>NOV</v>
          </cell>
          <cell r="CI21">
            <v>15589.55</v>
          </cell>
          <cell r="CJ21">
            <v>1.4241067253384478</v>
          </cell>
          <cell r="CK21">
            <v>22201.182999999997</v>
          </cell>
          <cell r="CL21">
            <v>0.72659738177057753</v>
          </cell>
          <cell r="CM21">
            <v>0.5102127311405662</v>
          </cell>
          <cell r="CN21">
            <v>30555</v>
          </cell>
        </row>
        <row r="22">
          <cell r="C22" t="str">
            <v>JUMLAH  I</v>
          </cell>
          <cell r="D22">
            <v>11172</v>
          </cell>
          <cell r="E22">
            <v>14234.919900000001</v>
          </cell>
          <cell r="F22">
            <v>0.47728147191953058</v>
          </cell>
          <cell r="G22">
            <v>0.37458507963118193</v>
          </cell>
          <cell r="H22">
            <v>34069</v>
          </cell>
          <cell r="I22">
            <v>36705.200000000004</v>
          </cell>
          <cell r="J22">
            <v>1.2200093066542579</v>
          </cell>
          <cell r="K22">
            <v>1.1323871568171242</v>
          </cell>
          <cell r="L22">
            <v>21317</v>
          </cell>
          <cell r="M22">
            <v>42353.983999999997</v>
          </cell>
          <cell r="N22">
            <v>1.4048221831569869</v>
          </cell>
          <cell r="O22">
            <v>0.70705496036352777</v>
          </cell>
          <cell r="P22">
            <v>15603.5</v>
          </cell>
          <cell r="Q22">
            <v>19132.510000000002</v>
          </cell>
          <cell r="R22">
            <v>0.63394665341285616</v>
          </cell>
          <cell r="S22">
            <v>0.5170145791915175</v>
          </cell>
          <cell r="T22">
            <v>7312</v>
          </cell>
          <cell r="U22">
            <v>10858.685000000001</v>
          </cell>
          <cell r="V22">
            <v>0.35949958616123162</v>
          </cell>
          <cell r="W22">
            <v>0.24207912597252113</v>
          </cell>
          <cell r="X22">
            <v>10739</v>
          </cell>
          <cell r="Y22">
            <v>14010.214</v>
          </cell>
          <cell r="Z22">
            <v>0.46331604881113791</v>
          </cell>
          <cell r="AA22">
            <v>0.35513740533747812</v>
          </cell>
          <cell r="AB22">
            <v>11764</v>
          </cell>
          <cell r="AC22">
            <v>14847.66</v>
          </cell>
          <cell r="AD22">
            <v>0.49058846852800264</v>
          </cell>
          <cell r="AE22">
            <v>0.38869981827193129</v>
          </cell>
          <cell r="AF22">
            <v>16311</v>
          </cell>
          <cell r="AG22">
            <v>29263.54666666668</v>
          </cell>
          <cell r="AH22">
            <v>0.96691051269343076</v>
          </cell>
          <cell r="AI22">
            <v>0.53893936890797955</v>
          </cell>
          <cell r="AJ22">
            <v>26293</v>
          </cell>
          <cell r="AK22">
            <v>18175.00333333333</v>
          </cell>
          <cell r="AL22">
            <v>0.59936035263597576</v>
          </cell>
          <cell r="AM22">
            <v>0.86706898826012402</v>
          </cell>
          <cell r="AN22">
            <v>22620.75</v>
          </cell>
          <cell r="AO22">
            <v>9946.008333333335</v>
          </cell>
          <cell r="AP22">
            <v>0.32692398295149511</v>
          </cell>
          <cell r="AQ22">
            <v>0.74354107090030563</v>
          </cell>
          <cell r="AR22">
            <v>15589.55</v>
          </cell>
          <cell r="AS22">
            <v>22201.182999999997</v>
          </cell>
          <cell r="AT22">
            <v>0.72659738177057753</v>
          </cell>
          <cell r="AU22">
            <v>0.5102127311405662</v>
          </cell>
          <cell r="AV22">
            <v>27575.31696259508</v>
          </cell>
          <cell r="AW22">
            <v>41261.410389942634</v>
          </cell>
          <cell r="AX22">
            <v>1.3503979836341886</v>
          </cell>
          <cell r="AY22">
            <v>0.90248132752724852</v>
          </cell>
          <cell r="AZ22">
            <v>220366.11696259509</v>
          </cell>
          <cell r="BA22">
            <v>272990.32462327596</v>
          </cell>
          <cell r="BB22">
            <v>8.9343912493299289</v>
          </cell>
          <cell r="BC22">
            <v>7.2121131390147299</v>
          </cell>
          <cell r="CG22" t="str">
            <v>DES</v>
          </cell>
          <cell r="CI22">
            <v>27575.31696259508</v>
          </cell>
          <cell r="CJ22">
            <v>1.4963168128189512</v>
          </cell>
          <cell r="CK22">
            <v>41261.410389942634</v>
          </cell>
          <cell r="CL22">
            <v>1.3503979836341886</v>
          </cell>
          <cell r="CM22">
            <v>0.90248132752724852</v>
          </cell>
          <cell r="CN22">
            <v>30555</v>
          </cell>
        </row>
        <row r="24">
          <cell r="A24" t="str">
            <v>II</v>
          </cell>
          <cell r="C24" t="str">
            <v>PEMADAMAN TERENCANA</v>
          </cell>
          <cell r="CG24" t="str">
            <v>KOM</v>
          </cell>
          <cell r="CI24">
            <v>256752.61696259506</v>
          </cell>
          <cell r="CJ24">
            <v>1.2402468508029554</v>
          </cell>
          <cell r="CK24">
            <v>318436.624623276</v>
          </cell>
          <cell r="CL24">
            <v>10.42175174679352</v>
          </cell>
          <cell r="CM24">
            <v>8.4029656999703839</v>
          </cell>
          <cell r="CN24">
            <v>30555</v>
          </cell>
        </row>
        <row r="25">
          <cell r="CG25" t="str">
            <v>Target</v>
          </cell>
          <cell r="CL25">
            <v>5.5985938261836603</v>
          </cell>
          <cell r="CM25">
            <v>6.2108731739690342</v>
          </cell>
        </row>
        <row r="26">
          <cell r="A26" t="str">
            <v>II.1.</v>
          </cell>
          <cell r="C26" t="str">
            <v>Kelompok Distribusi :</v>
          </cell>
          <cell r="CG26" t="str">
            <v>Realisasi thd Target(%)</v>
          </cell>
          <cell r="CL26">
            <v>186.14945235092389</v>
          </cell>
          <cell r="CM26">
            <v>135.29443388393167</v>
          </cell>
        </row>
        <row r="27">
          <cell r="C27" t="str">
            <v>Karena Pembangunan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</row>
        <row r="28">
          <cell r="C28" t="str">
            <v>Karena Pemeliharaan</v>
          </cell>
          <cell r="D28">
            <v>764</v>
          </cell>
          <cell r="E28">
            <v>830.35</v>
          </cell>
          <cell r="F28">
            <v>2.7840737636211234E-2</v>
          </cell>
          <cell r="G28">
            <v>2.561609388097234E-2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1324</v>
          </cell>
          <cell r="M28">
            <v>1259.27</v>
          </cell>
          <cell r="N28">
            <v>4.176821785133835E-2</v>
          </cell>
          <cell r="O28">
            <v>4.391522106869216E-2</v>
          </cell>
          <cell r="P28">
            <v>1112.5</v>
          </cell>
          <cell r="Q28">
            <v>3349.84</v>
          </cell>
          <cell r="R28">
            <v>0.11099536116633532</v>
          </cell>
          <cell r="S28">
            <v>3.6862160371106692E-2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3200.5</v>
          </cell>
          <cell r="BA28">
            <v>5439.46</v>
          </cell>
          <cell r="BB28">
            <v>0.1780219276714122</v>
          </cell>
          <cell r="BC28">
            <v>0.10474554082801506</v>
          </cell>
          <cell r="CG28" t="str">
            <v>Jan s.d Feb</v>
          </cell>
          <cell r="CI28">
            <v>79191</v>
          </cell>
          <cell r="CK28">
            <v>91777.309899999993</v>
          </cell>
          <cell r="CL28">
            <v>3.0575260295522768</v>
          </cell>
          <cell r="CM28">
            <v>2.6384154192460518</v>
          </cell>
          <cell r="CN28">
            <v>30086</v>
          </cell>
        </row>
        <row r="29">
          <cell r="C29" t="str">
            <v>Karena Pelaksanaan PTM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CG29" t="str">
            <v>Jan s.d Mar</v>
          </cell>
          <cell r="CI29">
            <v>101832</v>
          </cell>
          <cell r="CK29">
            <v>135390.56389999998</v>
          </cell>
          <cell r="CL29">
            <v>4.5041164305606021</v>
          </cell>
          <cell r="CM29">
            <v>3.3893856006782719</v>
          </cell>
          <cell r="CN29">
            <v>30149</v>
          </cell>
        </row>
        <row r="30">
          <cell r="C30" t="str">
            <v>Karena Pelaksanaan PTR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CG30" t="str">
            <v>Jan s.d Apr</v>
          </cell>
          <cell r="CI30">
            <v>118548</v>
          </cell>
          <cell r="CK30">
            <v>157872.91389999999</v>
          </cell>
          <cell r="CL30">
            <v>5.2490584451397932</v>
          </cell>
          <cell r="CM30">
            <v>3.9432623402408962</v>
          </cell>
          <cell r="CN30">
            <v>30180</v>
          </cell>
        </row>
        <row r="31">
          <cell r="C31" t="str">
            <v>Karena Pelaksanaan Rehabilitasi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CG31" t="str">
            <v>Jan s.d Mei</v>
          </cell>
          <cell r="CI31">
            <v>125860</v>
          </cell>
          <cell r="CK31">
            <v>168731.59889999998</v>
          </cell>
          <cell r="CL31">
            <v>5.6085580313010253</v>
          </cell>
          <cell r="CM31">
            <v>4.1853414662134174</v>
          </cell>
          <cell r="CN31">
            <v>30205</v>
          </cell>
        </row>
        <row r="32">
          <cell r="C32" t="str">
            <v>Karena Pelebaran Jalan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CG32" t="str">
            <v>Jan s.d Jun</v>
          </cell>
          <cell r="CI32">
            <v>136599</v>
          </cell>
          <cell r="CK32">
            <v>182741.81289999999</v>
          </cell>
          <cell r="CL32">
            <v>6.0718740801121633</v>
          </cell>
          <cell r="CM32">
            <v>4.5404788715508957</v>
          </cell>
          <cell r="CN32">
            <v>30239</v>
          </cell>
        </row>
        <row r="33">
          <cell r="BI33" t="str">
            <v>Saidi :</v>
          </cell>
          <cell r="BJ33">
            <v>0.35949958616123162</v>
          </cell>
          <cell r="BP33" t="str">
            <v>Saidi :</v>
          </cell>
          <cell r="BQ33">
            <v>0.46331604881113791</v>
          </cell>
          <cell r="BW33" t="str">
            <v>Saidi :</v>
          </cell>
          <cell r="BX33">
            <v>0.38869981827193129</v>
          </cell>
          <cell r="CD33" t="str">
            <v>Saidi :</v>
          </cell>
          <cell r="CE33">
            <v>0.96691051269343076</v>
          </cell>
          <cell r="CG33" t="str">
            <v>Apr s.d Jun</v>
          </cell>
          <cell r="CI33">
            <v>34767</v>
          </cell>
          <cell r="CK33">
            <v>47351.249000000003</v>
          </cell>
          <cell r="CL33">
            <v>1.567757649551561</v>
          </cell>
          <cell r="CM33">
            <v>1.1510932708726236</v>
          </cell>
          <cell r="CN33">
            <v>30239</v>
          </cell>
        </row>
        <row r="34">
          <cell r="C34" t="str">
            <v>JUMLAH  II.1</v>
          </cell>
          <cell r="D34">
            <v>764</v>
          </cell>
          <cell r="E34">
            <v>830.35</v>
          </cell>
          <cell r="F34">
            <v>2.7840737636211234E-2</v>
          </cell>
          <cell r="G34">
            <v>2.561609388097234E-2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1324</v>
          </cell>
          <cell r="M34">
            <v>1259.27</v>
          </cell>
          <cell r="N34">
            <v>4.176821785133835E-2</v>
          </cell>
          <cell r="O34">
            <v>4.391522106869216E-2</v>
          </cell>
          <cell r="P34">
            <v>1112.5</v>
          </cell>
          <cell r="Q34">
            <v>3349.84</v>
          </cell>
          <cell r="R34">
            <v>0.11099536116633532</v>
          </cell>
          <cell r="S34">
            <v>3.6862160371106692E-2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3200.5</v>
          </cell>
          <cell r="BA34">
            <v>5439.46</v>
          </cell>
          <cell r="BB34">
            <v>0.1780219276714122</v>
          </cell>
          <cell r="BC34">
            <v>0.10474554082801506</v>
          </cell>
          <cell r="CG34" t="str">
            <v>Jan s.d Jul</v>
          </cell>
          <cell r="CI34">
            <v>148363</v>
          </cell>
          <cell r="CK34">
            <v>197589.47289999999</v>
          </cell>
          <cell r="CL34">
            <v>6.5624625486401662</v>
          </cell>
          <cell r="CM34">
            <v>4.9291786898228267</v>
          </cell>
          <cell r="CN34">
            <v>30265</v>
          </cell>
        </row>
        <row r="35">
          <cell r="CG35" t="str">
            <v>Jan s.d Ags</v>
          </cell>
          <cell r="CI35">
            <v>164674</v>
          </cell>
          <cell r="CK35">
            <v>226853.01956666668</v>
          </cell>
          <cell r="CL35">
            <v>7.5293730613335965</v>
          </cell>
          <cell r="CM35">
            <v>5.4681180587308065</v>
          </cell>
          <cell r="CN35">
            <v>30265</v>
          </cell>
        </row>
        <row r="36">
          <cell r="A36" t="str">
            <v>II.2</v>
          </cell>
          <cell r="C36" t="str">
            <v>Kelompok Pembangkitan  :</v>
          </cell>
          <cell r="CG36" t="str">
            <v>Jan s.d Sep</v>
          </cell>
          <cell r="CI36">
            <v>190967</v>
          </cell>
          <cell r="CK36">
            <v>245028.02290000001</v>
          </cell>
          <cell r="CL36">
            <v>8.1287334139695719</v>
          </cell>
          <cell r="CM36">
            <v>6.3351870469909306</v>
          </cell>
          <cell r="CN36">
            <v>30324</v>
          </cell>
        </row>
        <row r="37">
          <cell r="C37" t="str">
            <v>Karena Cadangan Daya Kurang</v>
          </cell>
          <cell r="D37">
            <v>9589</v>
          </cell>
          <cell r="E37">
            <v>9093.92</v>
          </cell>
          <cell r="F37">
            <v>0.30490930427493712</v>
          </cell>
          <cell r="G37">
            <v>0.32150880134115672</v>
          </cell>
          <cell r="H37">
            <v>23597</v>
          </cell>
          <cell r="I37">
            <v>30912.92</v>
          </cell>
          <cell r="J37">
            <v>1.0274852090673403</v>
          </cell>
          <cell r="K37">
            <v>0.78431828757561661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33186</v>
          </cell>
          <cell r="BA37">
            <v>40006.839999999997</v>
          </cell>
          <cell r="BB37">
            <v>1.309338569792178</v>
          </cell>
          <cell r="BC37">
            <v>1.0861070201276386</v>
          </cell>
          <cell r="CG37" t="str">
            <v>Jul s.d Sep</v>
          </cell>
          <cell r="CI37">
            <v>54368</v>
          </cell>
          <cell r="CK37">
            <v>62286.210000000006</v>
          </cell>
          <cell r="CL37">
            <v>2.056859333857409</v>
          </cell>
          <cell r="CM37">
            <v>1.7947081754400349</v>
          </cell>
          <cell r="CN37">
            <v>30324</v>
          </cell>
        </row>
        <row r="38">
          <cell r="CG38" t="str">
            <v>Jan s.d Okt</v>
          </cell>
          <cell r="CI38">
            <v>213587.75</v>
          </cell>
          <cell r="CK38">
            <v>254974.03123333334</v>
          </cell>
          <cell r="CL38">
            <v>8.4556573969210671</v>
          </cell>
          <cell r="CM38">
            <v>7.0787281178912362</v>
          </cell>
          <cell r="CN38">
            <v>30423</v>
          </cell>
        </row>
        <row r="39">
          <cell r="C39" t="str">
            <v>JUMLAH  II.2</v>
          </cell>
          <cell r="D39">
            <v>9589</v>
          </cell>
          <cell r="E39">
            <v>9093.92</v>
          </cell>
          <cell r="F39">
            <v>0.30490930427493712</v>
          </cell>
          <cell r="G39">
            <v>0.32150880134115672</v>
          </cell>
          <cell r="H39">
            <v>23597</v>
          </cell>
          <cell r="I39">
            <v>30912.92</v>
          </cell>
          <cell r="J39">
            <v>1.0274852090673403</v>
          </cell>
          <cell r="K39">
            <v>0.78431828757561661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33186</v>
          </cell>
          <cell r="BA39">
            <v>40006.839999999997</v>
          </cell>
          <cell r="BB39">
            <v>1.309338569792178</v>
          </cell>
          <cell r="BC39">
            <v>1.0861070201276386</v>
          </cell>
          <cell r="CG39" t="str">
            <v>Jan s.d Nov</v>
          </cell>
          <cell r="CI39">
            <v>229177.3</v>
          </cell>
          <cell r="CK39">
            <v>277175.21423333336</v>
          </cell>
          <cell r="CL39">
            <v>9.1822547786916449</v>
          </cell>
          <cell r="CM39">
            <v>7.5889408490318022</v>
          </cell>
          <cell r="CN39">
            <v>30555</v>
          </cell>
        </row>
        <row r="40">
          <cell r="CG40" t="str">
            <v>Jan s.d Des</v>
          </cell>
          <cell r="CI40">
            <v>256752.61696259506</v>
          </cell>
          <cell r="CK40">
            <v>318436.624623276</v>
          </cell>
          <cell r="CL40">
            <v>10.532652762325833</v>
          </cell>
          <cell r="CM40">
            <v>8.4914221765590501</v>
          </cell>
          <cell r="CN40">
            <v>30555</v>
          </cell>
        </row>
        <row r="41">
          <cell r="C41" t="str">
            <v>JUMLAH  II ( II.1 + II.2 )</v>
          </cell>
          <cell r="D41">
            <v>10353</v>
          </cell>
          <cell r="E41">
            <v>9924.27</v>
          </cell>
          <cell r="F41">
            <v>0.33275004191114838</v>
          </cell>
          <cell r="G41">
            <v>0.34712489522212908</v>
          </cell>
          <cell r="H41">
            <v>23597</v>
          </cell>
          <cell r="I41">
            <v>30912.92</v>
          </cell>
          <cell r="J41">
            <v>1.0274852090673403</v>
          </cell>
          <cell r="K41">
            <v>0.78431828757561661</v>
          </cell>
          <cell r="L41">
            <v>1324</v>
          </cell>
          <cell r="M41">
            <v>1259.27</v>
          </cell>
          <cell r="N41">
            <v>4.176821785133835E-2</v>
          </cell>
          <cell r="O41">
            <v>4.391522106869216E-2</v>
          </cell>
          <cell r="P41">
            <v>1112.5</v>
          </cell>
          <cell r="Q41">
            <v>3349.84</v>
          </cell>
          <cell r="R41">
            <v>0.11099536116633532</v>
          </cell>
          <cell r="S41">
            <v>3.6862160371106692E-2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36386.5</v>
          </cell>
          <cell r="BA41">
            <v>45446.299999999996</v>
          </cell>
          <cell r="BB41">
            <v>1.4873604974635901</v>
          </cell>
          <cell r="BC41">
            <v>1.1908525609556537</v>
          </cell>
          <cell r="CG41" t="str">
            <v>Okt s.d Des</v>
          </cell>
          <cell r="CI41">
            <v>65785.616962595086</v>
          </cell>
          <cell r="CK41">
            <v>73408.601723275962</v>
          </cell>
          <cell r="CL41">
            <v>2.4039193483562613</v>
          </cell>
          <cell r="CM41">
            <v>2.1562351295681204</v>
          </cell>
          <cell r="CN41">
            <v>30555</v>
          </cell>
        </row>
        <row r="43">
          <cell r="C43" t="str">
            <v>JUMLAH  ( I + II )</v>
          </cell>
          <cell r="D43">
            <v>21525</v>
          </cell>
          <cell r="E43">
            <v>24159.189900000001</v>
          </cell>
          <cell r="F43">
            <v>0.81003151383067895</v>
          </cell>
          <cell r="G43">
            <v>0.72170997485331101</v>
          </cell>
          <cell r="H43">
            <v>57666</v>
          </cell>
          <cell r="I43">
            <v>67618.12</v>
          </cell>
          <cell r="J43">
            <v>2.2474945157215984</v>
          </cell>
          <cell r="K43">
            <v>1.9167054443927407</v>
          </cell>
          <cell r="L43">
            <v>22641</v>
          </cell>
          <cell r="M43">
            <v>43613.253999999994</v>
          </cell>
          <cell r="N43">
            <v>1.4465904010083253</v>
          </cell>
          <cell r="O43">
            <v>0.75097018143221994</v>
          </cell>
          <cell r="P43">
            <v>16716</v>
          </cell>
          <cell r="Q43">
            <v>22482.350000000002</v>
          </cell>
          <cell r="R43">
            <v>0.74494201457919151</v>
          </cell>
          <cell r="S43">
            <v>0.55387673956262418</v>
          </cell>
          <cell r="T43">
            <v>7312</v>
          </cell>
          <cell r="U43">
            <v>10858.685000000001</v>
          </cell>
          <cell r="V43">
            <v>0.35949958616123162</v>
          </cell>
          <cell r="W43">
            <v>0.24207912597252113</v>
          </cell>
          <cell r="X43">
            <v>10739</v>
          </cell>
          <cell r="Y43">
            <v>14010.214</v>
          </cell>
          <cell r="Z43">
            <v>0.46331604881113791</v>
          </cell>
          <cell r="AA43">
            <v>0.35513740533747812</v>
          </cell>
          <cell r="AB43">
            <v>11764</v>
          </cell>
          <cell r="AC43">
            <v>14847.66</v>
          </cell>
          <cell r="AD43">
            <v>0.49058846852800264</v>
          </cell>
          <cell r="AE43">
            <v>0.38869981827193129</v>
          </cell>
          <cell r="AF43">
            <v>16311</v>
          </cell>
          <cell r="AG43">
            <v>29263.54666666668</v>
          </cell>
          <cell r="AH43">
            <v>0.96691051269343076</v>
          </cell>
          <cell r="AI43">
            <v>0.53893936890797955</v>
          </cell>
          <cell r="AJ43">
            <v>26293</v>
          </cell>
          <cell r="AK43">
            <v>18175.00333333333</v>
          </cell>
          <cell r="AL43">
            <v>0.59936035263597576</v>
          </cell>
          <cell r="AM43">
            <v>0.86706898826012402</v>
          </cell>
          <cell r="AN43">
            <v>22620.75</v>
          </cell>
          <cell r="AO43">
            <v>9946.008333333335</v>
          </cell>
          <cell r="AP43">
            <v>0.32692398295149511</v>
          </cell>
          <cell r="AQ43">
            <v>0.74354107090030563</v>
          </cell>
          <cell r="AR43">
            <v>15589.55</v>
          </cell>
          <cell r="AS43">
            <v>22201.182999999997</v>
          </cell>
          <cell r="AT43">
            <v>0.72659738177057753</v>
          </cell>
          <cell r="AU43">
            <v>0.5102127311405662</v>
          </cell>
          <cell r="AV43">
            <v>27575.31696259508</v>
          </cell>
          <cell r="AW43">
            <v>41261.410389942634</v>
          </cell>
          <cell r="AX43">
            <v>1.3503979836341886</v>
          </cell>
          <cell r="AY43">
            <v>0.90248132752724852</v>
          </cell>
          <cell r="AZ43">
            <v>256752.61696259509</v>
          </cell>
          <cell r="BA43">
            <v>318436.62462327594</v>
          </cell>
          <cell r="BB43">
            <v>10.421751746793518</v>
          </cell>
          <cell r="BC43">
            <v>8.4029656999703839</v>
          </cell>
          <cell r="CG43" t="str">
            <v>Apr s.d Mei</v>
          </cell>
          <cell r="CI43">
            <v>24028</v>
          </cell>
          <cell r="CK43">
            <v>33341.035000000003</v>
          </cell>
          <cell r="CL43">
            <v>1.1044416007404232</v>
          </cell>
          <cell r="CM43">
            <v>0.79595586553514541</v>
          </cell>
          <cell r="CN43">
            <v>30205</v>
          </cell>
        </row>
        <row r="44">
          <cell r="CG44" t="str">
            <v>Apr s.dJun</v>
          </cell>
          <cell r="CI44">
            <v>34767</v>
          </cell>
          <cell r="CK44">
            <v>47351.249000000003</v>
          </cell>
          <cell r="CL44">
            <v>1.567757649551561</v>
          </cell>
          <cell r="CM44">
            <v>1.1510932708726236</v>
          </cell>
          <cell r="CN44">
            <v>30239</v>
          </cell>
        </row>
        <row r="45">
          <cell r="CG45" t="str">
            <v>Apr s.d Jul</v>
          </cell>
          <cell r="CI45">
            <v>46531</v>
          </cell>
          <cell r="CK45">
            <v>62198.909</v>
          </cell>
          <cell r="CL45">
            <v>2.0583461180795637</v>
          </cell>
          <cell r="CM45">
            <v>1.5397930891445548</v>
          </cell>
          <cell r="CN45">
            <v>30265</v>
          </cell>
        </row>
        <row r="46">
          <cell r="G46">
            <v>29825</v>
          </cell>
          <cell r="K46">
            <v>30086</v>
          </cell>
          <cell r="O46">
            <v>30149</v>
          </cell>
          <cell r="S46">
            <v>30180</v>
          </cell>
          <cell r="W46">
            <v>30205</v>
          </cell>
          <cell r="AA46">
            <v>30239</v>
          </cell>
          <cell r="AE46">
            <v>30265</v>
          </cell>
          <cell r="AI46">
            <v>30265</v>
          </cell>
          <cell r="AM46">
            <v>30324</v>
          </cell>
          <cell r="AQ46">
            <v>30423</v>
          </cell>
          <cell r="AU46">
            <v>30555</v>
          </cell>
          <cell r="AY46">
            <v>30555</v>
          </cell>
          <cell r="BC46">
            <v>30555</v>
          </cell>
          <cell r="CG46" t="str">
            <v>Apr s.d Ags</v>
          </cell>
          <cell r="CI46">
            <v>62842</v>
          </cell>
          <cell r="CK46">
            <v>91462.455666666676</v>
          </cell>
          <cell r="CL46">
            <v>3.0252566307729944</v>
          </cell>
          <cell r="CM46">
            <v>2.0787324580525341</v>
          </cell>
          <cell r="CN46">
            <v>30265</v>
          </cell>
        </row>
        <row r="47">
          <cell r="BH47" t="str">
            <v>Saidi :</v>
          </cell>
          <cell r="BI47">
            <v>0.59936035263597576</v>
          </cell>
          <cell r="BO47" t="str">
            <v>Saidi :</v>
          </cell>
          <cell r="BP47">
            <v>0.32692398295149511</v>
          </cell>
          <cell r="BV47" t="str">
            <v>Saidi :</v>
          </cell>
          <cell r="BW47">
            <v>0.72659738177057753</v>
          </cell>
          <cell r="CC47" t="str">
            <v>Saidi :</v>
          </cell>
          <cell r="CD47">
            <v>1.3503979836341886</v>
          </cell>
          <cell r="CG47" t="str">
            <v>Apr s.d Sep</v>
          </cell>
          <cell r="CI47">
            <v>89135</v>
          </cell>
          <cell r="CK47">
            <v>109637.459</v>
          </cell>
          <cell r="CL47">
            <v>3.6246169834089703</v>
          </cell>
          <cell r="CM47">
            <v>2.9458014463126583</v>
          </cell>
          <cell r="CN47">
            <v>30324</v>
          </cell>
        </row>
        <row r="50">
          <cell r="BE50" t="str">
            <v>ANGKA  SAIFI  PANGKALAN BUN</v>
          </cell>
        </row>
        <row r="51">
          <cell r="BE51" t="str">
            <v>JANUARI  S/D DESEMBER  2007</v>
          </cell>
        </row>
        <row r="65">
          <cell r="BI65" t="str">
            <v>Saifi :</v>
          </cell>
          <cell r="BJ65">
            <v>0.72170997485331101</v>
          </cell>
          <cell r="BP65" t="str">
            <v>Saifi :</v>
          </cell>
          <cell r="BQ65">
            <v>1.9167054443927407</v>
          </cell>
          <cell r="BW65" t="str">
            <v>Saifi :</v>
          </cell>
          <cell r="BX65">
            <v>0.75097018143221994</v>
          </cell>
          <cell r="CD65" t="str">
            <v>Saifi :</v>
          </cell>
          <cell r="CE65">
            <v>0.55387673956262418</v>
          </cell>
        </row>
        <row r="79">
          <cell r="BI79" t="str">
            <v>Saifi :</v>
          </cell>
          <cell r="BJ79">
            <v>0.24207912597252113</v>
          </cell>
          <cell r="BP79" t="str">
            <v>Saifi :</v>
          </cell>
          <cell r="BQ79">
            <v>0.35513740533747812</v>
          </cell>
          <cell r="BW79" t="str">
            <v>Saifi :</v>
          </cell>
          <cell r="BX79">
            <v>0.38869981827193129</v>
          </cell>
          <cell r="CD79" t="str">
            <v>Saifi :</v>
          </cell>
          <cell r="CE79">
            <v>0.53893936890797955</v>
          </cell>
        </row>
        <row r="93">
          <cell r="BI93" t="str">
            <v>Saifi :</v>
          </cell>
          <cell r="BJ93">
            <v>0.86706898826012402</v>
          </cell>
          <cell r="BP93" t="str">
            <v>Saifi :</v>
          </cell>
          <cell r="BQ93">
            <v>0.74354107090030563</v>
          </cell>
          <cell r="BW93" t="str">
            <v>Saifi :</v>
          </cell>
          <cell r="BX93">
            <v>0.5102127311405662</v>
          </cell>
          <cell r="CD93" t="str">
            <v>Saifi :</v>
          </cell>
          <cell r="CE93">
            <v>0.90248132752724852</v>
          </cell>
        </row>
        <row r="95">
          <cell r="BE95" t="str">
            <v>ANGKA  SAIDI &amp; SAIFI KOMULATIF  PANGKALAN BUN</v>
          </cell>
        </row>
        <row r="96">
          <cell r="BE96" t="str">
            <v>JANUARI  S/D DESEMBER  2007</v>
          </cell>
        </row>
        <row r="120">
          <cell r="BN120" t="str">
            <v>Saidi :</v>
          </cell>
          <cell r="BO120">
            <v>10.421751746793518</v>
          </cell>
          <cell r="CB120" t="str">
            <v>Saifi :</v>
          </cell>
          <cell r="CC120">
            <v>8.4029656999703839</v>
          </cell>
        </row>
      </sheetData>
      <sheetData sheetId="3">
        <row r="2">
          <cell r="A2" t="str">
            <v>REKAPITULASI</v>
          </cell>
        </row>
        <row r="3">
          <cell r="A3" t="str">
            <v>LAPORAN SAIDI &amp; SAIFI TAHUN 2007</v>
          </cell>
        </row>
        <row r="4">
          <cell r="BE4" t="str">
            <v>ANGKA  SAIDI  KUALA PEMBUANG</v>
          </cell>
          <cell r="CG4" t="str">
            <v>REALISASI  SAIDI &amp; SAIFI  TH 2007</v>
          </cell>
        </row>
        <row r="5">
          <cell r="A5" t="str">
            <v>RANTING  KUALA PEMBUANG</v>
          </cell>
          <cell r="BE5" t="str">
            <v>JANUARI  S/D DESEMBER  2007</v>
          </cell>
          <cell r="CG5" t="str">
            <v>RANTING KUALA PEMBUANG</v>
          </cell>
        </row>
        <row r="6">
          <cell r="D6" t="str">
            <v>JANUARI</v>
          </cell>
          <cell r="H6" t="str">
            <v>FEBRUARI</v>
          </cell>
          <cell r="L6" t="str">
            <v>MARET</v>
          </cell>
          <cell r="P6" t="str">
            <v>APRIL</v>
          </cell>
          <cell r="T6" t="str">
            <v>MEI</v>
          </cell>
          <cell r="X6" t="str">
            <v>JUNI</v>
          </cell>
          <cell r="AB6" t="str">
            <v>JULI</v>
          </cell>
          <cell r="AF6" t="str">
            <v>AGUSTUS</v>
          </cell>
          <cell r="AJ6" t="str">
            <v>SEPTEMBER</v>
          </cell>
          <cell r="AN6" t="str">
            <v>OKTOBER</v>
          </cell>
          <cell r="AR6" t="str">
            <v>NOVEMBER</v>
          </cell>
          <cell r="AV6" t="str">
            <v>DESEMBER</v>
          </cell>
          <cell r="AZ6" t="str">
            <v xml:space="preserve">KOMULATIF </v>
          </cell>
          <cell r="CG6" t="str">
            <v>BULAN</v>
          </cell>
          <cell r="CH6" t="str">
            <v>PELG.         PADAM</v>
          </cell>
          <cell r="CJ6" t="str">
            <v>KOEFISIEN</v>
          </cell>
          <cell r="CK6" t="str">
            <v>JAM X PLG          PADAM</v>
          </cell>
          <cell r="CL6" t="str">
            <v>SAIDI (JAM/PELG)</v>
          </cell>
          <cell r="CM6" t="str">
            <v>SAIFI        (KALI/PELG)</v>
          </cell>
          <cell r="CN6" t="str">
            <v>JUMLAH        PELG.</v>
          </cell>
        </row>
        <row r="7">
          <cell r="A7" t="str">
            <v>No.</v>
          </cell>
          <cell r="C7" t="str">
            <v>PENYEBAB  PEMADAMAN</v>
          </cell>
          <cell r="D7" t="str">
            <v>PLG</v>
          </cell>
          <cell r="E7" t="str">
            <v>JAM X PLG</v>
          </cell>
          <cell r="H7" t="str">
            <v>PLG</v>
          </cell>
          <cell r="I7" t="str">
            <v>JAM X PLG</v>
          </cell>
          <cell r="L7" t="str">
            <v>PLG</v>
          </cell>
          <cell r="M7" t="str">
            <v>JAM X PLG</v>
          </cell>
          <cell r="P7" t="str">
            <v>PLG</v>
          </cell>
          <cell r="Q7" t="str">
            <v>JAM X PLG</v>
          </cell>
          <cell r="T7" t="str">
            <v>PLG</v>
          </cell>
          <cell r="U7" t="str">
            <v>JAM X PLG</v>
          </cell>
          <cell r="X7" t="str">
            <v>PLG</v>
          </cell>
          <cell r="Y7" t="str">
            <v>JAM X PLG</v>
          </cell>
          <cell r="AB7" t="str">
            <v>PLG</v>
          </cell>
          <cell r="AC7" t="str">
            <v>JAM X PLG</v>
          </cell>
          <cell r="AF7" t="str">
            <v>PLG</v>
          </cell>
          <cell r="AG7" t="str">
            <v>JAM X PLG</v>
          </cell>
          <cell r="AJ7" t="str">
            <v>PLG</v>
          </cell>
          <cell r="AK7" t="str">
            <v>JAM X PLG</v>
          </cell>
          <cell r="AN7" t="str">
            <v>PLG</v>
          </cell>
          <cell r="AO7" t="str">
            <v>JAM X PLG</v>
          </cell>
          <cell r="AR7" t="str">
            <v>PLG</v>
          </cell>
          <cell r="AS7" t="str">
            <v>JAM X PLG</v>
          </cell>
          <cell r="AV7" t="str">
            <v>PLG</v>
          </cell>
          <cell r="AW7" t="str">
            <v>JAM X PLG</v>
          </cell>
          <cell r="AZ7" t="str">
            <v>PLG</v>
          </cell>
          <cell r="BA7" t="str">
            <v>JAM X PLG</v>
          </cell>
          <cell r="CJ7" t="str">
            <v>JAM</v>
          </cell>
        </row>
        <row r="8">
          <cell r="D8" t="str">
            <v>PADAM</v>
          </cell>
          <cell r="E8" t="str">
            <v>PADAM</v>
          </cell>
          <cell r="F8" t="str">
            <v>SAIDI</v>
          </cell>
          <cell r="G8" t="str">
            <v>SAIFI</v>
          </cell>
          <cell r="H8" t="str">
            <v>PADAM</v>
          </cell>
          <cell r="I8" t="str">
            <v>PADAM</v>
          </cell>
          <cell r="J8" t="str">
            <v>SAIDI</v>
          </cell>
          <cell r="K8" t="str">
            <v>SAIFI</v>
          </cell>
          <cell r="L8" t="str">
            <v>PADAM</v>
          </cell>
          <cell r="M8" t="str">
            <v>PADAM</v>
          </cell>
          <cell r="N8" t="str">
            <v>SAIDI</v>
          </cell>
          <cell r="O8" t="str">
            <v>SAIFI</v>
          </cell>
          <cell r="P8" t="str">
            <v>PADAM</v>
          </cell>
          <cell r="Q8" t="str">
            <v>PADAM</v>
          </cell>
          <cell r="R8" t="str">
            <v>SAIDI</v>
          </cell>
          <cell r="S8" t="str">
            <v>SAIFI</v>
          </cell>
          <cell r="T8" t="str">
            <v>PADAM</v>
          </cell>
          <cell r="U8" t="str">
            <v>PADAM</v>
          </cell>
          <cell r="V8" t="str">
            <v>SAIDI</v>
          </cell>
          <cell r="W8" t="str">
            <v>SAIFI</v>
          </cell>
          <cell r="X8" t="str">
            <v>PADAM</v>
          </cell>
          <cell r="Y8" t="str">
            <v>PADAM</v>
          </cell>
          <cell r="Z8" t="str">
            <v>SAIDI</v>
          </cell>
          <cell r="AA8" t="str">
            <v>SAIFI</v>
          </cell>
          <cell r="AB8" t="str">
            <v>PADAM</v>
          </cell>
          <cell r="AC8" t="str">
            <v>PADAM</v>
          </cell>
          <cell r="AD8" t="str">
            <v>SAIDI</v>
          </cell>
          <cell r="AE8" t="str">
            <v>SAIFI</v>
          </cell>
          <cell r="AF8" t="str">
            <v>PADAM</v>
          </cell>
          <cell r="AG8" t="str">
            <v>PADAM</v>
          </cell>
          <cell r="AH8" t="str">
            <v>SAIDI</v>
          </cell>
          <cell r="AI8" t="str">
            <v>SAIFI</v>
          </cell>
          <cell r="AJ8" t="str">
            <v>PADAM</v>
          </cell>
          <cell r="AK8" t="str">
            <v>PADAM</v>
          </cell>
          <cell r="AL8" t="str">
            <v>SAIDI</v>
          </cell>
          <cell r="AM8" t="str">
            <v>SAIFI</v>
          </cell>
          <cell r="AN8" t="str">
            <v>PADAM</v>
          </cell>
          <cell r="AO8" t="str">
            <v>PADAM</v>
          </cell>
          <cell r="AP8" t="str">
            <v>SAIDI</v>
          </cell>
          <cell r="AQ8" t="str">
            <v>SAIFI</v>
          </cell>
          <cell r="AR8" t="str">
            <v>PADAM</v>
          </cell>
          <cell r="AS8" t="str">
            <v>PADAM</v>
          </cell>
          <cell r="AT8" t="str">
            <v>SAIDI</v>
          </cell>
          <cell r="AU8" t="str">
            <v>SAIFI</v>
          </cell>
          <cell r="AV8" t="str">
            <v>PADAM</v>
          </cell>
          <cell r="AW8" t="str">
            <v>PADAM</v>
          </cell>
          <cell r="AX8" t="str">
            <v>SAIDI</v>
          </cell>
          <cell r="AY8" t="str">
            <v>SAIFI</v>
          </cell>
          <cell r="AZ8" t="str">
            <v>PADAM</v>
          </cell>
          <cell r="BA8" t="str">
            <v>PADAM</v>
          </cell>
          <cell r="BB8" t="str">
            <v>SAIDI</v>
          </cell>
          <cell r="BC8" t="str">
            <v>SAIFI</v>
          </cell>
          <cell r="CJ8" t="str">
            <v>PADAM</v>
          </cell>
        </row>
        <row r="9">
          <cell r="CG9">
            <v>1</v>
          </cell>
          <cell r="CH9">
            <v>2</v>
          </cell>
          <cell r="CJ9">
            <v>2</v>
          </cell>
          <cell r="CK9">
            <v>3</v>
          </cell>
          <cell r="CL9">
            <v>4</v>
          </cell>
          <cell r="CM9">
            <v>5</v>
          </cell>
          <cell r="CN9">
            <v>6</v>
          </cell>
        </row>
        <row r="10">
          <cell r="A10" t="str">
            <v>I</v>
          </cell>
          <cell r="C10" t="str">
            <v>PEMADAMAN KARENA GANGGUAN</v>
          </cell>
        </row>
        <row r="11">
          <cell r="CG11" t="str">
            <v xml:space="preserve">JAN </v>
          </cell>
          <cell r="CI11">
            <v>23</v>
          </cell>
          <cell r="CJ11">
            <v>1.8695652173913044</v>
          </cell>
          <cell r="CK11">
            <v>43</v>
          </cell>
          <cell r="CL11">
            <v>1.183920704845815E-2</v>
          </cell>
          <cell r="CM11">
            <v>6.3325991189427311E-3</v>
          </cell>
          <cell r="CN11">
            <v>3632</v>
          </cell>
        </row>
        <row r="12">
          <cell r="A12">
            <v>1</v>
          </cell>
          <cell r="C12" t="str">
            <v>Kelompok Samb. Tenaga listrik &amp; APP</v>
          </cell>
          <cell r="D12">
            <v>23</v>
          </cell>
          <cell r="E12">
            <v>43</v>
          </cell>
          <cell r="F12">
            <v>1.183920704845815E-2</v>
          </cell>
          <cell r="G12">
            <v>6.3325991189427311E-3</v>
          </cell>
          <cell r="H12">
            <v>8</v>
          </cell>
          <cell r="I12">
            <v>8</v>
          </cell>
          <cell r="J12">
            <v>2.1941854086670325E-3</v>
          </cell>
          <cell r="K12">
            <v>2.1941854086670325E-3</v>
          </cell>
          <cell r="L12">
            <v>5</v>
          </cell>
          <cell r="M12">
            <v>5</v>
          </cell>
          <cell r="N12">
            <v>1.3676148796498905E-3</v>
          </cell>
          <cell r="O12">
            <v>1.3676148796498905E-3</v>
          </cell>
          <cell r="P12">
            <v>6</v>
          </cell>
          <cell r="Q12">
            <v>6</v>
          </cell>
          <cell r="R12">
            <v>1.6402405686167304E-3</v>
          </cell>
          <cell r="S12">
            <v>1.6402405686167304E-3</v>
          </cell>
          <cell r="T12">
            <v>7</v>
          </cell>
          <cell r="U12">
            <v>7</v>
          </cell>
          <cell r="V12">
            <v>1.9136139967195188E-3</v>
          </cell>
          <cell r="W12">
            <v>1.9136139967195188E-3</v>
          </cell>
          <cell r="X12">
            <v>6</v>
          </cell>
          <cell r="Y12">
            <v>6</v>
          </cell>
          <cell r="Z12">
            <v>1.6397922929762231E-3</v>
          </cell>
          <cell r="AA12">
            <v>1.6397922929762231E-3</v>
          </cell>
          <cell r="AB12">
            <v>7</v>
          </cell>
          <cell r="AC12">
            <v>7</v>
          </cell>
          <cell r="AD12">
            <v>1.9104803493449781E-3</v>
          </cell>
          <cell r="AE12">
            <v>1.9104803493449781E-3</v>
          </cell>
          <cell r="AF12">
            <v>7</v>
          </cell>
          <cell r="AG12">
            <v>7</v>
          </cell>
          <cell r="AH12">
            <v>1.9104803493449781E-3</v>
          </cell>
          <cell r="AI12">
            <v>1.9104803493449781E-3</v>
          </cell>
          <cell r="AJ12">
            <v>7</v>
          </cell>
          <cell r="AK12">
            <v>7</v>
          </cell>
          <cell r="AL12">
            <v>1.9089173711480775E-3</v>
          </cell>
          <cell r="AM12">
            <v>1.9089173711480775E-3</v>
          </cell>
          <cell r="AN12">
            <v>4</v>
          </cell>
          <cell r="AO12">
            <v>4</v>
          </cell>
          <cell r="AP12">
            <v>1.0893246187363835E-3</v>
          </cell>
          <cell r="AQ12">
            <v>1.0893246187363835E-3</v>
          </cell>
          <cell r="AR12">
            <v>4</v>
          </cell>
          <cell r="AS12">
            <v>4</v>
          </cell>
          <cell r="AT12">
            <v>1.085481682496608E-3</v>
          </cell>
          <cell r="AU12">
            <v>1.085481682496608E-3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84</v>
          </cell>
          <cell r="BA12">
            <v>104</v>
          </cell>
          <cell r="BB12">
            <v>2.8222523744911805E-2</v>
          </cell>
          <cell r="BC12">
            <v>2.2795115332428766E-2</v>
          </cell>
          <cell r="CG12" t="str">
            <v xml:space="preserve">FEB </v>
          </cell>
          <cell r="CI12">
            <v>1587</v>
          </cell>
          <cell r="CJ12">
            <v>0.91304347826086951</v>
          </cell>
          <cell r="CK12">
            <v>1449</v>
          </cell>
          <cell r="CL12">
            <v>0.39742183214481624</v>
          </cell>
          <cell r="CM12">
            <v>0.43527153044432254</v>
          </cell>
          <cell r="CN12">
            <v>3646</v>
          </cell>
        </row>
        <row r="13">
          <cell r="A13">
            <v>2</v>
          </cell>
          <cell r="C13" t="str">
            <v>Kelompok JTR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1</v>
          </cell>
          <cell r="M13">
            <v>1</v>
          </cell>
          <cell r="N13">
            <v>2.7352297592997811E-4</v>
          </cell>
          <cell r="O13">
            <v>2.7352297592997811E-4</v>
          </cell>
          <cell r="P13">
            <v>6</v>
          </cell>
          <cell r="Q13">
            <v>6</v>
          </cell>
          <cell r="R13">
            <v>1.6402405686167304E-3</v>
          </cell>
          <cell r="S13">
            <v>1.6402405686167304E-3</v>
          </cell>
          <cell r="T13">
            <v>10</v>
          </cell>
          <cell r="U13">
            <v>10</v>
          </cell>
          <cell r="V13">
            <v>2.7337342810278839E-3</v>
          </cell>
          <cell r="W13">
            <v>2.7337342810278839E-3</v>
          </cell>
          <cell r="X13">
            <v>3</v>
          </cell>
          <cell r="Y13">
            <v>3</v>
          </cell>
          <cell r="Z13">
            <v>8.1989614648811154E-4</v>
          </cell>
          <cell r="AA13">
            <v>8.1989614648811154E-4</v>
          </cell>
          <cell r="AB13">
            <v>2</v>
          </cell>
          <cell r="AC13">
            <v>2</v>
          </cell>
          <cell r="AD13">
            <v>5.4585152838427945E-4</v>
          </cell>
          <cell r="AE13">
            <v>5.4585152838427945E-4</v>
          </cell>
          <cell r="AF13">
            <v>5</v>
          </cell>
          <cell r="AG13">
            <v>5</v>
          </cell>
          <cell r="AH13">
            <v>1.3646288209606986E-3</v>
          </cell>
          <cell r="AI13">
            <v>1.3646288209606986E-3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5</v>
          </cell>
          <cell r="AO13">
            <v>5</v>
          </cell>
          <cell r="AP13">
            <v>1.3616557734204794E-3</v>
          </cell>
          <cell r="AQ13">
            <v>1.3616557734204794E-3</v>
          </cell>
          <cell r="AR13">
            <v>5</v>
          </cell>
          <cell r="AS13">
            <v>5</v>
          </cell>
          <cell r="AT13">
            <v>1.3568521031207597E-3</v>
          </cell>
          <cell r="AU13">
            <v>1.3568521031207597E-3</v>
          </cell>
          <cell r="AV13">
            <v>21</v>
          </cell>
          <cell r="AW13">
            <v>21</v>
          </cell>
          <cell r="AX13">
            <v>5.6987788331071916E-3</v>
          </cell>
          <cell r="AY13">
            <v>5.6987788331071916E-3</v>
          </cell>
          <cell r="AZ13">
            <v>58</v>
          </cell>
          <cell r="BA13">
            <v>58</v>
          </cell>
          <cell r="BB13">
            <v>1.5739484396200813E-2</v>
          </cell>
          <cell r="BC13">
            <v>1.5739484396200813E-2</v>
          </cell>
          <cell r="CG13" t="str">
            <v xml:space="preserve">MAR </v>
          </cell>
          <cell r="CI13">
            <v>6</v>
          </cell>
          <cell r="CJ13">
            <v>1</v>
          </cell>
          <cell r="CK13">
            <v>6</v>
          </cell>
          <cell r="CL13">
            <v>1.6411378555798686E-3</v>
          </cell>
          <cell r="CM13">
            <v>1.6411378555798686E-3</v>
          </cell>
          <cell r="CN13">
            <v>3656</v>
          </cell>
        </row>
        <row r="14">
          <cell r="A14">
            <v>3</v>
          </cell>
          <cell r="C14" t="str">
            <v>Kelompok Trafo &amp; Gardu Dist.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85</v>
          </cell>
          <cell r="U14">
            <v>85</v>
          </cell>
          <cell r="V14">
            <v>2.3236741388737013E-2</v>
          </cell>
          <cell r="W14">
            <v>2.3236741388737013E-2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85</v>
          </cell>
          <cell r="BA14">
            <v>85</v>
          </cell>
          <cell r="BB14">
            <v>2.3066485753052916E-2</v>
          </cell>
          <cell r="BC14">
            <v>2.3066485753052916E-2</v>
          </cell>
          <cell r="CG14" t="str">
            <v xml:space="preserve">APR </v>
          </cell>
          <cell r="CI14">
            <v>12</v>
          </cell>
          <cell r="CJ14">
            <v>1</v>
          </cell>
          <cell r="CK14">
            <v>12</v>
          </cell>
          <cell r="CL14">
            <v>3.2804811372334607E-3</v>
          </cell>
          <cell r="CM14">
            <v>3.2804811372334607E-3</v>
          </cell>
          <cell r="CN14">
            <v>3658</v>
          </cell>
        </row>
        <row r="15">
          <cell r="A15">
            <v>4</v>
          </cell>
          <cell r="C15" t="str">
            <v>Kelompok Tiang TR &amp; TM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CG15" t="str">
            <v xml:space="preserve">MEI </v>
          </cell>
          <cell r="CI15">
            <v>102</v>
          </cell>
          <cell r="CJ15">
            <v>1</v>
          </cell>
          <cell r="CK15">
            <v>102</v>
          </cell>
          <cell r="CL15">
            <v>2.7884089666484417E-2</v>
          </cell>
          <cell r="CM15">
            <v>2.7884089666484417E-2</v>
          </cell>
          <cell r="CN15">
            <v>3658</v>
          </cell>
        </row>
        <row r="16">
          <cell r="A16">
            <v>5</v>
          </cell>
          <cell r="C16" t="str">
            <v>Kelompok SUTM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CG16" t="str">
            <v xml:space="preserve">JUN </v>
          </cell>
          <cell r="CI16">
            <v>9</v>
          </cell>
          <cell r="CJ16">
            <v>1</v>
          </cell>
          <cell r="CK16">
            <v>9</v>
          </cell>
          <cell r="CL16">
            <v>2.4596884394643345E-3</v>
          </cell>
          <cell r="CM16">
            <v>2.4596884394643345E-3</v>
          </cell>
          <cell r="CN16">
            <v>3659</v>
          </cell>
        </row>
        <row r="17">
          <cell r="A17">
            <v>6</v>
          </cell>
          <cell r="C17" t="str">
            <v>Kelompok SKTM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CG17" t="str">
            <v>JUL</v>
          </cell>
          <cell r="CI17">
            <v>9</v>
          </cell>
          <cell r="CJ17">
            <v>1</v>
          </cell>
          <cell r="CK17">
            <v>9</v>
          </cell>
          <cell r="CL17">
            <v>2.4563318777292577E-3</v>
          </cell>
          <cell r="CM17">
            <v>2.4563318777292577E-3</v>
          </cell>
          <cell r="CN17">
            <v>3664</v>
          </cell>
        </row>
        <row r="18">
          <cell r="A18">
            <v>7</v>
          </cell>
          <cell r="C18" t="str">
            <v>Kelompok Transmisi &amp; Gardu Induk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CG18" t="str">
            <v>AGS</v>
          </cell>
          <cell r="CI18">
            <v>12</v>
          </cell>
          <cell r="CJ18">
            <v>1</v>
          </cell>
          <cell r="CK18">
            <v>12</v>
          </cell>
          <cell r="CL18">
            <v>3.2751091703056767E-3</v>
          </cell>
          <cell r="CM18">
            <v>3.2751091703056767E-3</v>
          </cell>
          <cell r="CN18">
            <v>3664</v>
          </cell>
        </row>
        <row r="19">
          <cell r="A19">
            <v>8</v>
          </cell>
          <cell r="C19" t="str">
            <v>Kelompok Pusat Sumber Tenaga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I19" t="str">
            <v>Saidi :</v>
          </cell>
          <cell r="BJ19">
            <v>1.183920704845815E-2</v>
          </cell>
          <cell r="BP19" t="str">
            <v>Saidi :</v>
          </cell>
          <cell r="BQ19">
            <v>0.39742183214481624</v>
          </cell>
          <cell r="BW19" t="str">
            <v>Saidi :</v>
          </cell>
          <cell r="BX19">
            <v>1.6411378555798686E-3</v>
          </cell>
          <cell r="CD19" t="str">
            <v>Saidi :</v>
          </cell>
          <cell r="CE19">
            <v>3.2804811372334607E-3</v>
          </cell>
          <cell r="CG19" t="str">
            <v>SEP</v>
          </cell>
          <cell r="CI19">
            <v>7</v>
          </cell>
          <cell r="CJ19">
            <v>1</v>
          </cell>
          <cell r="CK19">
            <v>7</v>
          </cell>
          <cell r="CL19">
            <v>1.9089173711480775E-3</v>
          </cell>
          <cell r="CM19">
            <v>1.9089173711480775E-3</v>
          </cell>
          <cell r="CN19">
            <v>3667</v>
          </cell>
        </row>
        <row r="20">
          <cell r="A20">
            <v>9</v>
          </cell>
          <cell r="C20" t="str">
            <v>Kelompok Bencana Alam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CG20" t="str">
            <v>OKT</v>
          </cell>
          <cell r="CI20">
            <v>9</v>
          </cell>
          <cell r="CJ20">
            <v>1</v>
          </cell>
          <cell r="CK20">
            <v>9</v>
          </cell>
          <cell r="CL20">
            <v>2.4509803921568627E-3</v>
          </cell>
          <cell r="CM20">
            <v>2.4509803921568627E-3</v>
          </cell>
          <cell r="CN20">
            <v>3672</v>
          </cell>
        </row>
        <row r="21">
          <cell r="CG21" t="str">
            <v>NOV</v>
          </cell>
          <cell r="CI21">
            <v>9</v>
          </cell>
          <cell r="CJ21">
            <v>1</v>
          </cell>
          <cell r="CK21">
            <v>9</v>
          </cell>
          <cell r="CL21">
            <v>2.4423337856173677E-3</v>
          </cell>
          <cell r="CM21">
            <v>2.4423337856173677E-3</v>
          </cell>
          <cell r="CN21">
            <v>3685</v>
          </cell>
        </row>
        <row r="22">
          <cell r="C22" t="str">
            <v>JUMLAH  I</v>
          </cell>
          <cell r="D22">
            <v>23</v>
          </cell>
          <cell r="E22">
            <v>43</v>
          </cell>
          <cell r="F22">
            <v>1.183920704845815E-2</v>
          </cell>
          <cell r="G22">
            <v>6.3325991189427311E-3</v>
          </cell>
          <cell r="H22">
            <v>8</v>
          </cell>
          <cell r="I22">
            <v>8</v>
          </cell>
          <cell r="J22">
            <v>2.1941854086670325E-3</v>
          </cell>
          <cell r="K22">
            <v>2.1941854086670325E-3</v>
          </cell>
          <cell r="L22">
            <v>6</v>
          </cell>
          <cell r="M22">
            <v>6</v>
          </cell>
          <cell r="N22">
            <v>1.6411378555798686E-3</v>
          </cell>
          <cell r="O22">
            <v>1.6411378555798686E-3</v>
          </cell>
          <cell r="P22">
            <v>12</v>
          </cell>
          <cell r="Q22">
            <v>12</v>
          </cell>
          <cell r="R22">
            <v>3.2804811372334607E-3</v>
          </cell>
          <cell r="S22">
            <v>3.2804811372334607E-3</v>
          </cell>
          <cell r="T22">
            <v>102</v>
          </cell>
          <cell r="U22">
            <v>102</v>
          </cell>
          <cell r="V22">
            <v>2.7884089666484417E-2</v>
          </cell>
          <cell r="W22">
            <v>2.7884089666484417E-2</v>
          </cell>
          <cell r="X22">
            <v>9</v>
          </cell>
          <cell r="Y22">
            <v>9</v>
          </cell>
          <cell r="Z22">
            <v>2.4596884394643345E-3</v>
          </cell>
          <cell r="AA22">
            <v>2.4596884394643345E-3</v>
          </cell>
          <cell r="AB22">
            <v>9</v>
          </cell>
          <cell r="AC22">
            <v>9</v>
          </cell>
          <cell r="AD22">
            <v>2.4563318777292573E-3</v>
          </cell>
          <cell r="AE22">
            <v>2.4563318777292573E-3</v>
          </cell>
          <cell r="AF22">
            <v>12</v>
          </cell>
          <cell r="AG22">
            <v>12</v>
          </cell>
          <cell r="AH22">
            <v>3.2751091703056767E-3</v>
          </cell>
          <cell r="AI22">
            <v>3.2751091703056767E-3</v>
          </cell>
          <cell r="AJ22">
            <v>7</v>
          </cell>
          <cell r="AK22">
            <v>7</v>
          </cell>
          <cell r="AL22">
            <v>1.9089173711480775E-3</v>
          </cell>
          <cell r="AM22">
            <v>1.9089173711480775E-3</v>
          </cell>
          <cell r="AN22">
            <v>9</v>
          </cell>
          <cell r="AO22">
            <v>9</v>
          </cell>
          <cell r="AP22">
            <v>2.4509803921568627E-3</v>
          </cell>
          <cell r="AQ22">
            <v>2.4509803921568627E-3</v>
          </cell>
          <cell r="AR22">
            <v>9</v>
          </cell>
          <cell r="AS22">
            <v>9</v>
          </cell>
          <cell r="AT22">
            <v>2.4423337856173677E-3</v>
          </cell>
          <cell r="AU22">
            <v>2.4423337856173677E-3</v>
          </cell>
          <cell r="AV22">
            <v>21</v>
          </cell>
          <cell r="AW22">
            <v>21</v>
          </cell>
          <cell r="AX22">
            <v>5.6987788331071916E-3</v>
          </cell>
          <cell r="AY22">
            <v>5.6987788331071916E-3</v>
          </cell>
          <cell r="AZ22">
            <v>227</v>
          </cell>
          <cell r="BA22">
            <v>247</v>
          </cell>
          <cell r="BB22">
            <v>6.7028493894165542E-2</v>
          </cell>
          <cell r="BC22">
            <v>6.1601085481682492E-2</v>
          </cell>
          <cell r="CG22" t="str">
            <v>DES</v>
          </cell>
          <cell r="CI22">
            <v>21</v>
          </cell>
          <cell r="CJ22">
            <v>1</v>
          </cell>
          <cell r="CK22">
            <v>21</v>
          </cell>
          <cell r="CL22">
            <v>5.6987788331071916E-3</v>
          </cell>
          <cell r="CM22">
            <v>5.6987788331071916E-3</v>
          </cell>
          <cell r="CN22">
            <v>3685</v>
          </cell>
        </row>
        <row r="24">
          <cell r="A24" t="str">
            <v>II</v>
          </cell>
          <cell r="C24" t="str">
            <v>PEMADAMAN TERENCANA</v>
          </cell>
          <cell r="CG24" t="str">
            <v>KOM</v>
          </cell>
          <cell r="CI24">
            <v>1806</v>
          </cell>
          <cell r="CJ24">
            <v>0.93466223698781836</v>
          </cell>
          <cell r="CK24">
            <v>1688</v>
          </cell>
          <cell r="CL24">
            <v>0.45807327001356851</v>
          </cell>
          <cell r="CM24">
            <v>0.49009497964721843</v>
          </cell>
          <cell r="CN24">
            <v>3685</v>
          </cell>
        </row>
        <row r="25">
          <cell r="CG25" t="str">
            <v>Target</v>
          </cell>
          <cell r="CL25">
            <v>3.4717409029994521</v>
          </cell>
          <cell r="CM25">
            <v>3.7081273362466289</v>
          </cell>
        </row>
        <row r="26">
          <cell r="A26" t="str">
            <v>II.1.</v>
          </cell>
          <cell r="C26" t="str">
            <v>Kelompok Distribusi :</v>
          </cell>
          <cell r="CG26" t="str">
            <v>Realisasi thd Target(%)</v>
          </cell>
          <cell r="CL26">
            <v>13.194339174844835</v>
          </cell>
          <cell r="CM26">
            <v>13.216778584073468</v>
          </cell>
        </row>
        <row r="27">
          <cell r="C27" t="str">
            <v>Karena Pembangunan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</row>
        <row r="28">
          <cell r="C28" t="str">
            <v>Karena Pemeliharaan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CG28" t="str">
            <v>Jan s.d Feb</v>
          </cell>
          <cell r="CI28">
            <v>1610</v>
          </cell>
          <cell r="CK28">
            <v>1492</v>
          </cell>
          <cell r="CL28">
            <v>0.40926103919327439</v>
          </cell>
          <cell r="CM28">
            <v>0.44160412956326528</v>
          </cell>
          <cell r="CN28">
            <v>3646</v>
          </cell>
        </row>
        <row r="29">
          <cell r="C29" t="str">
            <v>Karena Pelaksanaan PTM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CG29" t="str">
            <v>Jan s.d Mar</v>
          </cell>
          <cell r="CI29">
            <v>1616</v>
          </cell>
          <cell r="CK29">
            <v>1498</v>
          </cell>
          <cell r="CL29">
            <v>0.41090217704885423</v>
          </cell>
          <cell r="CM29">
            <v>0.44324526741884512</v>
          </cell>
          <cell r="CN29">
            <v>3656</v>
          </cell>
        </row>
        <row r="30">
          <cell r="C30" t="str">
            <v>Karena Pelaksanaan PTR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CG30" t="str">
            <v>Jan s.d Apr</v>
          </cell>
          <cell r="CI30">
            <v>1628</v>
          </cell>
          <cell r="CK30">
            <v>1510</v>
          </cell>
          <cell r="CL30">
            <v>0.41418265818608768</v>
          </cell>
          <cell r="CM30">
            <v>0.44652574855607857</v>
          </cell>
          <cell r="CN30">
            <v>3658</v>
          </cell>
        </row>
        <row r="31">
          <cell r="C31" t="str">
            <v>Karena Pelaksanaan Rehabilitasi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CG31" t="str">
            <v>Jan s.d Mei</v>
          </cell>
          <cell r="CI31">
            <v>1730</v>
          </cell>
          <cell r="CK31">
            <v>1612</v>
          </cell>
          <cell r="CL31">
            <v>0.44206674785257211</v>
          </cell>
          <cell r="CM31">
            <v>0.474409838222563</v>
          </cell>
          <cell r="CN31">
            <v>3658</v>
          </cell>
        </row>
        <row r="32">
          <cell r="C32" t="str">
            <v>Karena Pelebaran Jalan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CG32" t="str">
            <v>Jan s.d Jun</v>
          </cell>
          <cell r="CI32">
            <v>1739</v>
          </cell>
          <cell r="CK32">
            <v>1621</v>
          </cell>
          <cell r="CL32">
            <v>0.44452643629203642</v>
          </cell>
          <cell r="CM32">
            <v>0.47686952666202731</v>
          </cell>
          <cell r="CN32">
            <v>3659</v>
          </cell>
        </row>
        <row r="33">
          <cell r="BI33" t="str">
            <v>Saidi :</v>
          </cell>
          <cell r="BJ33">
            <v>2.7884089666484417E-2</v>
          </cell>
          <cell r="BO33" t="str">
            <v>Saidi :</v>
          </cell>
          <cell r="BP33">
            <v>2.4596884394643345E-3</v>
          </cell>
          <cell r="BV33" t="str">
            <v>Saidi :</v>
          </cell>
          <cell r="BW33">
            <v>2.4563318777292573E-3</v>
          </cell>
          <cell r="CC33" t="str">
            <v>Saidi :</v>
          </cell>
          <cell r="CD33">
            <v>3.2751091703056767E-3</v>
          </cell>
          <cell r="CG33" t="str">
            <v>Apr s.d Jun</v>
          </cell>
          <cell r="CI33">
            <v>123</v>
          </cell>
          <cell r="CK33">
            <v>123</v>
          </cell>
          <cell r="CL33">
            <v>3.3624259243182214E-2</v>
          </cell>
          <cell r="CM33">
            <v>3.3624259243182214E-2</v>
          </cell>
          <cell r="CN33">
            <v>3659</v>
          </cell>
        </row>
        <row r="34">
          <cell r="C34" t="str">
            <v>JUMLAH  II.1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CG34" t="str">
            <v>Jan s.d Jul</v>
          </cell>
          <cell r="CI34">
            <v>1748</v>
          </cell>
          <cell r="CK34">
            <v>1630</v>
          </cell>
          <cell r="CL34">
            <v>0.44698276816976568</v>
          </cell>
          <cell r="CM34">
            <v>0.47932585853975657</v>
          </cell>
          <cell r="CN34">
            <v>3664</v>
          </cell>
        </row>
        <row r="35">
          <cell r="CG35" t="str">
            <v>Jan s.d Ags</v>
          </cell>
          <cell r="CI35">
            <v>1760</v>
          </cell>
          <cell r="CK35">
            <v>1642</v>
          </cell>
          <cell r="CL35">
            <v>0.45025787734007133</v>
          </cell>
          <cell r="CM35">
            <v>0.48260096771006222</v>
          </cell>
          <cell r="CN35">
            <v>3664</v>
          </cell>
        </row>
        <row r="36">
          <cell r="A36" t="str">
            <v>II.2</v>
          </cell>
          <cell r="C36" t="str">
            <v>Kelompok Pembangkitan  :</v>
          </cell>
          <cell r="CG36" t="str">
            <v>Jan s.d Sep</v>
          </cell>
          <cell r="CI36">
            <v>1767</v>
          </cell>
          <cell r="CK36">
            <v>1649</v>
          </cell>
          <cell r="CL36">
            <v>0.4521667947112194</v>
          </cell>
          <cell r="CM36">
            <v>0.48450988508121029</v>
          </cell>
          <cell r="CN36">
            <v>3667</v>
          </cell>
        </row>
        <row r="37">
          <cell r="C37" t="str">
            <v>Karena Cadangan Daya Kurang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1579</v>
          </cell>
          <cell r="I37">
            <v>1441</v>
          </cell>
          <cell r="J37">
            <v>0.39522764673614919</v>
          </cell>
          <cell r="K37">
            <v>0.43307734503565554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1579</v>
          </cell>
          <cell r="BA37">
            <v>1441</v>
          </cell>
          <cell r="BB37">
            <v>0.39104477611940297</v>
          </cell>
          <cell r="BC37">
            <v>0.42849389416553596</v>
          </cell>
          <cell r="CG37" t="str">
            <v>Jul s.d Sep</v>
          </cell>
          <cell r="CI37">
            <v>28</v>
          </cell>
          <cell r="CK37">
            <v>28</v>
          </cell>
          <cell r="CL37">
            <v>7.6403584191830111E-3</v>
          </cell>
          <cell r="CM37">
            <v>7.6403584191830111E-3</v>
          </cell>
          <cell r="CN37">
            <v>3667</v>
          </cell>
        </row>
        <row r="38">
          <cell r="CG38" t="str">
            <v>Jan s.d Okt</v>
          </cell>
          <cell r="CI38">
            <v>1776</v>
          </cell>
          <cell r="CK38">
            <v>1658</v>
          </cell>
          <cell r="CL38">
            <v>0.45461777510337625</v>
          </cell>
          <cell r="CM38">
            <v>0.48696086547336714</v>
          </cell>
          <cell r="CN38">
            <v>3672</v>
          </cell>
        </row>
        <row r="39">
          <cell r="C39" t="str">
            <v>JUMLAH  II.2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1579</v>
          </cell>
          <cell r="I39">
            <v>1441</v>
          </cell>
          <cell r="J39">
            <v>0.39522764673614919</v>
          </cell>
          <cell r="K39">
            <v>0.43307734503565554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1579</v>
          </cell>
          <cell r="BA39">
            <v>1441</v>
          </cell>
          <cell r="BB39">
            <v>0.39104477611940297</v>
          </cell>
          <cell r="BC39">
            <v>0.42849389416553596</v>
          </cell>
          <cell r="CG39" t="str">
            <v>Jan s.d Nov</v>
          </cell>
          <cell r="CI39">
            <v>1785</v>
          </cell>
          <cell r="CK39">
            <v>1667</v>
          </cell>
          <cell r="CL39">
            <v>0.45706010888899362</v>
          </cell>
          <cell r="CM39">
            <v>0.48940319925898451</v>
          </cell>
          <cell r="CN39">
            <v>3685</v>
          </cell>
        </row>
        <row r="40">
          <cell r="CG40" t="str">
            <v>Jan s.d Des</v>
          </cell>
          <cell r="CI40">
            <v>1806</v>
          </cell>
          <cell r="CK40">
            <v>1688</v>
          </cell>
          <cell r="CL40">
            <v>0.46275888772210083</v>
          </cell>
          <cell r="CM40">
            <v>0.49510197809209172</v>
          </cell>
          <cell r="CN40">
            <v>3685</v>
          </cell>
        </row>
        <row r="41">
          <cell r="C41" t="str">
            <v>JUMLAH  II ( II.1 + II.2 )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1579</v>
          </cell>
          <cell r="I41">
            <v>1441</v>
          </cell>
          <cell r="J41">
            <v>0.39522764673614919</v>
          </cell>
          <cell r="K41">
            <v>0.43307734503565554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1579</v>
          </cell>
          <cell r="BA41">
            <v>1441</v>
          </cell>
          <cell r="BB41">
            <v>0.39104477611940297</v>
          </cell>
          <cell r="BC41">
            <v>0.42849389416553596</v>
          </cell>
          <cell r="CG41" t="str">
            <v>Okt s.d Des</v>
          </cell>
          <cell r="CI41">
            <v>39</v>
          </cell>
          <cell r="CK41">
            <v>39</v>
          </cell>
          <cell r="CL41">
            <v>1.0592093010881421E-2</v>
          </cell>
          <cell r="CM41">
            <v>1.0592093010881421E-2</v>
          </cell>
          <cell r="CN41">
            <v>3685</v>
          </cell>
        </row>
        <row r="43">
          <cell r="C43" t="str">
            <v>JUMLAH  ( I + II )</v>
          </cell>
          <cell r="D43">
            <v>23</v>
          </cell>
          <cell r="E43">
            <v>43</v>
          </cell>
          <cell r="F43">
            <v>1.183920704845815E-2</v>
          </cell>
          <cell r="G43">
            <v>6.3325991189427311E-3</v>
          </cell>
          <cell r="H43">
            <v>1587</v>
          </cell>
          <cell r="I43">
            <v>1449</v>
          </cell>
          <cell r="J43">
            <v>0.39742183214481624</v>
          </cell>
          <cell r="K43">
            <v>0.4352715304443226</v>
          </cell>
          <cell r="L43">
            <v>6</v>
          </cell>
          <cell r="M43">
            <v>6</v>
          </cell>
          <cell r="N43">
            <v>1.6411378555798686E-3</v>
          </cell>
          <cell r="O43">
            <v>1.6411378555798686E-3</v>
          </cell>
          <cell r="P43">
            <v>12</v>
          </cell>
          <cell r="Q43">
            <v>12</v>
          </cell>
          <cell r="R43">
            <v>3.2804811372334607E-3</v>
          </cell>
          <cell r="S43">
            <v>3.2804811372334607E-3</v>
          </cell>
          <cell r="T43">
            <v>102</v>
          </cell>
          <cell r="U43">
            <v>102</v>
          </cell>
          <cell r="V43">
            <v>2.7884089666484417E-2</v>
          </cell>
          <cell r="W43">
            <v>2.7884089666484417E-2</v>
          </cell>
          <cell r="X43">
            <v>9</v>
          </cell>
          <cell r="Y43">
            <v>9</v>
          </cell>
          <cell r="Z43">
            <v>2.4596884394643345E-3</v>
          </cell>
          <cell r="AA43">
            <v>2.4596884394643345E-3</v>
          </cell>
          <cell r="AB43">
            <v>9</v>
          </cell>
          <cell r="AC43">
            <v>9</v>
          </cell>
          <cell r="AD43">
            <v>2.4563318777292573E-3</v>
          </cell>
          <cell r="AE43">
            <v>2.4563318777292573E-3</v>
          </cell>
          <cell r="AF43">
            <v>12</v>
          </cell>
          <cell r="AG43">
            <v>12</v>
          </cell>
          <cell r="AH43">
            <v>3.2751091703056767E-3</v>
          </cell>
          <cell r="AI43">
            <v>3.2751091703056767E-3</v>
          </cell>
          <cell r="AJ43">
            <v>7</v>
          </cell>
          <cell r="AK43">
            <v>7</v>
          </cell>
          <cell r="AL43">
            <v>1.9089173711480775E-3</v>
          </cell>
          <cell r="AM43">
            <v>1.9089173711480775E-3</v>
          </cell>
          <cell r="AN43">
            <v>9</v>
          </cell>
          <cell r="AO43">
            <v>9</v>
          </cell>
          <cell r="AP43">
            <v>2.4509803921568627E-3</v>
          </cell>
          <cell r="AQ43">
            <v>2.4509803921568627E-3</v>
          </cell>
          <cell r="AR43">
            <v>9</v>
          </cell>
          <cell r="AS43">
            <v>9</v>
          </cell>
          <cell r="AT43">
            <v>2.4423337856173677E-3</v>
          </cell>
          <cell r="AU43">
            <v>2.4423337856173677E-3</v>
          </cell>
          <cell r="AV43">
            <v>21</v>
          </cell>
          <cell r="AW43">
            <v>21</v>
          </cell>
          <cell r="AX43">
            <v>5.6987788331071916E-3</v>
          </cell>
          <cell r="AY43">
            <v>5.6987788331071916E-3</v>
          </cell>
          <cell r="AZ43">
            <v>1806</v>
          </cell>
          <cell r="BA43">
            <v>1688</v>
          </cell>
          <cell r="BB43">
            <v>0.45807327001356851</v>
          </cell>
          <cell r="BC43">
            <v>0.49009497964721843</v>
          </cell>
          <cell r="CG43" t="str">
            <v>Apr s.d Mei</v>
          </cell>
          <cell r="CI43">
            <v>114</v>
          </cell>
          <cell r="CK43">
            <v>114</v>
          </cell>
          <cell r="CL43">
            <v>3.116457080371788E-2</v>
          </cell>
          <cell r="CM43">
            <v>3.116457080371788E-2</v>
          </cell>
          <cell r="CN43">
            <v>3658</v>
          </cell>
        </row>
        <row r="44">
          <cell r="CG44" t="str">
            <v>Apr s.dJun</v>
          </cell>
          <cell r="CI44">
            <v>123</v>
          </cell>
          <cell r="CK44">
            <v>123</v>
          </cell>
          <cell r="CL44">
            <v>3.3624259243182214E-2</v>
          </cell>
          <cell r="CM44">
            <v>3.3624259243182214E-2</v>
          </cell>
          <cell r="CN44">
            <v>3659</v>
          </cell>
        </row>
        <row r="45">
          <cell r="CG45" t="str">
            <v>Apr s.d Jul</v>
          </cell>
          <cell r="CI45">
            <v>132</v>
          </cell>
          <cell r="CK45">
            <v>132</v>
          </cell>
          <cell r="CL45">
            <v>3.608059112091147E-2</v>
          </cell>
          <cell r="CM45">
            <v>3.608059112091147E-2</v>
          </cell>
          <cell r="CN45">
            <v>3664</v>
          </cell>
        </row>
        <row r="46">
          <cell r="G46">
            <v>3632</v>
          </cell>
          <cell r="K46">
            <v>3646</v>
          </cell>
          <cell r="O46">
            <v>3656</v>
          </cell>
          <cell r="S46">
            <v>3658</v>
          </cell>
          <cell r="W46">
            <v>3658</v>
          </cell>
          <cell r="AA46">
            <v>3659</v>
          </cell>
          <cell r="AE46">
            <v>3664</v>
          </cell>
          <cell r="AI46">
            <v>3664</v>
          </cell>
          <cell r="AM46">
            <v>3667</v>
          </cell>
          <cell r="AQ46">
            <v>3672</v>
          </cell>
          <cell r="AU46">
            <v>3685</v>
          </cell>
          <cell r="AY46">
            <v>3685</v>
          </cell>
          <cell r="BC46">
            <v>3685</v>
          </cell>
          <cell r="CG46" t="str">
            <v>Apr s.d Ags</v>
          </cell>
          <cell r="CI46">
            <v>144</v>
          </cell>
          <cell r="CK46">
            <v>144</v>
          </cell>
          <cell r="CL46">
            <v>3.9355700291217148E-2</v>
          </cell>
          <cell r="CM46">
            <v>3.9355700291217148E-2</v>
          </cell>
          <cell r="CN46">
            <v>3664</v>
          </cell>
        </row>
        <row r="47">
          <cell r="BI47" t="str">
            <v>Saidi :</v>
          </cell>
          <cell r="BJ47">
            <v>1.9089173711480775E-3</v>
          </cell>
          <cell r="BP47" t="str">
            <v>Saidi :</v>
          </cell>
          <cell r="BQ47">
            <v>2.4509803921568627E-3</v>
          </cell>
          <cell r="BW47" t="str">
            <v>Saidi :</v>
          </cell>
          <cell r="BX47">
            <v>2.4423337856173677E-3</v>
          </cell>
          <cell r="CD47" t="str">
            <v>Saidi :</v>
          </cell>
          <cell r="CE47">
            <v>5.6987788331071916E-3</v>
          </cell>
          <cell r="CG47" t="str">
            <v>Apr s.d Sep</v>
          </cell>
          <cell r="CI47">
            <v>151</v>
          </cell>
          <cell r="CK47">
            <v>151</v>
          </cell>
          <cell r="CL47">
            <v>4.1264617662365229E-2</v>
          </cell>
          <cell r="CM47">
            <v>4.1264617662365229E-2</v>
          </cell>
          <cell r="CN47">
            <v>3667</v>
          </cell>
        </row>
        <row r="50">
          <cell r="BE50" t="str">
            <v>ANGKA  SAIFI  KUALA PEMBUANG</v>
          </cell>
        </row>
        <row r="51">
          <cell r="BE51" t="str">
            <v>JANUARI  S/D DESEMBER  2007</v>
          </cell>
        </row>
        <row r="65">
          <cell r="BI65" t="str">
            <v>Saifi :</v>
          </cell>
          <cell r="BJ65">
            <v>6.3325991189427311E-3</v>
          </cell>
          <cell r="BP65" t="str">
            <v>Saifi :</v>
          </cell>
          <cell r="BQ65">
            <v>0.4352715304443226</v>
          </cell>
          <cell r="BW65" t="str">
            <v>Saifi :</v>
          </cell>
          <cell r="BX65">
            <v>1.6411378555798686E-3</v>
          </cell>
          <cell r="CD65" t="str">
            <v>Saifi :</v>
          </cell>
          <cell r="CE65">
            <v>3.2804811372334607E-3</v>
          </cell>
        </row>
        <row r="79">
          <cell r="BI79" t="str">
            <v>Saifi :</v>
          </cell>
          <cell r="BJ79">
            <v>2.7884089666484417E-2</v>
          </cell>
          <cell r="BP79" t="str">
            <v>Saifi :</v>
          </cell>
          <cell r="BQ79">
            <v>2.4596884394643345E-3</v>
          </cell>
          <cell r="BW79" t="str">
            <v>Saifi :</v>
          </cell>
          <cell r="BX79">
            <v>2.4563318777292573E-3</v>
          </cell>
          <cell r="CD79" t="str">
            <v>Saifi :</v>
          </cell>
          <cell r="CE79">
            <v>3.2751091703056767E-3</v>
          </cell>
        </row>
        <row r="95">
          <cell r="BI95" t="str">
            <v>Saifi :</v>
          </cell>
          <cell r="BJ95">
            <v>1.9089173711480775E-3</v>
          </cell>
          <cell r="BP95" t="str">
            <v>Saifi :</v>
          </cell>
          <cell r="BQ95">
            <v>2.4509803921568627E-3</v>
          </cell>
          <cell r="BW95" t="str">
            <v>Saifi :</v>
          </cell>
          <cell r="BX95">
            <v>2.4423337856173677E-3</v>
          </cell>
          <cell r="CD95" t="str">
            <v>Saifi :</v>
          </cell>
          <cell r="CE95">
            <v>5.6987788331071916E-3</v>
          </cell>
        </row>
        <row r="97">
          <cell r="BE97" t="str">
            <v>ANGKA  SAIDI &amp; SAIFI KOMULATIF KUALA PEMBUANG</v>
          </cell>
        </row>
        <row r="98">
          <cell r="BE98" t="str">
            <v>JANUARI  S/D DESEMBER  2007</v>
          </cell>
        </row>
        <row r="126">
          <cell r="BN126" t="str">
            <v>Saidi :</v>
          </cell>
          <cell r="BO126">
            <v>0.45807327001356851</v>
          </cell>
          <cell r="CB126" t="str">
            <v>Saifi :</v>
          </cell>
          <cell r="CC126">
            <v>0.49009497964721843</v>
          </cell>
        </row>
      </sheetData>
      <sheetData sheetId="4">
        <row r="2">
          <cell r="A2" t="str">
            <v>REKAPITULASI</v>
          </cell>
        </row>
      </sheetData>
      <sheetData sheetId="5">
        <row r="2">
          <cell r="A2" t="str">
            <v>REKAPITULASI</v>
          </cell>
        </row>
        <row r="3">
          <cell r="A3" t="str">
            <v>LAPORAN SAIDI &amp; SAIFI TAHUN 2007</v>
          </cell>
        </row>
        <row r="4">
          <cell r="BE4" t="str">
            <v>ANGKA  SAIDI  KASONGAN</v>
          </cell>
        </row>
        <row r="5">
          <cell r="A5" t="str">
            <v>RANTING  KASONGAN</v>
          </cell>
          <cell r="BE5" t="str">
            <v>JANUARI  S/D DESEMBER  2007</v>
          </cell>
        </row>
        <row r="6">
          <cell r="D6" t="str">
            <v>JANUARI</v>
          </cell>
          <cell r="H6" t="str">
            <v>FEBRUARI</v>
          </cell>
          <cell r="L6" t="str">
            <v>MARET</v>
          </cell>
          <cell r="P6" t="str">
            <v>APRIL</v>
          </cell>
          <cell r="T6" t="str">
            <v>MEI</v>
          </cell>
          <cell r="X6" t="str">
            <v>JUNI</v>
          </cell>
          <cell r="AB6" t="str">
            <v>JULI</v>
          </cell>
          <cell r="AF6" t="str">
            <v>AGUSTUS</v>
          </cell>
          <cell r="AJ6" t="str">
            <v>SEPTEMBER</v>
          </cell>
          <cell r="AN6" t="str">
            <v>OKTOBER</v>
          </cell>
          <cell r="AR6" t="str">
            <v>NOVEMBER</v>
          </cell>
          <cell r="AV6" t="str">
            <v>DESEMBER</v>
          </cell>
          <cell r="AZ6" t="str">
            <v xml:space="preserve">KOMULATIF </v>
          </cell>
        </row>
        <row r="7">
          <cell r="A7" t="str">
            <v>No.</v>
          </cell>
          <cell r="C7" t="str">
            <v>PENYEBAB  PEMADAMAN</v>
          </cell>
          <cell r="D7" t="str">
            <v>PLG</v>
          </cell>
          <cell r="E7" t="str">
            <v>JAM X PLG</v>
          </cell>
          <cell r="H7" t="str">
            <v>PLG</v>
          </cell>
          <cell r="I7" t="str">
            <v>JAM X PLG</v>
          </cell>
          <cell r="L7" t="str">
            <v>PLG</v>
          </cell>
          <cell r="M7" t="str">
            <v>JAM X PLG</v>
          </cell>
          <cell r="P7" t="str">
            <v>PLG</v>
          </cell>
          <cell r="Q7" t="str">
            <v>JAM X PLG</v>
          </cell>
          <cell r="T7" t="str">
            <v>PLG</v>
          </cell>
          <cell r="U7" t="str">
            <v>JAM X PLG</v>
          </cell>
          <cell r="X7" t="str">
            <v>PLG</v>
          </cell>
          <cell r="Y7" t="str">
            <v>JAM X PLG</v>
          </cell>
          <cell r="AB7" t="str">
            <v>PLG</v>
          </cell>
          <cell r="AC7" t="str">
            <v>JAM X PLG</v>
          </cell>
          <cell r="AF7" t="str">
            <v>PLG</v>
          </cell>
          <cell r="AG7" t="str">
            <v>JAM X PLG</v>
          </cell>
          <cell r="AJ7" t="str">
            <v>PLG</v>
          </cell>
          <cell r="AK7" t="str">
            <v>JAM X PLG</v>
          </cell>
          <cell r="AN7" t="str">
            <v>PLG</v>
          </cell>
          <cell r="AO7" t="str">
            <v>JAM X PLG</v>
          </cell>
          <cell r="AR7" t="str">
            <v>PLG</v>
          </cell>
          <cell r="AS7" t="str">
            <v>JAM X PLG</v>
          </cell>
          <cell r="AV7" t="str">
            <v>PLG</v>
          </cell>
          <cell r="AW7" t="str">
            <v>JAM X PLG</v>
          </cell>
          <cell r="AZ7" t="str">
            <v>PLG</v>
          </cell>
          <cell r="BA7" t="str">
            <v>JAM X PLG</v>
          </cell>
        </row>
        <row r="8">
          <cell r="D8" t="str">
            <v>PADAM</v>
          </cell>
          <cell r="E8" t="str">
            <v>PADAM</v>
          </cell>
          <cell r="F8" t="str">
            <v>SAIDI</v>
          </cell>
          <cell r="G8" t="str">
            <v>SAIFI</v>
          </cell>
          <cell r="H8" t="str">
            <v>PADAM</v>
          </cell>
          <cell r="I8" t="str">
            <v>PADAM</v>
          </cell>
          <cell r="J8" t="str">
            <v>SAIDI</v>
          </cell>
          <cell r="K8" t="str">
            <v>SAIFI</v>
          </cell>
          <cell r="L8" t="str">
            <v>PADAM</v>
          </cell>
          <cell r="M8" t="str">
            <v>PADAM</v>
          </cell>
          <cell r="N8" t="str">
            <v>SAIDI</v>
          </cell>
          <cell r="O8" t="str">
            <v>SAIFI</v>
          </cell>
          <cell r="P8" t="str">
            <v>PADAM</v>
          </cell>
          <cell r="Q8" t="str">
            <v>PADAM</v>
          </cell>
          <cell r="R8" t="str">
            <v>SAIDI</v>
          </cell>
          <cell r="S8" t="str">
            <v>SAIFI</v>
          </cell>
          <cell r="T8" t="str">
            <v>PADAM</v>
          </cell>
          <cell r="U8" t="str">
            <v>PADAM</v>
          </cell>
          <cell r="V8" t="str">
            <v>SAIDI</v>
          </cell>
          <cell r="W8" t="str">
            <v>SAIFI</v>
          </cell>
          <cell r="X8" t="str">
            <v>PADAM</v>
          </cell>
          <cell r="Y8" t="str">
            <v>PADAM</v>
          </cell>
          <cell r="Z8" t="str">
            <v>SAIDI</v>
          </cell>
          <cell r="AA8" t="str">
            <v>SAIFI</v>
          </cell>
          <cell r="AB8" t="str">
            <v>PADAM</v>
          </cell>
          <cell r="AC8" t="str">
            <v>PADAM</v>
          </cell>
          <cell r="AD8" t="str">
            <v>SAIDI</v>
          </cell>
          <cell r="AE8" t="str">
            <v>SAIFI</v>
          </cell>
          <cell r="AF8" t="str">
            <v>PADAM</v>
          </cell>
          <cell r="AG8" t="str">
            <v>PADAM</v>
          </cell>
          <cell r="AH8" t="str">
            <v>SAIDI</v>
          </cell>
          <cell r="AI8" t="str">
            <v>SAIFI</v>
          </cell>
          <cell r="AJ8" t="str">
            <v>PADAM</v>
          </cell>
          <cell r="AK8" t="str">
            <v>PADAM</v>
          </cell>
          <cell r="AL8" t="str">
            <v>SAIDI</v>
          </cell>
          <cell r="AM8" t="str">
            <v>SAIFI</v>
          </cell>
          <cell r="AN8" t="str">
            <v>PADAM</v>
          </cell>
          <cell r="AO8" t="str">
            <v>PADAM</v>
          </cell>
          <cell r="AP8" t="str">
            <v>SAIDI</v>
          </cell>
          <cell r="AQ8" t="str">
            <v>SAIFI</v>
          </cell>
          <cell r="AR8" t="str">
            <v>PADAM</v>
          </cell>
          <cell r="AS8" t="str">
            <v>PADAM</v>
          </cell>
          <cell r="AT8" t="str">
            <v>SAIDI</v>
          </cell>
          <cell r="AU8" t="str">
            <v>SAIFI</v>
          </cell>
          <cell r="AV8" t="str">
            <v>PADAM</v>
          </cell>
          <cell r="AW8" t="str">
            <v>PADAM</v>
          </cell>
          <cell r="AX8" t="str">
            <v>SAIDI</v>
          </cell>
          <cell r="AY8" t="str">
            <v>SAIFI</v>
          </cell>
          <cell r="AZ8" t="str">
            <v>PADAM</v>
          </cell>
          <cell r="BA8" t="str">
            <v>PADAM</v>
          </cell>
          <cell r="BB8" t="str">
            <v>SAIDI</v>
          </cell>
          <cell r="BC8" t="str">
            <v>SAIFI</v>
          </cell>
        </row>
        <row r="10">
          <cell r="A10" t="str">
            <v>I</v>
          </cell>
          <cell r="C10" t="str">
            <v>PEMADAMAN KARENA GANGGUAN</v>
          </cell>
        </row>
        <row r="12">
          <cell r="A12">
            <v>1</v>
          </cell>
          <cell r="C12" t="str">
            <v>Kelompok Samb. Tenaga listrik &amp; APP</v>
          </cell>
          <cell r="D12">
            <v>3</v>
          </cell>
          <cell r="E12">
            <v>2.2999999999999998</v>
          </cell>
          <cell r="F12">
            <v>5.6987115956392469E-4</v>
          </cell>
          <cell r="G12">
            <v>7.4331020812685826E-4</v>
          </cell>
          <cell r="H12">
            <v>4</v>
          </cell>
          <cell r="I12">
            <v>2</v>
          </cell>
          <cell r="J12">
            <v>2.8706760442084113E-4</v>
          </cell>
          <cell r="K12">
            <v>5.7413520884168226E-4</v>
          </cell>
          <cell r="L12">
            <v>4</v>
          </cell>
          <cell r="M12">
            <v>2</v>
          </cell>
          <cell r="N12">
            <v>2.8632784538296351E-4</v>
          </cell>
          <cell r="O12">
            <v>5.7265569076592703E-4</v>
          </cell>
          <cell r="P12">
            <v>4</v>
          </cell>
          <cell r="Q12">
            <v>2</v>
          </cell>
          <cell r="R12">
            <v>2.8530670470756063E-4</v>
          </cell>
          <cell r="S12">
            <v>5.7061340941512125E-4</v>
          </cell>
          <cell r="T12">
            <v>5</v>
          </cell>
          <cell r="U12">
            <v>5</v>
          </cell>
          <cell r="V12">
            <v>7.1133873950775359E-4</v>
          </cell>
          <cell r="W12">
            <v>7.1133873950775359E-4</v>
          </cell>
          <cell r="X12">
            <v>5</v>
          </cell>
          <cell r="Y12">
            <v>5</v>
          </cell>
          <cell r="Z12">
            <v>7.108330963889679E-4</v>
          </cell>
          <cell r="AA12">
            <v>7.108330963889679E-4</v>
          </cell>
          <cell r="AB12">
            <v>14</v>
          </cell>
          <cell r="AC12">
            <v>10</v>
          </cell>
          <cell r="AD12">
            <v>4.8440224762642901E-4</v>
          </cell>
          <cell r="AE12">
            <v>6.7816314667700059E-4</v>
          </cell>
          <cell r="AF12">
            <v>22</v>
          </cell>
          <cell r="AG12">
            <v>5</v>
          </cell>
          <cell r="AH12">
            <v>7.0982396365701307E-4</v>
          </cell>
          <cell r="AI12">
            <v>3.1232254400908573E-3</v>
          </cell>
          <cell r="AJ12">
            <v>29</v>
          </cell>
          <cell r="AK12">
            <v>15</v>
          </cell>
          <cell r="AL12">
            <v>2.1276595744680851E-3</v>
          </cell>
          <cell r="AM12">
            <v>4.1134751773049642E-3</v>
          </cell>
          <cell r="AN12">
            <v>32</v>
          </cell>
          <cell r="AO12">
            <v>14</v>
          </cell>
          <cell r="AP12">
            <v>1.5929002161793151E-3</v>
          </cell>
          <cell r="AQ12">
            <v>3.6409147798384346E-3</v>
          </cell>
          <cell r="AR12">
            <v>21</v>
          </cell>
          <cell r="AS12">
            <v>12</v>
          </cell>
          <cell r="AT12">
            <v>1.3556258472661546E-3</v>
          </cell>
          <cell r="AU12">
            <v>2.3723452327157704E-3</v>
          </cell>
          <cell r="AV12">
            <v>6</v>
          </cell>
          <cell r="AW12">
            <v>3.45</v>
          </cell>
          <cell r="AX12">
            <v>3.8974243108901946E-4</v>
          </cell>
          <cell r="AY12">
            <v>6.7781292363307732E-4</v>
          </cell>
          <cell r="AZ12">
            <v>149</v>
          </cell>
          <cell r="BA12">
            <v>77.75</v>
          </cell>
          <cell r="BB12">
            <v>8.7833258020786256E-3</v>
          </cell>
          <cell r="BC12">
            <v>1.6832354270221419E-2</v>
          </cell>
        </row>
        <row r="13">
          <cell r="A13">
            <v>2</v>
          </cell>
          <cell r="C13" t="str">
            <v>Kelompok JTR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1</v>
          </cell>
          <cell r="AC13">
            <v>1</v>
          </cell>
          <cell r="AD13">
            <v>4.8440224762642895E-5</v>
          </cell>
          <cell r="AE13">
            <v>4.8440224762642895E-5</v>
          </cell>
          <cell r="AF13">
            <v>2</v>
          </cell>
          <cell r="AG13">
            <v>2</v>
          </cell>
          <cell r="AH13">
            <v>2.8392958546280523E-4</v>
          </cell>
          <cell r="AI13">
            <v>2.8392958546280523E-4</v>
          </cell>
          <cell r="AJ13">
            <v>6</v>
          </cell>
          <cell r="AK13">
            <v>4</v>
          </cell>
          <cell r="AL13">
            <v>5.6737588652482269E-4</v>
          </cell>
          <cell r="AM13">
            <v>8.5106382978723403E-4</v>
          </cell>
          <cell r="AN13">
            <v>2</v>
          </cell>
          <cell r="AO13">
            <v>1</v>
          </cell>
          <cell r="AP13">
            <v>1.1377858686995108E-4</v>
          </cell>
          <cell r="AQ13">
            <v>2.2755717373990216E-4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11</v>
          </cell>
          <cell r="BA13">
            <v>8</v>
          </cell>
          <cell r="BB13">
            <v>9.0375056484410306E-4</v>
          </cell>
          <cell r="BC13">
            <v>1.2426570266606417E-3</v>
          </cell>
        </row>
        <row r="14">
          <cell r="A14">
            <v>3</v>
          </cell>
          <cell r="C14" t="str">
            <v>Kelompok Trafo &amp; Gardu Dist.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3</v>
          </cell>
          <cell r="AK14">
            <v>1</v>
          </cell>
          <cell r="AL14">
            <v>1.4184397163120567E-4</v>
          </cell>
          <cell r="AM14">
            <v>4.2553191489361702E-4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131</v>
          </cell>
          <cell r="AS14">
            <v>7</v>
          </cell>
          <cell r="AT14">
            <v>7.9078174423859019E-4</v>
          </cell>
          <cell r="AU14">
            <v>1.4798915499322187E-2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134</v>
          </cell>
          <cell r="BA14">
            <v>8</v>
          </cell>
          <cell r="BB14">
            <v>9.0375056484410306E-4</v>
          </cell>
          <cell r="BC14">
            <v>1.5137821961138725E-2</v>
          </cell>
        </row>
        <row r="15">
          <cell r="A15">
            <v>4</v>
          </cell>
          <cell r="C15" t="str">
            <v>Kelompok Tiang TR &amp; TM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</row>
        <row r="16">
          <cell r="A16">
            <v>5</v>
          </cell>
          <cell r="C16" t="str">
            <v>Kelompok SUTM</v>
          </cell>
          <cell r="D16">
            <v>1723</v>
          </cell>
          <cell r="E16">
            <v>526.53</v>
          </cell>
          <cell r="F16">
            <v>0.13045837462834489</v>
          </cell>
          <cell r="G16">
            <v>0.42690782953419226</v>
          </cell>
          <cell r="H16">
            <v>5026</v>
          </cell>
          <cell r="I16">
            <v>263.26</v>
          </cell>
          <cell r="J16">
            <v>3.7786708769915314E-2</v>
          </cell>
          <cell r="K16">
            <v>0.72140088990957374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1</v>
          </cell>
          <cell r="AC16">
            <v>2</v>
          </cell>
          <cell r="AD16">
            <v>9.6880449525285791E-5</v>
          </cell>
          <cell r="AE16">
            <v>4.8440224762642895E-5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3</v>
          </cell>
          <cell r="AK16">
            <v>2</v>
          </cell>
          <cell r="AL16">
            <v>2.8368794326241134E-4</v>
          </cell>
          <cell r="AM16">
            <v>4.2553191489361702E-4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6753</v>
          </cell>
          <cell r="BA16">
            <v>793.79</v>
          </cell>
          <cell r="BB16">
            <v>8.9673520108450061E-2</v>
          </cell>
          <cell r="BC16">
            <v>0.76287844554902851</v>
          </cell>
        </row>
        <row r="17">
          <cell r="A17">
            <v>6</v>
          </cell>
          <cell r="C17" t="str">
            <v>Kelompok SKTM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</row>
        <row r="18">
          <cell r="A18">
            <v>7</v>
          </cell>
          <cell r="C18" t="str">
            <v>Kelompok Transmisi &amp; Gardu Induk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</row>
        <row r="19">
          <cell r="A19">
            <v>8</v>
          </cell>
          <cell r="C19" t="str">
            <v>Kelompok Pusat Sumber Tenaga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I19" t="str">
            <v>Saidi :</v>
          </cell>
          <cell r="BJ19">
            <v>0.13102824578790881</v>
          </cell>
          <cell r="BP19" t="str">
            <v>Saidi :</v>
          </cell>
          <cell r="BQ19">
            <v>3.8073776374336156E-2</v>
          </cell>
          <cell r="BW19" t="str">
            <v>Saidi :</v>
          </cell>
          <cell r="BX19">
            <v>2.8632784538296351E-4</v>
          </cell>
          <cell r="CD19" t="str">
            <v>Saidi :</v>
          </cell>
          <cell r="CE19">
            <v>2.8530670470756063E-4</v>
          </cell>
        </row>
        <row r="20">
          <cell r="A20">
            <v>9</v>
          </cell>
          <cell r="C20" t="str">
            <v>Kelompok Bencana Alam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</row>
        <row r="22">
          <cell r="C22" t="str">
            <v>JUMLAH  I</v>
          </cell>
          <cell r="D22">
            <v>1726</v>
          </cell>
          <cell r="E22">
            <v>528.82999999999993</v>
          </cell>
          <cell r="F22">
            <v>0.13102824578790881</v>
          </cell>
          <cell r="G22">
            <v>0.42765113974231911</v>
          </cell>
          <cell r="H22">
            <v>5030</v>
          </cell>
          <cell r="I22">
            <v>265.26</v>
          </cell>
          <cell r="J22">
            <v>3.8073776374336156E-2</v>
          </cell>
          <cell r="K22">
            <v>0.72197502511841538</v>
          </cell>
          <cell r="L22">
            <v>4</v>
          </cell>
          <cell r="M22">
            <v>2</v>
          </cell>
          <cell r="N22">
            <v>2.8632784538296351E-4</v>
          </cell>
          <cell r="O22">
            <v>5.7265569076592703E-4</v>
          </cell>
          <cell r="P22">
            <v>4</v>
          </cell>
          <cell r="Q22">
            <v>2</v>
          </cell>
          <cell r="R22">
            <v>2.8530670470756063E-4</v>
          </cell>
          <cell r="S22">
            <v>5.7061340941512125E-4</v>
          </cell>
          <cell r="T22">
            <v>5</v>
          </cell>
          <cell r="U22">
            <v>5</v>
          </cell>
          <cell r="V22">
            <v>7.1133873950775359E-4</v>
          </cell>
          <cell r="W22">
            <v>7.1133873950775359E-4</v>
          </cell>
          <cell r="X22">
            <v>5</v>
          </cell>
          <cell r="Y22">
            <v>5</v>
          </cell>
          <cell r="Z22">
            <v>7.108330963889679E-4</v>
          </cell>
          <cell r="AA22">
            <v>7.108330963889679E-4</v>
          </cell>
          <cell r="AB22">
            <v>16</v>
          </cell>
          <cell r="AC22">
            <v>13</v>
          </cell>
          <cell r="AD22">
            <v>6.2972292191435767E-4</v>
          </cell>
          <cell r="AE22">
            <v>7.7504359620228643E-4</v>
          </cell>
          <cell r="AF22">
            <v>24</v>
          </cell>
          <cell r="AG22">
            <v>7</v>
          </cell>
          <cell r="AH22">
            <v>9.9375354911981819E-4</v>
          </cell>
          <cell r="AI22">
            <v>3.4071550255536627E-3</v>
          </cell>
          <cell r="AJ22">
            <v>41</v>
          </cell>
          <cell r="AK22">
            <v>22</v>
          </cell>
          <cell r="AL22">
            <v>3.1205673758865249E-3</v>
          </cell>
          <cell r="AM22">
            <v>5.8156028368794325E-3</v>
          </cell>
          <cell r="AN22">
            <v>34</v>
          </cell>
          <cell r="AO22">
            <v>15</v>
          </cell>
          <cell r="AP22">
            <v>1.7066788030492661E-3</v>
          </cell>
          <cell r="AQ22">
            <v>3.8684719535783366E-3</v>
          </cell>
          <cell r="AR22">
            <v>152</v>
          </cell>
          <cell r="AS22">
            <v>19</v>
          </cell>
          <cell r="AT22">
            <v>2.1464075915047448E-3</v>
          </cell>
          <cell r="AU22">
            <v>1.7171260732037959E-2</v>
          </cell>
          <cell r="AV22">
            <v>6</v>
          </cell>
          <cell r="AW22">
            <v>3.45</v>
          </cell>
          <cell r="AX22">
            <v>3.8974243108901946E-4</v>
          </cell>
          <cell r="AY22">
            <v>6.7781292363307732E-4</v>
          </cell>
          <cell r="AZ22">
            <v>7047</v>
          </cell>
          <cell r="BA22">
            <v>887.54</v>
          </cell>
          <cell r="BB22">
            <v>0.10026434704021689</v>
          </cell>
          <cell r="BC22">
            <v>0.79609127880704933</v>
          </cell>
        </row>
        <row r="24">
          <cell r="A24" t="str">
            <v>II</v>
          </cell>
          <cell r="C24" t="str">
            <v>PEMADAMAN TERENCANA</v>
          </cell>
        </row>
        <row r="26">
          <cell r="A26" t="str">
            <v>II.1.</v>
          </cell>
          <cell r="C26" t="str">
            <v>Kelompok Distribusi :</v>
          </cell>
        </row>
        <row r="27">
          <cell r="C27" t="str">
            <v>Karena Pembangunan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</row>
        <row r="28">
          <cell r="C28" t="str">
            <v>Karena Pemeliharaan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</row>
        <row r="29">
          <cell r="C29" t="str">
            <v>Karena Pelaksanaan PTM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</row>
        <row r="30">
          <cell r="C30" t="str">
            <v>Karena Pelaksanaan PTR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</row>
        <row r="31">
          <cell r="C31" t="str">
            <v>Karena Pelaksanaan Rehabilitasi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</row>
        <row r="32">
          <cell r="C32" t="str">
            <v>Karena Pelebaran Jalan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</row>
        <row r="33">
          <cell r="BI33" t="str">
            <v>Saidi :</v>
          </cell>
          <cell r="BJ33">
            <v>7.1133873950775359E-4</v>
          </cell>
          <cell r="BO33" t="str">
            <v>Saidi :</v>
          </cell>
          <cell r="BP33">
            <v>7.108330963889679E-4</v>
          </cell>
          <cell r="BV33" t="str">
            <v>Saidi :</v>
          </cell>
          <cell r="BW33">
            <v>6.2972292191435767E-4</v>
          </cell>
          <cell r="CC33" t="str">
            <v>Saidi :</v>
          </cell>
          <cell r="CD33">
            <v>9.9375354911981819E-4</v>
          </cell>
        </row>
        <row r="34">
          <cell r="C34" t="str">
            <v>JUMLAH  II.1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</row>
        <row r="36">
          <cell r="A36" t="str">
            <v>II.2</v>
          </cell>
          <cell r="C36" t="str">
            <v>Kelompok Pembangkitan  :</v>
          </cell>
        </row>
        <row r="37">
          <cell r="C37" t="str">
            <v>Karena Cadangan Daya Kurang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</row>
        <row r="39">
          <cell r="C39" t="str">
            <v>JUMLAH  II.2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</row>
        <row r="41">
          <cell r="C41" t="str">
            <v>JUMLAH  II ( II.1 + II.2 )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</row>
        <row r="43">
          <cell r="C43" t="str">
            <v>JUMLAH  ( I + II )</v>
          </cell>
          <cell r="D43">
            <v>1726</v>
          </cell>
          <cell r="E43">
            <v>528.82999999999993</v>
          </cell>
          <cell r="F43">
            <v>0.13102824578790881</v>
          </cell>
          <cell r="G43">
            <v>0.42765113974231911</v>
          </cell>
          <cell r="H43">
            <v>5030</v>
          </cell>
          <cell r="I43">
            <v>265.26</v>
          </cell>
          <cell r="J43">
            <v>3.8073776374336156E-2</v>
          </cell>
          <cell r="K43">
            <v>0.72197502511841538</v>
          </cell>
          <cell r="L43">
            <v>4</v>
          </cell>
          <cell r="M43">
            <v>2</v>
          </cell>
          <cell r="N43">
            <v>2.8632784538296351E-4</v>
          </cell>
          <cell r="O43">
            <v>5.7265569076592703E-4</v>
          </cell>
          <cell r="P43">
            <v>4</v>
          </cell>
          <cell r="Q43">
            <v>2</v>
          </cell>
          <cell r="R43">
            <v>2.8530670470756063E-4</v>
          </cell>
          <cell r="S43">
            <v>5.7061340941512125E-4</v>
          </cell>
          <cell r="T43">
            <v>5</v>
          </cell>
          <cell r="U43">
            <v>5</v>
          </cell>
          <cell r="V43">
            <v>7.1133873950775359E-4</v>
          </cell>
          <cell r="W43">
            <v>7.1133873950775359E-4</v>
          </cell>
          <cell r="X43">
            <v>5</v>
          </cell>
          <cell r="Y43">
            <v>5</v>
          </cell>
          <cell r="Z43">
            <v>7.108330963889679E-4</v>
          </cell>
          <cell r="AA43">
            <v>7.108330963889679E-4</v>
          </cell>
          <cell r="AB43">
            <v>16</v>
          </cell>
          <cell r="AC43">
            <v>13</v>
          </cell>
          <cell r="AD43">
            <v>6.2972292191435767E-4</v>
          </cell>
          <cell r="AE43">
            <v>7.7504359620228643E-4</v>
          </cell>
          <cell r="AF43">
            <v>24</v>
          </cell>
          <cell r="AG43">
            <v>7</v>
          </cell>
          <cell r="AH43">
            <v>9.9375354911981819E-4</v>
          </cell>
          <cell r="AI43">
            <v>3.4071550255536627E-3</v>
          </cell>
          <cell r="AJ43">
            <v>41</v>
          </cell>
          <cell r="AK43">
            <v>22</v>
          </cell>
          <cell r="AL43">
            <v>3.1205673758865249E-3</v>
          </cell>
          <cell r="AM43">
            <v>5.8156028368794325E-3</v>
          </cell>
          <cell r="AN43">
            <v>34</v>
          </cell>
          <cell r="AO43">
            <v>15</v>
          </cell>
          <cell r="AP43">
            <v>1.7066788030492661E-3</v>
          </cell>
          <cell r="AQ43">
            <v>3.8684719535783366E-3</v>
          </cell>
          <cell r="AR43">
            <v>152</v>
          </cell>
          <cell r="AS43">
            <v>19</v>
          </cell>
          <cell r="AT43">
            <v>2.1464075915047448E-3</v>
          </cell>
          <cell r="AU43">
            <v>1.7171260732037959E-2</v>
          </cell>
          <cell r="AV43">
            <v>6</v>
          </cell>
          <cell r="AW43">
            <v>3.45</v>
          </cell>
          <cell r="AX43">
            <v>3.8974243108901946E-4</v>
          </cell>
          <cell r="AY43">
            <v>6.7781292363307732E-4</v>
          </cell>
          <cell r="AZ43">
            <v>7047</v>
          </cell>
          <cell r="BA43">
            <v>887.54</v>
          </cell>
          <cell r="BB43">
            <v>0.10026434704021689</v>
          </cell>
          <cell r="BC43">
            <v>0.79609127880704933</v>
          </cell>
        </row>
        <row r="46">
          <cell r="G46">
            <v>4036</v>
          </cell>
          <cell r="K46">
            <v>6967</v>
          </cell>
          <cell r="O46">
            <v>6985</v>
          </cell>
          <cell r="S46">
            <v>7010</v>
          </cell>
          <cell r="W46">
            <v>7029</v>
          </cell>
          <cell r="AA46">
            <v>7034</v>
          </cell>
          <cell r="AE46">
            <v>20644</v>
          </cell>
          <cell r="AI46">
            <v>7044</v>
          </cell>
          <cell r="AM46">
            <v>7050</v>
          </cell>
          <cell r="AQ46">
            <v>8789</v>
          </cell>
          <cell r="AU46">
            <v>8852</v>
          </cell>
          <cell r="AY46">
            <v>8852</v>
          </cell>
          <cell r="BC46">
            <v>8852</v>
          </cell>
        </row>
        <row r="47">
          <cell r="BI47" t="str">
            <v>Saidi :</v>
          </cell>
          <cell r="BJ47">
            <v>3.1205673758865249E-3</v>
          </cell>
          <cell r="BP47" t="str">
            <v>Saidi :</v>
          </cell>
          <cell r="BQ47">
            <v>1.7066788030492661E-3</v>
          </cell>
          <cell r="BW47" t="str">
            <v>Saidi :</v>
          </cell>
          <cell r="BX47">
            <v>2.1464075915047448E-3</v>
          </cell>
          <cell r="CD47" t="str">
            <v>Saidi :</v>
          </cell>
          <cell r="CE47">
            <v>3.8974243108901946E-4</v>
          </cell>
        </row>
        <row r="50">
          <cell r="BE50" t="str">
            <v>ANGKA  SAIFI  KASONGAN</v>
          </cell>
        </row>
        <row r="51">
          <cell r="BE51" t="str">
            <v>JANUARI  S/D DESEMBER  2007</v>
          </cell>
        </row>
        <row r="65">
          <cell r="BI65" t="str">
            <v>Saifi :</v>
          </cell>
          <cell r="BJ65">
            <v>0.42765113974231911</v>
          </cell>
          <cell r="BP65" t="str">
            <v>Saifi :</v>
          </cell>
          <cell r="BQ65">
            <v>0.72197502511841538</v>
          </cell>
          <cell r="BW65" t="str">
            <v>Saifi :</v>
          </cell>
          <cell r="BX65">
            <v>5.7265569076592703E-4</v>
          </cell>
          <cell r="CD65" t="str">
            <v>Saifi :</v>
          </cell>
          <cell r="CE65">
            <v>5.7061340941512125E-4</v>
          </cell>
        </row>
        <row r="79">
          <cell r="BI79" t="str">
            <v>Saifi :</v>
          </cell>
          <cell r="BJ79">
            <v>7.1133873950775359E-4</v>
          </cell>
          <cell r="BP79" t="str">
            <v>Saifi :</v>
          </cell>
          <cell r="BQ79">
            <v>7.108330963889679E-4</v>
          </cell>
          <cell r="BW79" t="str">
            <v>Saifi :</v>
          </cell>
          <cell r="BX79">
            <v>7.7504359620228643E-4</v>
          </cell>
          <cell r="CD79" t="str">
            <v>Saifi :</v>
          </cell>
          <cell r="CE79">
            <v>3.4071550255536627E-3</v>
          </cell>
        </row>
        <row r="95">
          <cell r="BI95" t="str">
            <v>Saifi :</v>
          </cell>
          <cell r="BJ95">
            <v>5.8156028368794325E-3</v>
          </cell>
          <cell r="BP95" t="str">
            <v>Saifi :</v>
          </cell>
          <cell r="BQ95">
            <v>3.8684719535783366E-3</v>
          </cell>
          <cell r="BW95" t="str">
            <v>Saifi :</v>
          </cell>
          <cell r="BX95">
            <v>1.7171260732037959E-2</v>
          </cell>
          <cell r="CD95" t="str">
            <v>Saifi :</v>
          </cell>
          <cell r="CE95">
            <v>6.7781292363307732E-4</v>
          </cell>
        </row>
        <row r="97">
          <cell r="BE97" t="str">
            <v>ANGKA  SAIDI &amp; SAIFI KOMULATIF KASONGAN</v>
          </cell>
        </row>
        <row r="98">
          <cell r="BE98" t="str">
            <v>JANUARI  S/D DESEMBER  2007</v>
          </cell>
        </row>
        <row r="124">
          <cell r="BN124" t="str">
            <v>Saidi :</v>
          </cell>
          <cell r="BO124">
            <v>0.10026434704021689</v>
          </cell>
          <cell r="CB124" t="str">
            <v>Saifi :</v>
          </cell>
          <cell r="CC124">
            <v>0.79609127880704933</v>
          </cell>
        </row>
      </sheetData>
      <sheetData sheetId="6">
        <row r="2">
          <cell r="A2" t="str">
            <v>REKAPITULASI</v>
          </cell>
        </row>
        <row r="3">
          <cell r="A3" t="str">
            <v>LAPORAN SAIDI &amp; SAIFI TAHUN 2007</v>
          </cell>
        </row>
        <row r="4">
          <cell r="BE4" t="str">
            <v>ANGKA  SAIDI  KUALA KURUN</v>
          </cell>
        </row>
        <row r="5">
          <cell r="A5" t="str">
            <v>RANTING  KUALA KURUN</v>
          </cell>
          <cell r="BE5" t="str">
            <v>JANUARI  S/D DESEMBER  2007</v>
          </cell>
        </row>
        <row r="6">
          <cell r="D6" t="str">
            <v>JANUARI</v>
          </cell>
          <cell r="H6" t="str">
            <v>FEBRUARI</v>
          </cell>
          <cell r="L6" t="str">
            <v>MARET</v>
          </cell>
          <cell r="P6" t="str">
            <v>APRIL</v>
          </cell>
          <cell r="T6" t="str">
            <v>MEI</v>
          </cell>
          <cell r="X6" t="str">
            <v>JUNI</v>
          </cell>
          <cell r="AB6" t="str">
            <v>JULI</v>
          </cell>
          <cell r="AF6" t="str">
            <v>AGUSTUS</v>
          </cell>
          <cell r="AJ6" t="str">
            <v>SEPTEMBER</v>
          </cell>
          <cell r="AN6" t="str">
            <v>OKTOBER</v>
          </cell>
          <cell r="AR6" t="str">
            <v>NOVEMBER</v>
          </cell>
          <cell r="AV6" t="str">
            <v>DESEMBER</v>
          </cell>
          <cell r="AZ6" t="str">
            <v xml:space="preserve">KOMULATIF </v>
          </cell>
        </row>
        <row r="7">
          <cell r="A7" t="str">
            <v>No.</v>
          </cell>
          <cell r="C7" t="str">
            <v>PENYEBAB  PEMADAMAN</v>
          </cell>
          <cell r="D7" t="str">
            <v>PLG</v>
          </cell>
          <cell r="E7" t="str">
            <v>JAM X PLG</v>
          </cell>
          <cell r="H7" t="str">
            <v>PLG</v>
          </cell>
          <cell r="I7" t="str">
            <v>JAM X PLG</v>
          </cell>
          <cell r="L7" t="str">
            <v>PLG</v>
          </cell>
          <cell r="M7" t="str">
            <v>JAM X PLG</v>
          </cell>
          <cell r="P7" t="str">
            <v>PLG</v>
          </cell>
          <cell r="Q7" t="str">
            <v>JAM X PLG</v>
          </cell>
          <cell r="T7" t="str">
            <v>PLG</v>
          </cell>
          <cell r="U7" t="str">
            <v>JAM X PLG</v>
          </cell>
          <cell r="X7" t="str">
            <v>PLG</v>
          </cell>
          <cell r="Y7" t="str">
            <v>JAM X PLG</v>
          </cell>
          <cell r="AB7" t="str">
            <v>PLG</v>
          </cell>
          <cell r="AC7" t="str">
            <v>JAM X PLG</v>
          </cell>
          <cell r="AF7" t="str">
            <v>PLG</v>
          </cell>
          <cell r="AG7" t="str">
            <v>JAM X PLG</v>
          </cell>
          <cell r="AJ7" t="str">
            <v>PLG</v>
          </cell>
          <cell r="AK7" t="str">
            <v>JAM X PLG</v>
          </cell>
          <cell r="AN7" t="str">
            <v>PLG</v>
          </cell>
          <cell r="AO7" t="str">
            <v>JAM X PLG</v>
          </cell>
          <cell r="AR7" t="str">
            <v>PLG</v>
          </cell>
          <cell r="AS7" t="str">
            <v>JAM X PLG</v>
          </cell>
          <cell r="AV7" t="str">
            <v>PLG</v>
          </cell>
          <cell r="AW7" t="str">
            <v>JAM X PLG</v>
          </cell>
          <cell r="AZ7" t="str">
            <v>PLG</v>
          </cell>
          <cell r="BA7" t="str">
            <v>JAM X PLG</v>
          </cell>
        </row>
        <row r="8">
          <cell r="D8" t="str">
            <v>PADAM</v>
          </cell>
          <cell r="E8" t="str">
            <v>PADAM</v>
          </cell>
          <cell r="F8" t="str">
            <v>SAIDI</v>
          </cell>
          <cell r="G8" t="str">
            <v>SAIFI</v>
          </cell>
          <cell r="H8" t="str">
            <v>PADAM</v>
          </cell>
          <cell r="I8" t="str">
            <v>PADAM</v>
          </cell>
          <cell r="J8" t="str">
            <v>SAIDI</v>
          </cell>
          <cell r="K8" t="str">
            <v>SAIFI</v>
          </cell>
          <cell r="L8" t="str">
            <v>PADAM</v>
          </cell>
          <cell r="M8" t="str">
            <v>PADAM</v>
          </cell>
          <cell r="N8" t="str">
            <v>SAIDI</v>
          </cell>
          <cell r="O8" t="str">
            <v>SAIFI</v>
          </cell>
          <cell r="P8" t="str">
            <v>PADAM</v>
          </cell>
          <cell r="Q8" t="str">
            <v>PADAM</v>
          </cell>
          <cell r="R8" t="str">
            <v>SAIDI</v>
          </cell>
          <cell r="S8" t="str">
            <v>SAIFI</v>
          </cell>
          <cell r="T8" t="str">
            <v>PADAM</v>
          </cell>
          <cell r="U8" t="str">
            <v>PADAM</v>
          </cell>
          <cell r="V8" t="str">
            <v>SAIDI</v>
          </cell>
          <cell r="W8" t="str">
            <v>SAIFI</v>
          </cell>
          <cell r="X8" t="str">
            <v>PADAM</v>
          </cell>
          <cell r="Y8" t="str">
            <v>PADAM</v>
          </cell>
          <cell r="Z8" t="str">
            <v>SAIDI</v>
          </cell>
          <cell r="AA8" t="str">
            <v>SAIFI</v>
          </cell>
          <cell r="AB8" t="str">
            <v>PADAM</v>
          </cell>
          <cell r="AC8" t="str">
            <v>PADAM</v>
          </cell>
          <cell r="AD8" t="str">
            <v>SAIDI</v>
          </cell>
          <cell r="AE8" t="str">
            <v>SAIFI</v>
          </cell>
          <cell r="AF8" t="str">
            <v>PADAM</v>
          </cell>
          <cell r="AG8" t="str">
            <v>PADAM</v>
          </cell>
          <cell r="AH8" t="str">
            <v>SAIDI</v>
          </cell>
          <cell r="AI8" t="str">
            <v>SAIFI</v>
          </cell>
          <cell r="AJ8" t="str">
            <v>PADAM</v>
          </cell>
          <cell r="AK8" t="str">
            <v>PADAM</v>
          </cell>
          <cell r="AL8" t="str">
            <v>SAIDI</v>
          </cell>
          <cell r="AM8" t="str">
            <v>SAIFI</v>
          </cell>
          <cell r="AN8" t="str">
            <v>PADAM</v>
          </cell>
          <cell r="AO8" t="str">
            <v>PADAM</v>
          </cell>
          <cell r="AP8" t="str">
            <v>SAIDI</v>
          </cell>
          <cell r="AQ8" t="str">
            <v>SAIFI</v>
          </cell>
          <cell r="AR8" t="str">
            <v>PADAM</v>
          </cell>
          <cell r="AS8" t="str">
            <v>PADAM</v>
          </cell>
          <cell r="AT8" t="str">
            <v>SAIDI</v>
          </cell>
          <cell r="AU8" t="str">
            <v>SAIFI</v>
          </cell>
          <cell r="AV8" t="str">
            <v>PADAM</v>
          </cell>
          <cell r="AW8" t="str">
            <v>PADAM</v>
          </cell>
          <cell r="AX8" t="str">
            <v>SAIDI</v>
          </cell>
          <cell r="AY8" t="str">
            <v>SAIFI</v>
          </cell>
          <cell r="AZ8" t="str">
            <v>PADAM</v>
          </cell>
          <cell r="BA8" t="str">
            <v>PADAM</v>
          </cell>
          <cell r="BB8" t="str">
            <v>SAIDI</v>
          </cell>
          <cell r="BC8" t="str">
            <v>SAIFI</v>
          </cell>
        </row>
        <row r="10">
          <cell r="A10" t="str">
            <v>I</v>
          </cell>
          <cell r="C10" t="str">
            <v>PEMADAMAN KARENA GANGGUAN</v>
          </cell>
        </row>
        <row r="12">
          <cell r="A12">
            <v>1</v>
          </cell>
          <cell r="C12" t="str">
            <v>Kelompok Samb. Tenaga listrik &amp; APP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5</v>
          </cell>
          <cell r="I12">
            <v>2</v>
          </cell>
          <cell r="J12">
            <v>1.3458950201884253E-3</v>
          </cell>
          <cell r="K12">
            <v>3.3647375504710633E-3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43</v>
          </cell>
          <cell r="U12">
            <v>710.26724999999999</v>
          </cell>
          <cell r="V12">
            <v>0.47068737574552683</v>
          </cell>
          <cell r="W12">
            <v>2.8495692511597084E-2</v>
          </cell>
          <cell r="X12">
            <v>3</v>
          </cell>
          <cell r="Y12">
            <v>3</v>
          </cell>
          <cell r="Z12">
            <v>1.984126984126984E-3</v>
          </cell>
          <cell r="AA12">
            <v>1.984126984126984E-3</v>
          </cell>
          <cell r="AB12">
            <v>3</v>
          </cell>
          <cell r="AC12">
            <v>3</v>
          </cell>
          <cell r="AD12">
            <v>1.9367333763718529E-3</v>
          </cell>
          <cell r="AE12">
            <v>1.9367333763718529E-3</v>
          </cell>
          <cell r="AF12">
            <v>5</v>
          </cell>
          <cell r="AG12">
            <v>2.3199999999999998</v>
          </cell>
          <cell r="AH12">
            <v>1.4977404777275661E-3</v>
          </cell>
          <cell r="AI12">
            <v>3.2278889606197547E-3</v>
          </cell>
          <cell r="AJ12">
            <v>5</v>
          </cell>
          <cell r="AK12">
            <v>2.3199999999999998</v>
          </cell>
          <cell r="AL12">
            <v>4.99032049903205E-4</v>
          </cell>
          <cell r="AM12">
            <v>1.0755001075500108E-3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64</v>
          </cell>
          <cell r="BA12">
            <v>722.90725000000009</v>
          </cell>
          <cell r="BB12">
            <v>0.15302863039796785</v>
          </cell>
          <cell r="BC12">
            <v>1.3547840812870448E-2</v>
          </cell>
        </row>
        <row r="13">
          <cell r="A13">
            <v>2</v>
          </cell>
          <cell r="C13" t="str">
            <v>Kelompok JTR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145</v>
          </cell>
          <cell r="I13">
            <v>253.75</v>
          </cell>
          <cell r="J13">
            <v>0.17076043068640645</v>
          </cell>
          <cell r="K13">
            <v>9.7577388963660833E-2</v>
          </cell>
          <cell r="L13">
            <v>145</v>
          </cell>
          <cell r="M13">
            <v>60.42</v>
          </cell>
          <cell r="N13">
            <v>4.0414715719063549E-2</v>
          </cell>
          <cell r="O13">
            <v>9.6989966555183951E-2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290</v>
          </cell>
          <cell r="BA13">
            <v>314.17</v>
          </cell>
          <cell r="BB13">
            <v>6.6505080440304828E-2</v>
          </cell>
          <cell r="BC13">
            <v>6.1388653683319222E-2</v>
          </cell>
        </row>
        <row r="14">
          <cell r="A14">
            <v>3</v>
          </cell>
          <cell r="C14" t="str">
            <v>Kelompok Trafo &amp; Gardu Dist.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</row>
        <row r="15">
          <cell r="A15">
            <v>4</v>
          </cell>
          <cell r="C15" t="str">
            <v>Kelompok Tiang TR &amp; TM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</row>
        <row r="16">
          <cell r="A16">
            <v>5</v>
          </cell>
          <cell r="C16" t="str">
            <v>Kelompok SUTM</v>
          </cell>
          <cell r="D16">
            <v>83</v>
          </cell>
          <cell r="E16">
            <v>83</v>
          </cell>
          <cell r="F16">
            <v>5.6888279643591499E-2</v>
          </cell>
          <cell r="G16">
            <v>5.6888279643591499E-2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631</v>
          </cell>
          <cell r="Q16">
            <v>767.24</v>
          </cell>
          <cell r="R16">
            <v>0.51013297872340424</v>
          </cell>
          <cell r="S16">
            <v>0.41954787234042551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714</v>
          </cell>
          <cell r="BA16">
            <v>850.24</v>
          </cell>
          <cell r="BB16">
            <v>0.17998306519898391</v>
          </cell>
          <cell r="BC16">
            <v>0.15114309906858595</v>
          </cell>
        </row>
        <row r="17">
          <cell r="A17">
            <v>6</v>
          </cell>
          <cell r="C17" t="str">
            <v>Kelompok SKTM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</row>
        <row r="18">
          <cell r="A18">
            <v>7</v>
          </cell>
          <cell r="C18" t="str">
            <v>Kelompok Transmisi &amp; Gardu Induk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</row>
        <row r="19">
          <cell r="A19">
            <v>8</v>
          </cell>
          <cell r="C19" t="str">
            <v>Kelompok Pusat Sumber Tenaga</v>
          </cell>
          <cell r="D19">
            <v>510</v>
          </cell>
          <cell r="E19">
            <v>421.29</v>
          </cell>
          <cell r="F19">
            <v>0.28875257025359835</v>
          </cell>
          <cell r="G19">
            <v>0.34955448937628514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449</v>
          </cell>
          <cell r="M19">
            <v>561.75</v>
          </cell>
          <cell r="N19">
            <v>0.375752508361204</v>
          </cell>
          <cell r="O19">
            <v>0.30033444816053512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1597</v>
          </cell>
          <cell r="AS19">
            <v>16218</v>
          </cell>
          <cell r="AT19">
            <v>3.4331075359864522</v>
          </cell>
          <cell r="AU19">
            <v>0.33806096528365792</v>
          </cell>
          <cell r="AV19">
            <v>991</v>
          </cell>
          <cell r="AW19">
            <v>1090.1000000000001</v>
          </cell>
          <cell r="AX19">
            <v>0.23075783234546998</v>
          </cell>
          <cell r="AY19">
            <v>0.20977984758679086</v>
          </cell>
          <cell r="AZ19">
            <v>3547</v>
          </cell>
          <cell r="BA19">
            <v>18291.14</v>
          </cell>
          <cell r="BB19">
            <v>3.8719602032176121</v>
          </cell>
          <cell r="BC19">
            <v>0.75084674005080443</v>
          </cell>
          <cell r="BI19" t="str">
            <v>Saidi :</v>
          </cell>
          <cell r="BJ19">
            <v>0.34564084989718985</v>
          </cell>
          <cell r="BP19" t="str">
            <v>Saidi :</v>
          </cell>
          <cell r="BQ19">
            <v>0.17210632570659487</v>
          </cell>
          <cell r="BW19" t="str">
            <v>Saidi :</v>
          </cell>
          <cell r="BX19">
            <v>0.41616722408026752</v>
          </cell>
          <cell r="CD19" t="str">
            <v>Saidi :</v>
          </cell>
          <cell r="CE19">
            <v>0.51013297872340424</v>
          </cell>
        </row>
        <row r="20">
          <cell r="A20">
            <v>9</v>
          </cell>
          <cell r="C20" t="str">
            <v>Kelompok Bencana Alam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</row>
        <row r="22">
          <cell r="C22" t="str">
            <v>JUMLAH  I</v>
          </cell>
          <cell r="D22">
            <v>593</v>
          </cell>
          <cell r="E22">
            <v>504.29</v>
          </cell>
          <cell r="F22">
            <v>0.34564084989718985</v>
          </cell>
          <cell r="G22">
            <v>0.40644276901987664</v>
          </cell>
          <cell r="H22">
            <v>150</v>
          </cell>
          <cell r="I22">
            <v>255.75</v>
          </cell>
          <cell r="J22">
            <v>0.17210632570659487</v>
          </cell>
          <cell r="K22">
            <v>0.1009421265141319</v>
          </cell>
          <cell r="L22">
            <v>594</v>
          </cell>
          <cell r="M22">
            <v>622.16999999999996</v>
          </cell>
          <cell r="N22">
            <v>0.41616722408026752</v>
          </cell>
          <cell r="O22">
            <v>0.39732441471571905</v>
          </cell>
          <cell r="P22">
            <v>631</v>
          </cell>
          <cell r="Q22">
            <v>767.24</v>
          </cell>
          <cell r="R22">
            <v>0.51013297872340424</v>
          </cell>
          <cell r="S22">
            <v>0.41954787234042551</v>
          </cell>
          <cell r="T22">
            <v>43</v>
          </cell>
          <cell r="U22">
            <v>710.26724999999999</v>
          </cell>
          <cell r="V22">
            <v>0.47068737574552683</v>
          </cell>
          <cell r="W22">
            <v>2.8495692511597084E-2</v>
          </cell>
          <cell r="X22">
            <v>3</v>
          </cell>
          <cell r="Y22">
            <v>3</v>
          </cell>
          <cell r="Z22">
            <v>1.984126984126984E-3</v>
          </cell>
          <cell r="AA22">
            <v>1.984126984126984E-3</v>
          </cell>
          <cell r="AB22">
            <v>3</v>
          </cell>
          <cell r="AC22">
            <v>3</v>
          </cell>
          <cell r="AD22">
            <v>1.9367333763718529E-3</v>
          </cell>
          <cell r="AE22">
            <v>1.9367333763718529E-3</v>
          </cell>
          <cell r="AF22">
            <v>5</v>
          </cell>
          <cell r="AG22">
            <v>2.3199999999999998</v>
          </cell>
          <cell r="AH22">
            <v>1.4977404777275661E-3</v>
          </cell>
          <cell r="AI22">
            <v>3.2278889606197547E-3</v>
          </cell>
          <cell r="AJ22">
            <v>5</v>
          </cell>
          <cell r="AK22">
            <v>2.3199999999999998</v>
          </cell>
          <cell r="AL22">
            <v>4.99032049903205E-4</v>
          </cell>
          <cell r="AM22">
            <v>1.0755001075500108E-3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1597</v>
          </cell>
          <cell r="AS22">
            <v>16218</v>
          </cell>
          <cell r="AT22">
            <v>3.4331075359864522</v>
          </cell>
          <cell r="AU22">
            <v>0.33806096528365792</v>
          </cell>
          <cell r="AV22">
            <v>991</v>
          </cell>
          <cell r="AW22">
            <v>1090.1000000000001</v>
          </cell>
          <cell r="AX22">
            <v>0.23075783234546998</v>
          </cell>
          <cell r="AY22">
            <v>0.20977984758679086</v>
          </cell>
          <cell r="AZ22">
            <v>4615</v>
          </cell>
          <cell r="BA22">
            <v>20178.457249999999</v>
          </cell>
          <cell r="BB22">
            <v>4.271476979254869</v>
          </cell>
          <cell r="BC22">
            <v>0.97692633361558001</v>
          </cell>
        </row>
        <row r="24">
          <cell r="A24" t="str">
            <v>II</v>
          </cell>
          <cell r="C24" t="str">
            <v>PEMADAMAN TERENCANA</v>
          </cell>
        </row>
        <row r="26">
          <cell r="A26" t="str">
            <v>II.1.</v>
          </cell>
          <cell r="C26" t="str">
            <v>Kelompok Distribusi :</v>
          </cell>
        </row>
        <row r="27">
          <cell r="C27" t="str">
            <v>Karena Pembangunan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</row>
        <row r="28">
          <cell r="C28" t="str">
            <v>Karena Pemeliharaan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651</v>
          </cell>
          <cell r="AW28">
            <v>3115.5</v>
          </cell>
          <cell r="AX28">
            <v>0.65950465707027939</v>
          </cell>
          <cell r="AY28">
            <v>0.13780694326841661</v>
          </cell>
          <cell r="AZ28">
            <v>651</v>
          </cell>
          <cell r="BA28">
            <v>3115.5</v>
          </cell>
          <cell r="BB28">
            <v>0.65950465707027939</v>
          </cell>
          <cell r="BC28">
            <v>0.13780694326841661</v>
          </cell>
        </row>
        <row r="29">
          <cell r="C29" t="str">
            <v>Karena Pelaksanaan PTM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</row>
        <row r="30">
          <cell r="C30" t="str">
            <v>Karena Pelaksanaan PTR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</row>
        <row r="31">
          <cell r="C31" t="str">
            <v>Karena Pelaksanaan Rehabilitasi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</row>
        <row r="32">
          <cell r="C32" t="str">
            <v>Karena Pelebaran Jalan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</row>
        <row r="33">
          <cell r="BI33" t="str">
            <v>Saidi :</v>
          </cell>
          <cell r="BJ33">
            <v>0.47068737574552683</v>
          </cell>
          <cell r="BO33" t="str">
            <v>Saidi :</v>
          </cell>
          <cell r="BP33">
            <v>1.984126984126984E-3</v>
          </cell>
          <cell r="BV33" t="str">
            <v>Saidi :</v>
          </cell>
          <cell r="BW33">
            <v>1.9367333763718529E-3</v>
          </cell>
          <cell r="CC33" t="str">
            <v>Saidi :</v>
          </cell>
          <cell r="CD33">
            <v>1.4977404777275661E-3</v>
          </cell>
        </row>
        <row r="34">
          <cell r="C34" t="str">
            <v>JUMLAH  II.1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651</v>
          </cell>
          <cell r="AW34">
            <v>3115.5</v>
          </cell>
          <cell r="AX34">
            <v>0.65950465707027939</v>
          </cell>
          <cell r="AY34">
            <v>0.13780694326841661</v>
          </cell>
          <cell r="AZ34">
            <v>651</v>
          </cell>
          <cell r="BA34">
            <v>3115.5</v>
          </cell>
          <cell r="BB34">
            <v>0.65950465707027939</v>
          </cell>
          <cell r="BC34">
            <v>0.13780694326841661</v>
          </cell>
        </row>
        <row r="36">
          <cell r="A36" t="str">
            <v>II.2</v>
          </cell>
          <cell r="C36" t="str">
            <v>Kelompok Pembangkitan  :</v>
          </cell>
        </row>
        <row r="37">
          <cell r="C37" t="str">
            <v>Karena Cadangan Daya Kurang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</row>
        <row r="39">
          <cell r="C39" t="str">
            <v>JUMLAH  II.2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</row>
        <row r="41">
          <cell r="C41" t="str">
            <v>JUMLAH  II ( II.1 + II.2 )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651</v>
          </cell>
          <cell r="AW41">
            <v>3115.5</v>
          </cell>
          <cell r="AX41">
            <v>0.65950465707027939</v>
          </cell>
          <cell r="AY41">
            <v>0.13780694326841661</v>
          </cell>
          <cell r="AZ41">
            <v>651</v>
          </cell>
          <cell r="BA41">
            <v>3115.5</v>
          </cell>
          <cell r="BB41">
            <v>0.65950465707027939</v>
          </cell>
          <cell r="BC41">
            <v>0.13780694326841661</v>
          </cell>
        </row>
        <row r="43">
          <cell r="C43" t="str">
            <v>JUMLAH  ( I + II )</v>
          </cell>
          <cell r="D43">
            <v>593</v>
          </cell>
          <cell r="E43">
            <v>504.29</v>
          </cell>
          <cell r="F43">
            <v>0.34564084989718985</v>
          </cell>
          <cell r="G43">
            <v>0.40644276901987664</v>
          </cell>
          <cell r="H43">
            <v>150</v>
          </cell>
          <cell r="I43">
            <v>255.75</v>
          </cell>
          <cell r="J43">
            <v>0.17210632570659487</v>
          </cell>
          <cell r="K43">
            <v>0.1009421265141319</v>
          </cell>
          <cell r="L43">
            <v>594</v>
          </cell>
          <cell r="M43">
            <v>622.16999999999996</v>
          </cell>
          <cell r="N43">
            <v>0.41616722408026752</v>
          </cell>
          <cell r="O43">
            <v>0.39732441471571905</v>
          </cell>
          <cell r="P43">
            <v>631</v>
          </cell>
          <cell r="Q43">
            <v>767.24</v>
          </cell>
          <cell r="R43">
            <v>0.51013297872340424</v>
          </cell>
          <cell r="S43">
            <v>0.41954787234042551</v>
          </cell>
          <cell r="T43">
            <v>43</v>
          </cell>
          <cell r="U43">
            <v>710.26724999999999</v>
          </cell>
          <cell r="V43">
            <v>0.47068737574552683</v>
          </cell>
          <cell r="W43">
            <v>2.8495692511597084E-2</v>
          </cell>
          <cell r="X43">
            <v>3</v>
          </cell>
          <cell r="Y43">
            <v>3</v>
          </cell>
          <cell r="Z43">
            <v>1.984126984126984E-3</v>
          </cell>
          <cell r="AA43">
            <v>1.984126984126984E-3</v>
          </cell>
          <cell r="AB43">
            <v>3</v>
          </cell>
          <cell r="AC43">
            <v>3</v>
          </cell>
          <cell r="AD43">
            <v>1.9367333763718529E-3</v>
          </cell>
          <cell r="AE43">
            <v>1.9367333763718529E-3</v>
          </cell>
          <cell r="AF43">
            <v>5</v>
          </cell>
          <cell r="AG43">
            <v>2.3199999999999998</v>
          </cell>
          <cell r="AH43">
            <v>1.4977404777275661E-3</v>
          </cell>
          <cell r="AI43">
            <v>3.2278889606197547E-3</v>
          </cell>
          <cell r="AJ43">
            <v>5</v>
          </cell>
          <cell r="AK43">
            <v>2.3199999999999998</v>
          </cell>
          <cell r="AL43">
            <v>4.99032049903205E-4</v>
          </cell>
          <cell r="AM43">
            <v>1.0755001075500108E-3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1597</v>
          </cell>
          <cell r="AS43">
            <v>16218</v>
          </cell>
          <cell r="AT43">
            <v>3.4331075359864522</v>
          </cell>
          <cell r="AU43">
            <v>0.33806096528365792</v>
          </cell>
          <cell r="AV43">
            <v>1642</v>
          </cell>
          <cell r="AW43">
            <v>4205.6000000000004</v>
          </cell>
          <cell r="AX43">
            <v>0.89026248941574937</v>
          </cell>
          <cell r="AY43">
            <v>0.34758679085520749</v>
          </cell>
          <cell r="AZ43">
            <v>5266</v>
          </cell>
          <cell r="BA43">
            <v>23293.957249999999</v>
          </cell>
          <cell r="BB43">
            <v>4.9309816363251482</v>
          </cell>
          <cell r="BC43">
            <v>1.1147332768839966</v>
          </cell>
        </row>
        <row r="46">
          <cell r="G46">
            <v>1459</v>
          </cell>
          <cell r="K46">
            <v>1486</v>
          </cell>
          <cell r="O46">
            <v>1495</v>
          </cell>
          <cell r="S46">
            <v>1504</v>
          </cell>
          <cell r="W46">
            <v>1509</v>
          </cell>
          <cell r="AA46">
            <v>1512</v>
          </cell>
          <cell r="AE46">
            <v>1549</v>
          </cell>
          <cell r="AI46">
            <v>1549</v>
          </cell>
          <cell r="AM46">
            <v>4649</v>
          </cell>
          <cell r="AQ46">
            <v>4654</v>
          </cell>
          <cell r="AU46">
            <v>4724</v>
          </cell>
          <cell r="AY46">
            <v>4724</v>
          </cell>
          <cell r="BC46">
            <v>4724</v>
          </cell>
        </row>
        <row r="47">
          <cell r="BI47" t="str">
            <v>Saidi :</v>
          </cell>
          <cell r="BJ47">
            <v>4.99032049903205E-4</v>
          </cell>
          <cell r="BP47" t="str">
            <v>Saidi :</v>
          </cell>
          <cell r="BQ47">
            <v>0</v>
          </cell>
          <cell r="BW47" t="str">
            <v>Saidi :</v>
          </cell>
          <cell r="BX47">
            <v>3.4331075359864522</v>
          </cell>
          <cell r="CD47" t="str">
            <v>Saidi :</v>
          </cell>
          <cell r="CE47">
            <v>0.89026248941574937</v>
          </cell>
        </row>
        <row r="50">
          <cell r="BE50" t="str">
            <v>ANGKA  SAIFI  KUALA KURUN</v>
          </cell>
        </row>
        <row r="51">
          <cell r="BE51" t="str">
            <v>JANUARI  S/D DESEMBER  2007</v>
          </cell>
        </row>
        <row r="65">
          <cell r="BI65" t="str">
            <v>Saifi :</v>
          </cell>
          <cell r="BJ65">
            <v>0.40644276901987664</v>
          </cell>
          <cell r="BP65" t="str">
            <v>Saifi :</v>
          </cell>
          <cell r="BQ65">
            <v>0.1009421265141319</v>
          </cell>
          <cell r="BW65" t="str">
            <v>Saifi :</v>
          </cell>
          <cell r="BX65">
            <v>0.39732441471571905</v>
          </cell>
          <cell r="CD65" t="str">
            <v>Saifi :</v>
          </cell>
          <cell r="CE65">
            <v>0.41954787234042551</v>
          </cell>
        </row>
        <row r="79">
          <cell r="BI79" t="str">
            <v>Saifi :</v>
          </cell>
          <cell r="BJ79">
            <v>2.8495692511597084E-2</v>
          </cell>
          <cell r="BP79" t="str">
            <v>Saifi :</v>
          </cell>
          <cell r="BQ79">
            <v>1.984126984126984E-3</v>
          </cell>
          <cell r="BW79" t="str">
            <v>Saifi :</v>
          </cell>
          <cell r="BX79">
            <v>1.9367333763718529E-3</v>
          </cell>
          <cell r="CD79" t="str">
            <v>Saifi :</v>
          </cell>
          <cell r="CE79">
            <v>3.2278889606197547E-3</v>
          </cell>
        </row>
        <row r="95">
          <cell r="BI95" t="str">
            <v>Saifi :</v>
          </cell>
          <cell r="BJ95">
            <v>1.0755001075500108E-3</v>
          </cell>
          <cell r="BP95" t="str">
            <v>Saifi :</v>
          </cell>
          <cell r="BQ95">
            <v>0</v>
          </cell>
          <cell r="BW95" t="str">
            <v>Saifi :</v>
          </cell>
          <cell r="BX95">
            <v>0.33806096528365792</v>
          </cell>
          <cell r="CD95" t="str">
            <v>Saifi :</v>
          </cell>
          <cell r="CE95">
            <v>0.34758679085520749</v>
          </cell>
        </row>
        <row r="97">
          <cell r="BE97" t="str">
            <v>ANGKA  SAIDI &amp; SAIFI KOMULATIF KUALA KURUN</v>
          </cell>
        </row>
        <row r="98">
          <cell r="BE98" t="str">
            <v>JANUARI  S/D DESEMBER  2007</v>
          </cell>
        </row>
        <row r="121">
          <cell r="BN121" t="str">
            <v>Saidi :</v>
          </cell>
          <cell r="BO121">
            <v>4.9309816363251482</v>
          </cell>
          <cell r="CB121" t="str">
            <v>Saifi :</v>
          </cell>
          <cell r="CC121">
            <v>1.1147332768839966</v>
          </cell>
        </row>
      </sheetData>
      <sheetData sheetId="7">
        <row r="2">
          <cell r="A2" t="str">
            <v>REKAPITULASI</v>
          </cell>
        </row>
        <row r="3">
          <cell r="A3" t="str">
            <v>LAPORAN SAIDI &amp; SAIFI TAHUN 2007</v>
          </cell>
        </row>
        <row r="5">
          <cell r="A5" t="str">
            <v>RANTING  SUKAMARA</v>
          </cell>
          <cell r="BE5" t="str">
            <v>ANGKA  SAIDI  SUKAMARA</v>
          </cell>
        </row>
        <row r="6">
          <cell r="D6" t="str">
            <v>JANUARI</v>
          </cell>
          <cell r="H6" t="str">
            <v>FEBRUARI</v>
          </cell>
          <cell r="L6" t="str">
            <v>MARET</v>
          </cell>
          <cell r="P6" t="str">
            <v>APRIL</v>
          </cell>
          <cell r="T6" t="str">
            <v>MEI</v>
          </cell>
          <cell r="X6" t="str">
            <v>JUNI</v>
          </cell>
          <cell r="AB6" t="str">
            <v>JULI</v>
          </cell>
          <cell r="AF6" t="str">
            <v>AGUSTUS</v>
          </cell>
          <cell r="AJ6" t="str">
            <v>SEPTEMBER</v>
          </cell>
          <cell r="AN6" t="str">
            <v>OKTOBER</v>
          </cell>
          <cell r="AR6" t="str">
            <v>NOVEMBER</v>
          </cell>
          <cell r="AV6" t="str">
            <v>DESEMBER</v>
          </cell>
          <cell r="AZ6" t="str">
            <v xml:space="preserve">KOMULATIF </v>
          </cell>
          <cell r="BE6" t="str">
            <v>JANUARI  S/D DESEMBER  2007</v>
          </cell>
        </row>
        <row r="7">
          <cell r="A7" t="str">
            <v>No.</v>
          </cell>
          <cell r="C7" t="str">
            <v>PENYEBAB  PEMADAMAN</v>
          </cell>
          <cell r="D7" t="str">
            <v>PLG</v>
          </cell>
          <cell r="E7" t="str">
            <v>JAM X PLG</v>
          </cell>
          <cell r="H7" t="str">
            <v>PLG</v>
          </cell>
          <cell r="I7" t="str">
            <v>JAM X PLG</v>
          </cell>
          <cell r="L7" t="str">
            <v>PLG</v>
          </cell>
          <cell r="M7" t="str">
            <v>JAM X PLG</v>
          </cell>
          <cell r="P7" t="str">
            <v>PLG</v>
          </cell>
          <cell r="Q7" t="str">
            <v>JAM X PLG</v>
          </cell>
          <cell r="T7" t="str">
            <v>PLG</v>
          </cell>
          <cell r="U7" t="str">
            <v>JAM X PLG</v>
          </cell>
          <cell r="X7" t="str">
            <v>PLG</v>
          </cell>
          <cell r="Y7" t="str">
            <v>JAM X PLG</v>
          </cell>
          <cell r="AB7" t="str">
            <v>PLG</v>
          </cell>
          <cell r="AC7" t="str">
            <v>JAM X PLG</v>
          </cell>
          <cell r="AF7" t="str">
            <v>PLG</v>
          </cell>
          <cell r="AG7" t="str">
            <v>JAM X PLG</v>
          </cell>
          <cell r="AJ7" t="str">
            <v>PLG</v>
          </cell>
          <cell r="AK7" t="str">
            <v>JAM X PLG</v>
          </cell>
          <cell r="AN7" t="str">
            <v>PLG</v>
          </cell>
          <cell r="AO7" t="str">
            <v>JAM X PLG</v>
          </cell>
          <cell r="AR7" t="str">
            <v>PLG</v>
          </cell>
          <cell r="AS7" t="str">
            <v>JAM X PLG</v>
          </cell>
          <cell r="AV7" t="str">
            <v>PLG</v>
          </cell>
          <cell r="AW7" t="str">
            <v>JAM X PLG</v>
          </cell>
          <cell r="AZ7" t="str">
            <v>PLG</v>
          </cell>
          <cell r="BA7" t="str">
            <v>JAM X PLG</v>
          </cell>
        </row>
        <row r="8">
          <cell r="D8" t="str">
            <v>PADAM</v>
          </cell>
          <cell r="E8" t="str">
            <v>PADAM</v>
          </cell>
          <cell r="F8" t="str">
            <v>SAIDI</v>
          </cell>
          <cell r="G8" t="str">
            <v>SAIFI</v>
          </cell>
          <cell r="H8" t="str">
            <v>PADAM</v>
          </cell>
          <cell r="I8" t="str">
            <v>PADAM</v>
          </cell>
          <cell r="J8" t="str">
            <v>SAIDI</v>
          </cell>
          <cell r="K8" t="str">
            <v>SAIFI</v>
          </cell>
          <cell r="L8" t="str">
            <v>PADAM</v>
          </cell>
          <cell r="M8" t="str">
            <v>PADAM</v>
          </cell>
          <cell r="N8" t="str">
            <v>SAIDI</v>
          </cell>
          <cell r="O8" t="str">
            <v>SAIFI</v>
          </cell>
          <cell r="P8" t="str">
            <v>PADAM</v>
          </cell>
          <cell r="Q8" t="str">
            <v>PADAM</v>
          </cell>
          <cell r="R8" t="str">
            <v>SAIDI</v>
          </cell>
          <cell r="S8" t="str">
            <v>SAIFI</v>
          </cell>
          <cell r="T8" t="str">
            <v>PADAM</v>
          </cell>
          <cell r="U8" t="str">
            <v>PADAM</v>
          </cell>
          <cell r="V8" t="str">
            <v>SAIDI</v>
          </cell>
          <cell r="W8" t="str">
            <v>SAIFI</v>
          </cell>
          <cell r="X8" t="str">
            <v>PADAM</v>
          </cell>
          <cell r="Y8" t="str">
            <v>PADAM</v>
          </cell>
          <cell r="Z8" t="str">
            <v>SAIDI</v>
          </cell>
          <cell r="AA8" t="str">
            <v>SAIFI</v>
          </cell>
          <cell r="AB8" t="str">
            <v>PADAM</v>
          </cell>
          <cell r="AC8" t="str">
            <v>PADAM</v>
          </cell>
          <cell r="AD8" t="str">
            <v>SAIDI</v>
          </cell>
          <cell r="AE8" t="str">
            <v>SAIFI</v>
          </cell>
          <cell r="AF8" t="str">
            <v>PADAM</v>
          </cell>
          <cell r="AG8" t="str">
            <v>PADAM</v>
          </cell>
          <cell r="AH8" t="str">
            <v>SAIDI</v>
          </cell>
          <cell r="AI8" t="str">
            <v>SAIFI</v>
          </cell>
          <cell r="AJ8" t="str">
            <v>PADAM</v>
          </cell>
          <cell r="AK8" t="str">
            <v>PADAM</v>
          </cell>
          <cell r="AL8" t="str">
            <v>SAIDI</v>
          </cell>
          <cell r="AM8" t="str">
            <v>SAIFI</v>
          </cell>
          <cell r="AN8" t="str">
            <v>PADAM</v>
          </cell>
          <cell r="AO8" t="str">
            <v>PADAM</v>
          </cell>
          <cell r="AP8" t="str">
            <v>SAIDI</v>
          </cell>
          <cell r="AQ8" t="str">
            <v>SAIFI</v>
          </cell>
          <cell r="AR8" t="str">
            <v>PADAM</v>
          </cell>
          <cell r="AS8" t="str">
            <v>PADAM</v>
          </cell>
          <cell r="AT8" t="str">
            <v>SAIDI</v>
          </cell>
          <cell r="AU8" t="str">
            <v>SAIFI</v>
          </cell>
          <cell r="AV8" t="str">
            <v>PADAM</v>
          </cell>
          <cell r="AW8" t="str">
            <v>PADAM</v>
          </cell>
          <cell r="AX8" t="str">
            <v>SAIDI</v>
          </cell>
          <cell r="AY8" t="str">
            <v>SAIFI</v>
          </cell>
          <cell r="AZ8" t="str">
            <v>PADAM</v>
          </cell>
          <cell r="BA8" t="str">
            <v>PADAM</v>
          </cell>
          <cell r="BB8" t="str">
            <v>SAIDI</v>
          </cell>
          <cell r="BC8" t="str">
            <v>SAIFI</v>
          </cell>
        </row>
        <row r="10">
          <cell r="A10" t="str">
            <v>I</v>
          </cell>
          <cell r="C10" t="str">
            <v>PEMADAMAN KARENA GANGGUAN</v>
          </cell>
        </row>
        <row r="12">
          <cell r="A12">
            <v>1</v>
          </cell>
          <cell r="C12" t="str">
            <v>Kelompok Samb. Tenaga listrik &amp; APP</v>
          </cell>
          <cell r="D12">
            <v>24</v>
          </cell>
          <cell r="E12">
            <v>8.82</v>
          </cell>
          <cell r="F12">
            <v>4.156456173421301E-3</v>
          </cell>
          <cell r="G12">
            <v>1.1310084825636193E-2</v>
          </cell>
          <cell r="H12">
            <v>23</v>
          </cell>
          <cell r="I12">
            <v>10.350000000000001</v>
          </cell>
          <cell r="J12">
            <v>4.7630004601932818E-3</v>
          </cell>
          <cell r="K12">
            <v>1.0584445467096181E-2</v>
          </cell>
          <cell r="L12">
            <v>19</v>
          </cell>
          <cell r="M12">
            <v>8.68</v>
          </cell>
          <cell r="N12">
            <v>3.9707227813357733E-3</v>
          </cell>
          <cell r="O12">
            <v>8.6916742909423604E-3</v>
          </cell>
          <cell r="P12">
            <v>5</v>
          </cell>
          <cell r="Q12">
            <v>2.0499999999999998</v>
          </cell>
          <cell r="R12">
            <v>9.3735711019661625E-4</v>
          </cell>
          <cell r="S12">
            <v>2.2862368541380889E-3</v>
          </cell>
          <cell r="T12">
            <v>17</v>
          </cell>
          <cell r="U12">
            <v>8.1199999999999992</v>
          </cell>
          <cell r="V12">
            <v>3.7111517367458863E-3</v>
          </cell>
          <cell r="W12">
            <v>7.7696526508226693E-3</v>
          </cell>
          <cell r="X12">
            <v>11</v>
          </cell>
          <cell r="Y12">
            <v>5.03</v>
          </cell>
          <cell r="Z12">
            <v>2.2989031078610605E-3</v>
          </cell>
          <cell r="AA12">
            <v>5.0274223034734921E-3</v>
          </cell>
          <cell r="AB12">
            <v>12</v>
          </cell>
          <cell r="AC12">
            <v>5.9</v>
          </cell>
          <cell r="AD12">
            <v>2.6830377444292861E-3</v>
          </cell>
          <cell r="AE12">
            <v>5.4570259208731242E-3</v>
          </cell>
          <cell r="AF12">
            <v>12</v>
          </cell>
          <cell r="AG12">
            <v>5.9</v>
          </cell>
          <cell r="AH12">
            <v>2.6830377444292861E-3</v>
          </cell>
          <cell r="AI12">
            <v>5.4570259208731242E-3</v>
          </cell>
          <cell r="AJ12">
            <v>9</v>
          </cell>
          <cell r="AK12">
            <v>3.71</v>
          </cell>
          <cell r="AL12">
            <v>1.6855974557019537E-3</v>
          </cell>
          <cell r="AM12">
            <v>4.0890504316219902E-3</v>
          </cell>
          <cell r="AN12">
            <v>9</v>
          </cell>
          <cell r="AO12">
            <v>3.71</v>
          </cell>
          <cell r="AP12">
            <v>1.6810149524241051E-3</v>
          </cell>
          <cell r="AQ12">
            <v>4.0779338468509285E-3</v>
          </cell>
          <cell r="AR12">
            <v>9</v>
          </cell>
          <cell r="AS12">
            <v>3.71</v>
          </cell>
          <cell r="AT12">
            <v>1.648888888888889E-3</v>
          </cell>
          <cell r="AU12">
            <v>4.0000000000000001E-3</v>
          </cell>
          <cell r="AV12">
            <v>10</v>
          </cell>
          <cell r="AW12">
            <v>4.3100000000000005</v>
          </cell>
          <cell r="AX12">
            <v>1.9599818099135975E-3</v>
          </cell>
          <cell r="AY12">
            <v>4.5475216007276036E-3</v>
          </cell>
          <cell r="AZ12">
            <v>160</v>
          </cell>
          <cell r="BA12">
            <v>70.290000000000006</v>
          </cell>
          <cell r="BB12">
            <v>3.1240000000000004E-2</v>
          </cell>
          <cell r="BC12">
            <v>7.1111111111111111E-2</v>
          </cell>
        </row>
        <row r="13">
          <cell r="A13">
            <v>2</v>
          </cell>
          <cell r="C13" t="str">
            <v>Kelompok JTR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</row>
        <row r="14">
          <cell r="A14">
            <v>3</v>
          </cell>
          <cell r="C14" t="str">
            <v>Kelompok Trafo &amp; Gardu Dist.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</row>
        <row r="15">
          <cell r="A15">
            <v>4</v>
          </cell>
          <cell r="C15" t="str">
            <v>Kelompok Tiang TR &amp; TM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</row>
        <row r="16">
          <cell r="A16">
            <v>5</v>
          </cell>
          <cell r="C16" t="str">
            <v>Kelompok SUTM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</row>
        <row r="17">
          <cell r="A17">
            <v>6</v>
          </cell>
          <cell r="C17" t="str">
            <v>Kelompok SKTM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</row>
        <row r="18">
          <cell r="A18">
            <v>7</v>
          </cell>
          <cell r="C18" t="str">
            <v>Kelompok Transmisi &amp; Gardu Induk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</row>
        <row r="19">
          <cell r="A19">
            <v>8</v>
          </cell>
          <cell r="C19" t="str">
            <v>Kelompok Pusat Sumber Tenaga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I19" t="str">
            <v>Saidi :</v>
          </cell>
          <cell r="BJ19">
            <v>4.156456173421301E-3</v>
          </cell>
          <cell r="BP19" t="str">
            <v>Saidi :</v>
          </cell>
          <cell r="BQ19">
            <v>4.7630004601932818E-3</v>
          </cell>
          <cell r="BW19" t="str">
            <v>Saidi :</v>
          </cell>
          <cell r="BX19">
            <v>3.9707227813357733E-3</v>
          </cell>
          <cell r="CD19" t="str">
            <v>Saidi :</v>
          </cell>
          <cell r="CE19">
            <v>9.3735711019661625E-4</v>
          </cell>
        </row>
        <row r="20">
          <cell r="A20">
            <v>9</v>
          </cell>
          <cell r="C20" t="str">
            <v>Kelompok Bencana Alam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</row>
        <row r="22">
          <cell r="C22" t="str">
            <v>JUMLAH  I</v>
          </cell>
          <cell r="D22">
            <v>24</v>
          </cell>
          <cell r="E22">
            <v>8.82</v>
          </cell>
          <cell r="F22">
            <v>4.156456173421301E-3</v>
          </cell>
          <cell r="G22">
            <v>1.1310084825636193E-2</v>
          </cell>
          <cell r="H22">
            <v>23</v>
          </cell>
          <cell r="I22">
            <v>10.350000000000001</v>
          </cell>
          <cell r="J22">
            <v>4.7630004601932818E-3</v>
          </cell>
          <cell r="K22">
            <v>1.0584445467096181E-2</v>
          </cell>
          <cell r="L22">
            <v>19</v>
          </cell>
          <cell r="M22">
            <v>8.68</v>
          </cell>
          <cell r="N22">
            <v>3.9707227813357733E-3</v>
          </cell>
          <cell r="O22">
            <v>8.6916742909423604E-3</v>
          </cell>
          <cell r="P22">
            <v>5</v>
          </cell>
          <cell r="Q22">
            <v>2.0499999999999998</v>
          </cell>
          <cell r="R22">
            <v>9.3735711019661625E-4</v>
          </cell>
          <cell r="S22">
            <v>2.2862368541380889E-3</v>
          </cell>
          <cell r="T22">
            <v>17</v>
          </cell>
          <cell r="U22">
            <v>8.1199999999999992</v>
          </cell>
          <cell r="V22">
            <v>3.7111517367458863E-3</v>
          </cell>
          <cell r="W22">
            <v>7.7696526508226693E-3</v>
          </cell>
          <cell r="X22">
            <v>11</v>
          </cell>
          <cell r="Y22">
            <v>5.03</v>
          </cell>
          <cell r="Z22">
            <v>2.2989031078610605E-3</v>
          </cell>
          <cell r="AA22">
            <v>5.0274223034734921E-3</v>
          </cell>
          <cell r="AB22">
            <v>12</v>
          </cell>
          <cell r="AC22">
            <v>5.9</v>
          </cell>
          <cell r="AD22">
            <v>2.6830377444292861E-3</v>
          </cell>
          <cell r="AE22">
            <v>5.4570259208731242E-3</v>
          </cell>
          <cell r="AF22">
            <v>12</v>
          </cell>
          <cell r="AG22">
            <v>5.9</v>
          </cell>
          <cell r="AH22">
            <v>2.6830377444292861E-3</v>
          </cell>
          <cell r="AI22">
            <v>5.4570259208731242E-3</v>
          </cell>
          <cell r="AJ22">
            <v>9</v>
          </cell>
          <cell r="AK22">
            <v>3.71</v>
          </cell>
          <cell r="AL22">
            <v>1.6855974557019537E-3</v>
          </cell>
          <cell r="AM22">
            <v>4.0890504316219902E-3</v>
          </cell>
          <cell r="AN22">
            <v>9</v>
          </cell>
          <cell r="AO22">
            <v>3.71</v>
          </cell>
          <cell r="AP22">
            <v>1.6810149524241051E-3</v>
          </cell>
          <cell r="AQ22">
            <v>4.0779338468509285E-3</v>
          </cell>
          <cell r="AR22">
            <v>9</v>
          </cell>
          <cell r="AS22">
            <v>3.71</v>
          </cell>
          <cell r="AT22">
            <v>1.648888888888889E-3</v>
          </cell>
          <cell r="AU22">
            <v>4.0000000000000001E-3</v>
          </cell>
          <cell r="AV22">
            <v>10</v>
          </cell>
          <cell r="AW22">
            <v>4.3100000000000005</v>
          </cell>
          <cell r="AX22">
            <v>1.9599818099135975E-3</v>
          </cell>
          <cell r="AY22">
            <v>4.5475216007276036E-3</v>
          </cell>
          <cell r="AZ22">
            <v>160</v>
          </cell>
          <cell r="BA22">
            <v>70.290000000000006</v>
          </cell>
          <cell r="BB22">
            <v>3.1240000000000004E-2</v>
          </cell>
          <cell r="BC22">
            <v>7.1111111111111111E-2</v>
          </cell>
        </row>
        <row r="24">
          <cell r="A24" t="str">
            <v>II</v>
          </cell>
          <cell r="C24" t="str">
            <v>PEMADAMAN TERENCANA</v>
          </cell>
        </row>
        <row r="26">
          <cell r="A26" t="str">
            <v>II.1.</v>
          </cell>
          <cell r="C26" t="str">
            <v>Kelompok Distribusi :</v>
          </cell>
        </row>
        <row r="27">
          <cell r="C27" t="str">
            <v>Karena Pembangunan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</row>
        <row r="28">
          <cell r="C28" t="str">
            <v>Karena Pemeliharaan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</row>
        <row r="29">
          <cell r="C29" t="str">
            <v>Karena Pelaksanaan PTM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</row>
        <row r="30">
          <cell r="C30" t="str">
            <v>Karena Pelaksanaan PTR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</row>
        <row r="31">
          <cell r="C31" t="str">
            <v>Karena Pelaksanaan Rehabilitasi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</row>
        <row r="32">
          <cell r="C32" t="str">
            <v>Karena Pelebaran Jalan / ( lain-lain )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</row>
        <row r="33">
          <cell r="BI33" t="str">
            <v>Saidi :</v>
          </cell>
          <cell r="BJ33">
            <v>3.7111517367458863E-3</v>
          </cell>
          <cell r="BP33" t="str">
            <v>Saidi :</v>
          </cell>
          <cell r="BQ33">
            <v>2.2989031078610605E-3</v>
          </cell>
          <cell r="BW33" t="str">
            <v>Saidi :</v>
          </cell>
          <cell r="BX33">
            <v>2.6830377444292861E-3</v>
          </cell>
          <cell r="CD33" t="str">
            <v>Saidi :</v>
          </cell>
          <cell r="CE33">
            <v>2.6830377444292861E-3</v>
          </cell>
        </row>
        <row r="34">
          <cell r="C34" t="str">
            <v>JUMLAH  II.1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</row>
        <row r="36">
          <cell r="A36" t="str">
            <v>II.2</v>
          </cell>
          <cell r="C36" t="str">
            <v>Kelompok Pembangkitan  :</v>
          </cell>
        </row>
        <row r="37">
          <cell r="C37" t="str">
            <v>Karena Cadangan Daya Kurang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</row>
        <row r="39">
          <cell r="C39" t="str">
            <v>JUMLAH  II.2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</row>
        <row r="41">
          <cell r="C41" t="str">
            <v>JUMLAH  II ( II.1 + II.2 )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</row>
        <row r="43">
          <cell r="C43" t="str">
            <v>JUMLAH  ( I + II )</v>
          </cell>
          <cell r="D43">
            <v>24</v>
          </cell>
          <cell r="E43">
            <v>8.82</v>
          </cell>
          <cell r="F43">
            <v>4.156456173421301E-3</v>
          </cell>
          <cell r="G43">
            <v>1.1310084825636193E-2</v>
          </cell>
          <cell r="H43">
            <v>23</v>
          </cell>
          <cell r="I43">
            <v>10.350000000000001</v>
          </cell>
          <cell r="J43">
            <v>4.7630004601932818E-3</v>
          </cell>
          <cell r="K43">
            <v>1.0584445467096181E-2</v>
          </cell>
          <cell r="L43">
            <v>19</v>
          </cell>
          <cell r="M43">
            <v>8.68</v>
          </cell>
          <cell r="N43">
            <v>3.9707227813357733E-3</v>
          </cell>
          <cell r="O43">
            <v>8.6916742909423604E-3</v>
          </cell>
          <cell r="P43">
            <v>5</v>
          </cell>
          <cell r="Q43">
            <v>2.0499999999999998</v>
          </cell>
          <cell r="R43">
            <v>9.3735711019661625E-4</v>
          </cell>
          <cell r="S43">
            <v>2.2862368541380889E-3</v>
          </cell>
          <cell r="T43">
            <v>17</v>
          </cell>
          <cell r="U43">
            <v>8.1199999999999992</v>
          </cell>
          <cell r="V43">
            <v>3.7111517367458863E-3</v>
          </cell>
          <cell r="W43">
            <v>7.7696526508226693E-3</v>
          </cell>
          <cell r="X43">
            <v>11</v>
          </cell>
          <cell r="Y43">
            <v>5.03</v>
          </cell>
          <cell r="Z43">
            <v>2.2989031078610605E-3</v>
          </cell>
          <cell r="AA43">
            <v>5.0274223034734921E-3</v>
          </cell>
          <cell r="AB43">
            <v>12</v>
          </cell>
          <cell r="AC43">
            <v>5.9</v>
          </cell>
          <cell r="AD43">
            <v>2.6830377444292861E-3</v>
          </cell>
          <cell r="AE43">
            <v>5.4570259208731242E-3</v>
          </cell>
          <cell r="AF43">
            <v>12</v>
          </cell>
          <cell r="AG43">
            <v>5.9</v>
          </cell>
          <cell r="AH43">
            <v>2.6830377444292861E-3</v>
          </cell>
          <cell r="AI43">
            <v>5.4570259208731242E-3</v>
          </cell>
          <cell r="AJ43">
            <v>9</v>
          </cell>
          <cell r="AK43">
            <v>3.71</v>
          </cell>
          <cell r="AL43">
            <v>1.6855974557019537E-3</v>
          </cell>
          <cell r="AM43">
            <v>4.0890504316219902E-3</v>
          </cell>
          <cell r="AN43">
            <v>9</v>
          </cell>
          <cell r="AO43">
            <v>3.71</v>
          </cell>
          <cell r="AP43">
            <v>1.6810149524241051E-3</v>
          </cell>
          <cell r="AQ43">
            <v>4.0779338468509285E-3</v>
          </cell>
          <cell r="AR43">
            <v>9</v>
          </cell>
          <cell r="AS43">
            <v>3.71</v>
          </cell>
          <cell r="AT43">
            <v>1.648888888888889E-3</v>
          </cell>
          <cell r="AU43">
            <v>4.0000000000000001E-3</v>
          </cell>
          <cell r="AV43">
            <v>10</v>
          </cell>
          <cell r="AW43">
            <v>4.3100000000000005</v>
          </cell>
          <cell r="AX43">
            <v>1.9599818099135975E-3</v>
          </cell>
          <cell r="AY43">
            <v>4.5475216007276036E-3</v>
          </cell>
          <cell r="AZ43">
            <v>160</v>
          </cell>
          <cell r="BA43">
            <v>70.290000000000006</v>
          </cell>
          <cell r="BB43">
            <v>3.1240000000000004E-2</v>
          </cell>
          <cell r="BC43">
            <v>7.1111111111111111E-2</v>
          </cell>
        </row>
        <row r="46">
          <cell r="G46">
            <v>2122</v>
          </cell>
          <cell r="K46">
            <v>2173</v>
          </cell>
          <cell r="O46">
            <v>2186</v>
          </cell>
          <cell r="S46">
            <v>2187</v>
          </cell>
          <cell r="W46">
            <v>2188</v>
          </cell>
          <cell r="AA46">
            <v>2188</v>
          </cell>
          <cell r="AE46">
            <v>2199</v>
          </cell>
          <cell r="AI46">
            <v>2199</v>
          </cell>
          <cell r="AM46">
            <v>2201</v>
          </cell>
          <cell r="AQ46">
            <v>2207</v>
          </cell>
          <cell r="AU46">
            <v>2250</v>
          </cell>
          <cell r="AY46">
            <v>2250</v>
          </cell>
          <cell r="BC46">
            <v>2250</v>
          </cell>
        </row>
        <row r="47">
          <cell r="BI47" t="str">
            <v>Saidi :</v>
          </cell>
          <cell r="BJ47">
            <v>1.6855974557019537E-3</v>
          </cell>
          <cell r="BP47" t="str">
            <v>Saidi :</v>
          </cell>
          <cell r="BQ47">
            <v>1.6810149524241051E-3</v>
          </cell>
          <cell r="BW47" t="str">
            <v>Saidi :</v>
          </cell>
          <cell r="BX47">
            <v>1.648888888888889E-3</v>
          </cell>
          <cell r="CD47" t="str">
            <v>Saidi :</v>
          </cell>
          <cell r="CE47">
            <v>1.9599818099135975E-3</v>
          </cell>
        </row>
        <row r="50">
          <cell r="BE50" t="str">
            <v>ANGKA  SAIFI  SUKAMARA</v>
          </cell>
        </row>
        <row r="51">
          <cell r="BE51" t="str">
            <v>JANUARI  S/D DESEMBER  2007</v>
          </cell>
        </row>
        <row r="65">
          <cell r="BI65" t="str">
            <v>Saifi :</v>
          </cell>
          <cell r="BJ65">
            <v>1.1310084825636193E-2</v>
          </cell>
          <cell r="BP65" t="str">
            <v>Saifi :</v>
          </cell>
          <cell r="BQ65">
            <v>1.0584445467096181E-2</v>
          </cell>
          <cell r="BW65" t="str">
            <v>Saifi :</v>
          </cell>
          <cell r="BX65">
            <v>8.6916742909423604E-3</v>
          </cell>
          <cell r="CD65" t="str">
            <v>Saifi :</v>
          </cell>
          <cell r="CE65">
            <v>2.2862368541380889E-3</v>
          </cell>
        </row>
        <row r="79">
          <cell r="BI79" t="str">
            <v>Saifi :</v>
          </cell>
          <cell r="BJ79">
            <v>7.7696526508226693E-3</v>
          </cell>
          <cell r="BP79" t="str">
            <v>Saifi :</v>
          </cell>
          <cell r="BQ79">
            <v>5.0274223034734921E-3</v>
          </cell>
          <cell r="BW79" t="str">
            <v>Saifi :</v>
          </cell>
          <cell r="BX79">
            <v>5.4570259208731242E-3</v>
          </cell>
          <cell r="CD79" t="str">
            <v>Saifi :</v>
          </cell>
          <cell r="CE79">
            <v>5.4570259208731242E-3</v>
          </cell>
        </row>
        <row r="93">
          <cell r="BI93" t="str">
            <v>Saidi :</v>
          </cell>
          <cell r="BJ93">
            <v>4.0890504316219902E-3</v>
          </cell>
          <cell r="BP93" t="str">
            <v>Saidi :</v>
          </cell>
          <cell r="BQ93">
            <v>4.0779338468509285E-3</v>
          </cell>
          <cell r="BW93" t="str">
            <v>Saidi :</v>
          </cell>
          <cell r="BX93">
            <v>4.0000000000000001E-3</v>
          </cell>
          <cell r="CD93" t="str">
            <v>Saidi :</v>
          </cell>
          <cell r="CE93">
            <v>4.5475216007276036E-3</v>
          </cell>
        </row>
        <row r="96">
          <cell r="BE96" t="str">
            <v>ANGKA  SAIDI &amp; SAIFI  KOMULATIF SUKAMARA</v>
          </cell>
        </row>
        <row r="97">
          <cell r="BE97" t="str">
            <v>JANUARI  S/D DESEMBER  2007</v>
          </cell>
        </row>
        <row r="121">
          <cell r="BN121" t="str">
            <v>Saidi :</v>
          </cell>
          <cell r="BO121">
            <v>3.1240000000000004E-2</v>
          </cell>
          <cell r="CB121" t="str">
            <v>Saifi :</v>
          </cell>
          <cell r="CC121">
            <v>7.1111111111111111E-2</v>
          </cell>
        </row>
      </sheetData>
      <sheetData sheetId="8">
        <row r="2">
          <cell r="A2" t="str">
            <v>REKAPITULASI</v>
          </cell>
        </row>
        <row r="3">
          <cell r="A3" t="str">
            <v>LAPORAN SAIDI &amp; SAIFI TAHUN 2007</v>
          </cell>
        </row>
        <row r="4">
          <cell r="BE4" t="str">
            <v>ANGKA  SAIDI  NANGA BULIK</v>
          </cell>
        </row>
        <row r="5">
          <cell r="A5" t="str">
            <v>RANTING  NANGA BULIK</v>
          </cell>
          <cell r="BE5" t="str">
            <v>JANUARI  S/D DESEMBER  2007</v>
          </cell>
        </row>
        <row r="6">
          <cell r="D6" t="str">
            <v>JANUARI</v>
          </cell>
          <cell r="H6" t="str">
            <v>FEBRUARI</v>
          </cell>
          <cell r="L6" t="str">
            <v>MARET</v>
          </cell>
          <cell r="P6" t="str">
            <v>APRIL</v>
          </cell>
          <cell r="T6" t="str">
            <v>MEI</v>
          </cell>
          <cell r="X6" t="str">
            <v>JUNI</v>
          </cell>
          <cell r="AB6" t="str">
            <v>JULI</v>
          </cell>
          <cell r="AF6" t="str">
            <v>AGUSTUS</v>
          </cell>
          <cell r="AJ6" t="str">
            <v>SEPTEMBER</v>
          </cell>
          <cell r="AN6" t="str">
            <v>OKTOBER</v>
          </cell>
          <cell r="AR6" t="str">
            <v>NOVEMBER</v>
          </cell>
          <cell r="AV6" t="str">
            <v>DESEMBER</v>
          </cell>
          <cell r="AZ6" t="str">
            <v>KOMULATIF</v>
          </cell>
        </row>
        <row r="7">
          <cell r="A7" t="str">
            <v>No.</v>
          </cell>
          <cell r="C7" t="str">
            <v>PENYEBAB  PEMADAMAN</v>
          </cell>
          <cell r="D7" t="str">
            <v>PLG</v>
          </cell>
          <cell r="E7" t="str">
            <v>JAM X PLG</v>
          </cell>
          <cell r="H7" t="str">
            <v>PLG</v>
          </cell>
          <cell r="I7" t="str">
            <v>JAM X PLG</v>
          </cell>
          <cell r="L7" t="str">
            <v>PLG</v>
          </cell>
          <cell r="M7" t="str">
            <v>JAM X PLG</v>
          </cell>
          <cell r="P7" t="str">
            <v>PLG</v>
          </cell>
          <cell r="Q7" t="str">
            <v>JAM X PLG</v>
          </cell>
          <cell r="T7" t="str">
            <v>PLG</v>
          </cell>
          <cell r="U7" t="str">
            <v>JAM X PLG</v>
          </cell>
          <cell r="X7" t="str">
            <v>PLG</v>
          </cell>
          <cell r="Y7" t="str">
            <v>JAM X PLG</v>
          </cell>
          <cell r="AB7" t="str">
            <v>PLG</v>
          </cell>
          <cell r="AC7" t="str">
            <v>JAM X PLG</v>
          </cell>
          <cell r="AF7" t="str">
            <v>PLG</v>
          </cell>
          <cell r="AG7" t="str">
            <v>JAM X PLG</v>
          </cell>
          <cell r="AJ7" t="str">
            <v>PLG</v>
          </cell>
          <cell r="AK7" t="str">
            <v>JAM X PLG</v>
          </cell>
          <cell r="AN7" t="str">
            <v>PLG</v>
          </cell>
          <cell r="AO7" t="str">
            <v>JAM X PLG</v>
          </cell>
          <cell r="AR7" t="str">
            <v>PLG</v>
          </cell>
          <cell r="AS7" t="str">
            <v>JAM X PLG</v>
          </cell>
          <cell r="AV7" t="str">
            <v>PLG</v>
          </cell>
          <cell r="AW7" t="str">
            <v>JAM X PLG</v>
          </cell>
          <cell r="AZ7" t="str">
            <v>PLG</v>
          </cell>
          <cell r="BA7" t="str">
            <v>JAM X PLG</v>
          </cell>
        </row>
        <row r="8">
          <cell r="D8" t="str">
            <v>PADAM</v>
          </cell>
          <cell r="E8" t="str">
            <v>PADAM</v>
          </cell>
          <cell r="F8" t="str">
            <v>SAIDI</v>
          </cell>
          <cell r="G8" t="str">
            <v>SAIFI</v>
          </cell>
          <cell r="H8" t="str">
            <v>PADAM</v>
          </cell>
          <cell r="I8" t="str">
            <v>PADAM</v>
          </cell>
          <cell r="J8" t="str">
            <v>SAIDI</v>
          </cell>
          <cell r="K8" t="str">
            <v>SAIFI</v>
          </cell>
          <cell r="L8" t="str">
            <v>PADAM</v>
          </cell>
          <cell r="M8" t="str">
            <v>PADAM</v>
          </cell>
          <cell r="N8" t="str">
            <v>SAIDI</v>
          </cell>
          <cell r="O8" t="str">
            <v>SAIFI</v>
          </cell>
          <cell r="P8" t="str">
            <v>PADAM</v>
          </cell>
          <cell r="Q8" t="str">
            <v>PADAM</v>
          </cell>
          <cell r="R8" t="str">
            <v>SAIDI</v>
          </cell>
          <cell r="S8" t="str">
            <v>SAIFI</v>
          </cell>
          <cell r="T8" t="str">
            <v>PADAM</v>
          </cell>
          <cell r="U8" t="str">
            <v>PADAM</v>
          </cell>
          <cell r="V8" t="str">
            <v>SAIDI</v>
          </cell>
          <cell r="W8" t="str">
            <v>SAIFI</v>
          </cell>
          <cell r="X8" t="str">
            <v>PADAM</v>
          </cell>
          <cell r="Y8" t="str">
            <v>PADAM</v>
          </cell>
          <cell r="Z8" t="str">
            <v>SAIDI</v>
          </cell>
          <cell r="AA8" t="str">
            <v>SAIFI</v>
          </cell>
          <cell r="AB8" t="str">
            <v>PADAM</v>
          </cell>
          <cell r="AC8" t="str">
            <v>PADAM</v>
          </cell>
          <cell r="AD8" t="str">
            <v>SAIDI</v>
          </cell>
          <cell r="AE8" t="str">
            <v>SAIFI</v>
          </cell>
          <cell r="AF8" t="str">
            <v>PADAM</v>
          </cell>
          <cell r="AG8" t="str">
            <v>PADAM</v>
          </cell>
          <cell r="AH8" t="str">
            <v>SAIDI</v>
          </cell>
          <cell r="AI8" t="str">
            <v>SAIFI</v>
          </cell>
          <cell r="AJ8" t="str">
            <v>PADAM</v>
          </cell>
          <cell r="AK8" t="str">
            <v>PADAM</v>
          </cell>
          <cell r="AL8" t="str">
            <v>SAIDI</v>
          </cell>
          <cell r="AM8" t="str">
            <v>SAIFI</v>
          </cell>
          <cell r="AN8" t="str">
            <v>PADAM</v>
          </cell>
          <cell r="AO8" t="str">
            <v>PADAM</v>
          </cell>
          <cell r="AP8" t="str">
            <v>SAIDI</v>
          </cell>
          <cell r="AQ8" t="str">
            <v>SAIFI</v>
          </cell>
          <cell r="AR8" t="str">
            <v>PADAM</v>
          </cell>
          <cell r="AS8" t="str">
            <v>PADAM</v>
          </cell>
          <cell r="AT8" t="str">
            <v>SAIDI</v>
          </cell>
          <cell r="AU8" t="str">
            <v>SAIFI</v>
          </cell>
          <cell r="AV8" t="str">
            <v>PADAM</v>
          </cell>
          <cell r="AW8" t="str">
            <v>PADAM</v>
          </cell>
          <cell r="AX8" t="str">
            <v>SAIDI</v>
          </cell>
          <cell r="AY8" t="str">
            <v>SAIFI</v>
          </cell>
          <cell r="AZ8" t="str">
            <v>PADAM</v>
          </cell>
          <cell r="BA8" t="str">
            <v>PADAM</v>
          </cell>
          <cell r="BB8" t="str">
            <v>SAIDI</v>
          </cell>
          <cell r="BC8" t="str">
            <v>SAIFI</v>
          </cell>
        </row>
        <row r="10">
          <cell r="A10" t="str">
            <v>I</v>
          </cell>
          <cell r="C10" t="str">
            <v>PEMADAMAN KARENA GANGGUAN</v>
          </cell>
        </row>
        <row r="12">
          <cell r="A12">
            <v>1</v>
          </cell>
          <cell r="C12" t="str">
            <v>Kelompok Samb. Tenaga listrik &amp; APP</v>
          </cell>
          <cell r="D12">
            <v>12</v>
          </cell>
          <cell r="E12">
            <v>2.59</v>
          </cell>
          <cell r="F12">
            <v>1.2677435144395495E-3</v>
          </cell>
          <cell r="G12">
            <v>5.8737151248164461E-3</v>
          </cell>
          <cell r="H12">
            <v>18</v>
          </cell>
          <cell r="I12">
            <v>29.580000000000002</v>
          </cell>
          <cell r="J12">
            <v>1.4072312083729782E-2</v>
          </cell>
          <cell r="K12">
            <v>8.5632730732635581E-3</v>
          </cell>
          <cell r="L12">
            <v>18</v>
          </cell>
          <cell r="M12">
            <v>29.585000000000001</v>
          </cell>
          <cell r="N12">
            <v>1.3922352941176471E-2</v>
          </cell>
          <cell r="O12">
            <v>8.4705882352941169E-3</v>
          </cell>
          <cell r="P12">
            <v>7</v>
          </cell>
          <cell r="Q12">
            <v>1.67</v>
          </cell>
          <cell r="R12">
            <v>7.8477443609022558E-4</v>
          </cell>
          <cell r="S12">
            <v>3.2894736842105261E-3</v>
          </cell>
          <cell r="T12">
            <v>12</v>
          </cell>
          <cell r="U12">
            <v>28.42</v>
          </cell>
          <cell r="V12">
            <v>1.3355263157894738E-2</v>
          </cell>
          <cell r="W12">
            <v>5.6390977443609019E-3</v>
          </cell>
          <cell r="X12">
            <v>16</v>
          </cell>
          <cell r="Y12">
            <v>35.92</v>
          </cell>
          <cell r="Z12">
            <v>1.6871770784405826E-2</v>
          </cell>
          <cell r="AA12">
            <v>7.5152653828088308E-3</v>
          </cell>
          <cell r="AB12">
            <v>15</v>
          </cell>
          <cell r="AC12">
            <v>31.42</v>
          </cell>
          <cell r="AD12">
            <v>1.4758102395490842E-2</v>
          </cell>
          <cell r="AE12">
            <v>7.0455612963832787E-3</v>
          </cell>
          <cell r="AF12">
            <v>5</v>
          </cell>
          <cell r="AG12">
            <v>2.41</v>
          </cell>
          <cell r="AH12">
            <v>1.1319868482855802E-3</v>
          </cell>
          <cell r="AI12">
            <v>2.3485204321277596E-3</v>
          </cell>
          <cell r="AJ12">
            <v>4</v>
          </cell>
          <cell r="AK12">
            <v>2.08</v>
          </cell>
          <cell r="AL12">
            <v>9.7652582159624417E-4</v>
          </cell>
          <cell r="AM12">
            <v>1.8779342723004694E-3</v>
          </cell>
          <cell r="AN12">
            <v>7</v>
          </cell>
          <cell r="AO12">
            <v>14.12</v>
          </cell>
          <cell r="AP12">
            <v>6.6291079812206572E-3</v>
          </cell>
          <cell r="AQ12">
            <v>3.2863849765258214E-3</v>
          </cell>
          <cell r="AR12">
            <v>6</v>
          </cell>
          <cell r="AS12">
            <v>1.92</v>
          </cell>
          <cell r="AT12">
            <v>9.0014064697609001E-4</v>
          </cell>
          <cell r="AU12">
            <v>2.8129395218002813E-3</v>
          </cell>
          <cell r="AV12">
            <v>260</v>
          </cell>
          <cell r="AW12">
            <v>877.32999999999993</v>
          </cell>
          <cell r="AX12">
            <v>0.41131270511017343</v>
          </cell>
          <cell r="AY12">
            <v>0.12189404594467886</v>
          </cell>
          <cell r="AZ12">
            <v>380</v>
          </cell>
          <cell r="BA12">
            <v>1057.0449999999998</v>
          </cell>
          <cell r="BB12">
            <v>0.49556727613689633</v>
          </cell>
          <cell r="BC12">
            <v>0.17815283638068449</v>
          </cell>
        </row>
        <row r="13">
          <cell r="A13">
            <v>2</v>
          </cell>
          <cell r="C13" t="str">
            <v>Kelompok JTR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</row>
        <row r="14">
          <cell r="A14">
            <v>3</v>
          </cell>
          <cell r="C14" t="str">
            <v>Kelompok Trafo &amp; Gardu Dist.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</row>
        <row r="15">
          <cell r="A15">
            <v>4</v>
          </cell>
          <cell r="C15" t="str">
            <v>Kelompok Tiang TR &amp; TM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</row>
        <row r="16">
          <cell r="A16">
            <v>5</v>
          </cell>
          <cell r="C16" t="str">
            <v>Kelompok SUTM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</row>
        <row r="17">
          <cell r="A17">
            <v>6</v>
          </cell>
          <cell r="C17" t="str">
            <v>Kelompok SKTM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</row>
        <row r="18">
          <cell r="A18">
            <v>7</v>
          </cell>
          <cell r="C18" t="str">
            <v>Kelompok Transmisi &amp; Gardu Induk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</row>
        <row r="19">
          <cell r="A19">
            <v>8</v>
          </cell>
          <cell r="C19" t="str">
            <v>Kelompok Pusat Sumber Tenaga</v>
          </cell>
          <cell r="D19">
            <v>927</v>
          </cell>
          <cell r="E19">
            <v>745.31</v>
          </cell>
          <cell r="F19">
            <v>0.36481155163974543</v>
          </cell>
          <cell r="G19">
            <v>0.45374449339207046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927</v>
          </cell>
          <cell r="BA19">
            <v>745.31</v>
          </cell>
          <cell r="BB19">
            <v>0.34941865916549458</v>
          </cell>
          <cell r="BC19">
            <v>0.43459915611814348</v>
          </cell>
          <cell r="BI19" t="str">
            <v>Saidi :</v>
          </cell>
          <cell r="BJ19">
            <v>0.36607929515418497</v>
          </cell>
          <cell r="BP19" t="str">
            <v>Saidi :</v>
          </cell>
          <cell r="BQ19">
            <v>1.4072312083729782E-2</v>
          </cell>
          <cell r="BW19" t="str">
            <v>Saidi :</v>
          </cell>
          <cell r="BX19">
            <v>1.3922352941176471E-2</v>
          </cell>
          <cell r="CD19" t="str">
            <v>Saidi :</v>
          </cell>
          <cell r="CE19">
            <v>0.73592105263157892</v>
          </cell>
        </row>
        <row r="20">
          <cell r="A20">
            <v>9</v>
          </cell>
          <cell r="C20" t="str">
            <v>Kelompok Bencana Alam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</row>
        <row r="22">
          <cell r="C22" t="str">
            <v>JUMLAH  I</v>
          </cell>
          <cell r="D22">
            <v>939</v>
          </cell>
          <cell r="E22">
            <v>747.9</v>
          </cell>
          <cell r="F22">
            <v>0.36607929515418497</v>
          </cell>
          <cell r="G22">
            <v>0.45961820851688689</v>
          </cell>
          <cell r="H22">
            <v>18</v>
          </cell>
          <cell r="I22">
            <v>29.580000000000002</v>
          </cell>
          <cell r="J22">
            <v>1.4072312083729782E-2</v>
          </cell>
          <cell r="K22">
            <v>8.5632730732635581E-3</v>
          </cell>
          <cell r="L22">
            <v>18</v>
          </cell>
          <cell r="M22">
            <v>29.585000000000001</v>
          </cell>
          <cell r="N22">
            <v>1.3922352941176471E-2</v>
          </cell>
          <cell r="O22">
            <v>8.4705882352941169E-3</v>
          </cell>
          <cell r="P22">
            <v>7</v>
          </cell>
          <cell r="Q22">
            <v>1.67</v>
          </cell>
          <cell r="R22">
            <v>7.8477443609022558E-4</v>
          </cell>
          <cell r="S22">
            <v>3.2894736842105261E-3</v>
          </cell>
          <cell r="T22">
            <v>12</v>
          </cell>
          <cell r="U22">
            <v>28.42</v>
          </cell>
          <cell r="V22">
            <v>1.3355263157894738E-2</v>
          </cell>
          <cell r="W22">
            <v>5.6390977443609019E-3</v>
          </cell>
          <cell r="X22">
            <v>16</v>
          </cell>
          <cell r="Y22">
            <v>35.92</v>
          </cell>
          <cell r="Z22">
            <v>1.6871770784405826E-2</v>
          </cell>
          <cell r="AA22">
            <v>7.5152653828088308E-3</v>
          </cell>
          <cell r="AB22">
            <v>15</v>
          </cell>
          <cell r="AC22">
            <v>31.42</v>
          </cell>
          <cell r="AD22">
            <v>1.4758102395490842E-2</v>
          </cell>
          <cell r="AE22">
            <v>7.0455612963832787E-3</v>
          </cell>
          <cell r="AF22">
            <v>5</v>
          </cell>
          <cell r="AG22">
            <v>2.41</v>
          </cell>
          <cell r="AH22">
            <v>1.1319868482855802E-3</v>
          </cell>
          <cell r="AI22">
            <v>2.3485204321277596E-3</v>
          </cell>
          <cell r="AJ22">
            <v>4</v>
          </cell>
          <cell r="AK22">
            <v>2.08</v>
          </cell>
          <cell r="AL22">
            <v>9.7652582159624417E-4</v>
          </cell>
          <cell r="AM22">
            <v>1.8779342723004694E-3</v>
          </cell>
          <cell r="AN22">
            <v>7</v>
          </cell>
          <cell r="AO22">
            <v>14.12</v>
          </cell>
          <cell r="AP22">
            <v>6.6291079812206572E-3</v>
          </cell>
          <cell r="AQ22">
            <v>3.2863849765258214E-3</v>
          </cell>
          <cell r="AR22">
            <v>6</v>
          </cell>
          <cell r="AS22">
            <v>1.92</v>
          </cell>
          <cell r="AT22">
            <v>9.0014064697609001E-4</v>
          </cell>
          <cell r="AU22">
            <v>2.8129395218002813E-3</v>
          </cell>
          <cell r="AV22">
            <v>260</v>
          </cell>
          <cell r="AW22">
            <v>877.32999999999993</v>
          </cell>
          <cell r="AX22">
            <v>0.41131270511017343</v>
          </cell>
          <cell r="AY22">
            <v>0.12189404594467886</v>
          </cell>
          <cell r="AZ22">
            <v>1307</v>
          </cell>
          <cell r="BA22">
            <v>1802.3549999999998</v>
          </cell>
          <cell r="BB22">
            <v>0.84498593530239097</v>
          </cell>
          <cell r="BC22">
            <v>0.61275199249882795</v>
          </cell>
        </row>
        <row r="24">
          <cell r="A24" t="str">
            <v>II</v>
          </cell>
          <cell r="C24" t="str">
            <v>PEMADAMAN TERENCANA</v>
          </cell>
        </row>
        <row r="26">
          <cell r="A26" t="str">
            <v>II.1.</v>
          </cell>
          <cell r="C26" t="str">
            <v>Kelompok Distribusi :</v>
          </cell>
        </row>
        <row r="27">
          <cell r="C27" t="str">
            <v>Karena Pembangunan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</row>
        <row r="28">
          <cell r="C28" t="str">
            <v>Karena Pemeliharaan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109</v>
          </cell>
          <cell r="Q28">
            <v>1564.37</v>
          </cell>
          <cell r="R28">
            <v>0.73513627819548866</v>
          </cell>
          <cell r="S28">
            <v>5.1221804511278196E-2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1</v>
          </cell>
          <cell r="AC28">
            <v>4</v>
          </cell>
          <cell r="AD28">
            <v>1.8788163457022077E-3</v>
          </cell>
          <cell r="AE28">
            <v>4.6970408642555192E-4</v>
          </cell>
          <cell r="AF28">
            <v>1</v>
          </cell>
          <cell r="AG28">
            <v>4</v>
          </cell>
          <cell r="AH28">
            <v>1.8788163457022077E-3</v>
          </cell>
          <cell r="AI28">
            <v>4.6970408642555192E-4</v>
          </cell>
          <cell r="AJ28">
            <v>1</v>
          </cell>
          <cell r="AK28">
            <v>4</v>
          </cell>
          <cell r="AL28">
            <v>1.8779342723004694E-3</v>
          </cell>
          <cell r="AM28">
            <v>4.6948356807511736E-4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112</v>
          </cell>
          <cell r="BA28">
            <v>1576.37</v>
          </cell>
          <cell r="BB28">
            <v>0.73903891233005148</v>
          </cell>
          <cell r="BC28">
            <v>5.2508204406938583E-2</v>
          </cell>
        </row>
        <row r="29">
          <cell r="C29" t="str">
            <v>Karena Pelaksanaan PTM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</row>
        <row r="30">
          <cell r="C30" t="str">
            <v>Karena Pelaksanaan PTR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</row>
        <row r="31">
          <cell r="C31" t="str">
            <v>Karena Pelaksanaan Rehabilitasi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</row>
        <row r="32">
          <cell r="C32" t="str">
            <v>Karena Pelebaran Jalan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</row>
        <row r="33">
          <cell r="BI33" t="str">
            <v>Saidi :</v>
          </cell>
          <cell r="BJ33">
            <v>1.3355263157894738E-2</v>
          </cell>
          <cell r="BP33" t="str">
            <v>Saidi :</v>
          </cell>
          <cell r="BQ33">
            <v>1.6871770784405826E-2</v>
          </cell>
          <cell r="BW33" t="str">
            <v>Saidi :</v>
          </cell>
          <cell r="BX33">
            <v>7.5152653828088308E-3</v>
          </cell>
          <cell r="CD33" t="str">
            <v>Saidi :</v>
          </cell>
          <cell r="CE33">
            <v>3.0108031939877879E-3</v>
          </cell>
        </row>
        <row r="34">
          <cell r="C34" t="str">
            <v>JUMLAH  II.1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109</v>
          </cell>
          <cell r="Q34">
            <v>1564.37</v>
          </cell>
          <cell r="R34">
            <v>0.73513627819548866</v>
          </cell>
          <cell r="S34">
            <v>5.1221804511278196E-2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1</v>
          </cell>
          <cell r="AC34">
            <v>4</v>
          </cell>
          <cell r="AD34">
            <v>1.8788163457022077E-3</v>
          </cell>
          <cell r="AE34">
            <v>4.6970408642555192E-4</v>
          </cell>
          <cell r="AF34">
            <v>1</v>
          </cell>
          <cell r="AG34">
            <v>4</v>
          </cell>
          <cell r="AH34">
            <v>1.8788163457022077E-3</v>
          </cell>
          <cell r="AI34">
            <v>4.6970408642555192E-4</v>
          </cell>
          <cell r="AJ34">
            <v>1</v>
          </cell>
          <cell r="AK34">
            <v>4</v>
          </cell>
          <cell r="AL34">
            <v>1.8779342723004694E-3</v>
          </cell>
          <cell r="AM34">
            <v>4.6948356807511736E-4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112</v>
          </cell>
          <cell r="BA34">
            <v>1576.37</v>
          </cell>
          <cell r="BB34">
            <v>0.73903891233005148</v>
          </cell>
          <cell r="BC34">
            <v>5.2508204406938583E-2</v>
          </cell>
        </row>
        <row r="36">
          <cell r="A36" t="str">
            <v>II.2</v>
          </cell>
          <cell r="C36" t="str">
            <v>Kelompok Pembangkitan  :</v>
          </cell>
        </row>
        <row r="37">
          <cell r="C37" t="str">
            <v>Karena Cadangan Daya Kurang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</row>
        <row r="39">
          <cell r="C39" t="str">
            <v>JUMLAH  II.2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</row>
        <row r="41">
          <cell r="C41" t="str">
            <v>JUMLAH  II ( II.1 + II.2 )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109</v>
          </cell>
          <cell r="Q41">
            <v>1564.37</v>
          </cell>
          <cell r="R41">
            <v>0.73513627819548866</v>
          </cell>
          <cell r="S41">
            <v>5.1221804511278196E-2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1</v>
          </cell>
          <cell r="AC41">
            <v>4</v>
          </cell>
          <cell r="AD41">
            <v>1.8788163457022077E-3</v>
          </cell>
          <cell r="AE41">
            <v>4.6970408642555192E-4</v>
          </cell>
          <cell r="AF41">
            <v>1</v>
          </cell>
          <cell r="AG41">
            <v>4</v>
          </cell>
          <cell r="AH41">
            <v>1.8788163457022077E-3</v>
          </cell>
          <cell r="AI41">
            <v>4.6970408642555192E-4</v>
          </cell>
          <cell r="AJ41">
            <v>1</v>
          </cell>
          <cell r="AK41">
            <v>4</v>
          </cell>
          <cell r="AL41">
            <v>1.8779342723004694E-3</v>
          </cell>
          <cell r="AM41">
            <v>4.6948356807511736E-4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112</v>
          </cell>
          <cell r="BA41">
            <v>1576.37</v>
          </cell>
          <cell r="BB41">
            <v>0.73903891233005148</v>
          </cell>
          <cell r="BC41">
            <v>5.2508204406938583E-2</v>
          </cell>
        </row>
        <row r="43">
          <cell r="C43" t="str">
            <v>JUMLAH  ( I + II )</v>
          </cell>
          <cell r="D43">
            <v>939</v>
          </cell>
          <cell r="E43">
            <v>747.9</v>
          </cell>
          <cell r="F43">
            <v>0.36607929515418497</v>
          </cell>
          <cell r="G43">
            <v>0.45961820851688689</v>
          </cell>
          <cell r="H43">
            <v>18</v>
          </cell>
          <cell r="I43">
            <v>29.580000000000002</v>
          </cell>
          <cell r="J43">
            <v>1.4072312083729782E-2</v>
          </cell>
          <cell r="K43">
            <v>8.5632730732635581E-3</v>
          </cell>
          <cell r="L43">
            <v>18</v>
          </cell>
          <cell r="M43">
            <v>29.585000000000001</v>
          </cell>
          <cell r="N43">
            <v>1.3922352941176471E-2</v>
          </cell>
          <cell r="O43">
            <v>8.4705882352941169E-3</v>
          </cell>
          <cell r="P43">
            <v>116</v>
          </cell>
          <cell r="Q43">
            <v>1566.04</v>
          </cell>
          <cell r="R43">
            <v>0.73592105263157892</v>
          </cell>
          <cell r="S43">
            <v>5.4511278195488719E-2</v>
          </cell>
          <cell r="T43">
            <v>12</v>
          </cell>
          <cell r="U43">
            <v>28.42</v>
          </cell>
          <cell r="V43">
            <v>1.3355263157894738E-2</v>
          </cell>
          <cell r="W43">
            <v>5.6390977443609019E-3</v>
          </cell>
          <cell r="X43">
            <v>16</v>
          </cell>
          <cell r="Y43">
            <v>35.92</v>
          </cell>
          <cell r="Z43">
            <v>1.6871770784405826E-2</v>
          </cell>
          <cell r="AA43">
            <v>7.5152653828088308E-3</v>
          </cell>
          <cell r="AB43">
            <v>16</v>
          </cell>
          <cell r="AC43">
            <v>35.42</v>
          </cell>
          <cell r="AD43">
            <v>1.6636918741193048E-2</v>
          </cell>
          <cell r="AE43">
            <v>7.5152653828088308E-3</v>
          </cell>
          <cell r="AF43">
            <v>6</v>
          </cell>
          <cell r="AG43">
            <v>6.41</v>
          </cell>
          <cell r="AH43">
            <v>3.0108031939877879E-3</v>
          </cell>
          <cell r="AI43">
            <v>2.8182245185533117E-3</v>
          </cell>
          <cell r="AJ43">
            <v>5</v>
          </cell>
          <cell r="AK43">
            <v>6.08</v>
          </cell>
          <cell r="AL43">
            <v>2.8544600938967138E-3</v>
          </cell>
          <cell r="AM43">
            <v>2.3474178403755869E-3</v>
          </cell>
          <cell r="AN43">
            <v>7</v>
          </cell>
          <cell r="AO43">
            <v>14.12</v>
          </cell>
          <cell r="AP43">
            <v>6.6291079812206572E-3</v>
          </cell>
          <cell r="AQ43">
            <v>3.2863849765258214E-3</v>
          </cell>
          <cell r="AR43">
            <v>6</v>
          </cell>
          <cell r="AS43">
            <v>1.92</v>
          </cell>
          <cell r="AT43">
            <v>9.0014064697609001E-4</v>
          </cell>
          <cell r="AU43">
            <v>2.8129395218002813E-3</v>
          </cell>
          <cell r="AV43">
            <v>260</v>
          </cell>
          <cell r="AW43">
            <v>877.32999999999993</v>
          </cell>
          <cell r="AX43">
            <v>0.41131270511017343</v>
          </cell>
          <cell r="AY43">
            <v>0.12189404594467886</v>
          </cell>
          <cell r="AZ43">
            <v>1419</v>
          </cell>
          <cell r="BA43">
            <v>3378.7249999999995</v>
          </cell>
          <cell r="BB43">
            <v>1.5840248476324423</v>
          </cell>
          <cell r="BC43">
            <v>0.66526019690576654</v>
          </cell>
        </row>
        <row r="46">
          <cell r="G46">
            <v>2043</v>
          </cell>
          <cell r="K46">
            <v>2102</v>
          </cell>
          <cell r="O46">
            <v>2125</v>
          </cell>
          <cell r="S46">
            <v>2128</v>
          </cell>
          <cell r="W46">
            <v>2128</v>
          </cell>
          <cell r="AA46">
            <v>2129</v>
          </cell>
          <cell r="AE46">
            <v>2129</v>
          </cell>
          <cell r="AI46">
            <v>2129</v>
          </cell>
          <cell r="AM46">
            <v>2130</v>
          </cell>
          <cell r="AQ46">
            <v>2130</v>
          </cell>
          <cell r="AU46">
            <v>2133</v>
          </cell>
          <cell r="AY46">
            <v>2133</v>
          </cell>
          <cell r="BC46">
            <v>2133</v>
          </cell>
        </row>
        <row r="47">
          <cell r="BH47" t="str">
            <v>Saidi :</v>
          </cell>
          <cell r="BI47">
            <v>2.8544600938967138E-3</v>
          </cell>
          <cell r="BO47" t="str">
            <v>Saidi :</v>
          </cell>
          <cell r="BP47">
            <v>6.6291079812206572E-3</v>
          </cell>
          <cell r="BV47" t="str">
            <v>Saidi :</v>
          </cell>
          <cell r="BW47">
            <v>9.0014064697609001E-4</v>
          </cell>
          <cell r="CC47" t="str">
            <v>Saidi :</v>
          </cell>
          <cell r="CD47">
            <v>0.41131270511017343</v>
          </cell>
        </row>
        <row r="50">
          <cell r="BE50" t="str">
            <v>ANGKA  SAIFI  NANGA BULIK</v>
          </cell>
        </row>
        <row r="51">
          <cell r="BE51" t="str">
            <v>JANUARI  S/D DESEMBER  2007</v>
          </cell>
        </row>
        <row r="65">
          <cell r="BI65" t="str">
            <v>Saifi :</v>
          </cell>
          <cell r="BJ65">
            <v>0.45961820851688689</v>
          </cell>
          <cell r="BP65" t="str">
            <v>Saifi :</v>
          </cell>
          <cell r="BQ65">
            <v>8.5632730732635581E-3</v>
          </cell>
          <cell r="BW65" t="str">
            <v>Saifi :</v>
          </cell>
          <cell r="BX65">
            <v>8.4705882352941169E-3</v>
          </cell>
          <cell r="CD65" t="str">
            <v>Saifi :</v>
          </cell>
          <cell r="CE65">
            <v>5.4511278195488719E-2</v>
          </cell>
        </row>
        <row r="79">
          <cell r="BI79" t="str">
            <v>Saifi :</v>
          </cell>
          <cell r="BJ79">
            <v>5.6390977443609019E-3</v>
          </cell>
          <cell r="BP79" t="str">
            <v>Saifi :</v>
          </cell>
          <cell r="BQ79">
            <v>7.5152653828088308E-3</v>
          </cell>
          <cell r="BW79" t="str">
            <v>Saifi :</v>
          </cell>
          <cell r="BX79">
            <v>7.5152653828088308E-3</v>
          </cell>
          <cell r="CD79" t="str">
            <v>Saifi :</v>
          </cell>
          <cell r="CE79">
            <v>2.8182245185533117E-3</v>
          </cell>
        </row>
        <row r="93">
          <cell r="BI93" t="str">
            <v>Saifi :</v>
          </cell>
          <cell r="BJ93">
            <v>2.3474178403755869E-3</v>
          </cell>
          <cell r="BP93" t="str">
            <v>Saifi :</v>
          </cell>
          <cell r="BQ93">
            <v>3.2863849765258214E-3</v>
          </cell>
          <cell r="BW93" t="str">
            <v>Saifi :</v>
          </cell>
          <cell r="BX93">
            <v>2.8129395218002813E-3</v>
          </cell>
          <cell r="CD93" t="str">
            <v>Saifi :</v>
          </cell>
          <cell r="CE93">
            <v>0.12189404594467886</v>
          </cell>
        </row>
        <row r="95">
          <cell r="BE95" t="str">
            <v>ANGKA  SAIDI &amp; SAIFI KOMULATIF  NANGA BULIK</v>
          </cell>
        </row>
        <row r="96">
          <cell r="BE96" t="str">
            <v>JANUARI  S/D DESEMBER  2007</v>
          </cell>
        </row>
        <row r="121">
          <cell r="BN121" t="str">
            <v>Saidi :</v>
          </cell>
          <cell r="BO121">
            <v>1.5840248476324423</v>
          </cell>
          <cell r="CB121" t="str">
            <v>Saifi :</v>
          </cell>
          <cell r="CC121">
            <v>0.66526019690576654</v>
          </cell>
        </row>
      </sheetData>
      <sheetData sheetId="9">
        <row r="4">
          <cell r="BE4" t="str">
            <v>ANGKA  SAIDI  CABANG PALANGKA RAYA</v>
          </cell>
        </row>
      </sheetData>
      <sheetData sheetId="10"/>
      <sheetData sheetId="11"/>
      <sheetData sheetId="12"/>
      <sheetData sheetId="13">
        <row r="4">
          <cell r="CM4" t="str">
            <v>TARGET SAIDI &amp; SAIFI TAHUN 2007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bay"/>
      <sheetName val="sept 01-07"/>
      <sheetName val="sept"/>
    </sheetNames>
    <sheetDataSet>
      <sheetData sheetId="0" refreshError="1"/>
      <sheetData sheetId="1"/>
      <sheetData sheetId="2" refreshError="1">
        <row r="68">
          <cell r="I68">
            <v>58.13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DAFISI"/>
      <sheetName val="Jelas"/>
      <sheetName val="Neraca"/>
      <sheetName val="LR"/>
      <sheetName val="LR_F"/>
      <sheetName val="Arus_Kas"/>
      <sheetName val="RE"/>
      <sheetName val="Cat"/>
      <sheetName val="BukuBesar"/>
      <sheetName val="L1_1"/>
      <sheetName val="L1_2"/>
      <sheetName val="L1_3"/>
      <sheetName val="L1_4"/>
      <sheetName val="L1_5"/>
      <sheetName val="L1_6"/>
      <sheetName val="L1_7"/>
      <sheetName val="L1_8"/>
      <sheetName val="L1_9"/>
      <sheetName val="L2_1"/>
      <sheetName val="L2_2"/>
      <sheetName val="L2_3"/>
      <sheetName val="L2_4"/>
      <sheetName val="L_2_4b"/>
      <sheetName val="L2_5"/>
      <sheetName val="L2_6"/>
      <sheetName val="L3_1"/>
      <sheetName val="L3_2"/>
      <sheetName val="L3_3"/>
      <sheetName val="L3_4"/>
      <sheetName val="L3_5"/>
      <sheetName val="L_4"/>
      <sheetName val="L_4_1"/>
      <sheetName val="L_5"/>
      <sheetName val="L_6"/>
      <sheetName val="L_7"/>
      <sheetName val="L_8a"/>
      <sheetName val="L_8b"/>
      <sheetName val="L_9"/>
      <sheetName val="L_10"/>
      <sheetName val="L_11"/>
      <sheetName val="L_12"/>
      <sheetName val="L_13"/>
      <sheetName val="L_14"/>
      <sheetName val="L_14b"/>
      <sheetName val="L_15"/>
      <sheetName val="L_16"/>
      <sheetName val="L_17"/>
      <sheetName val="L_18"/>
      <sheetName val="L_19"/>
      <sheetName val="L_20_1"/>
      <sheetName val="L_20_2"/>
      <sheetName val="L_21"/>
      <sheetName val="L_22"/>
      <sheetName val="L_23"/>
      <sheetName val="L_24"/>
      <sheetName val="L_25"/>
      <sheetName val="L_26"/>
      <sheetName val="L_27"/>
      <sheetName val="L_27_1"/>
      <sheetName val="L_27_2"/>
      <sheetName val="L_28a"/>
      <sheetName val="L_28b"/>
      <sheetName val="L_28c"/>
      <sheetName val="L_29"/>
      <sheetName val="GABUNGAN"/>
      <sheetName val="Sheet1"/>
      <sheetName val="Sheet2"/>
      <sheetName val="Sheet3"/>
      <sheetName val="000"/>
      <sheetName val="100"/>
      <sheetName val="001"/>
      <sheetName val="BB2000"/>
      <sheetName val="LK2001"/>
      <sheetName val="KK2000"/>
      <sheetName val="CF2000"/>
      <sheetName val="BB2001"/>
      <sheetName val="KK2001"/>
      <sheetName val="CF2001"/>
      <sheetName val="CFAnggaran"/>
      <sheetName val="SPDana"/>
      <sheetName val="CFLK2001"/>
      <sheetName val="UshDebtw101"/>
      <sheetName val="UshDeb00"/>
      <sheetName val="UshDeb03001"/>
      <sheetName val="General"/>
      <sheetName val="Neraca Changes"/>
      <sheetName val="Laba Rugi Changes"/>
      <sheetName val="Investasi Changes"/>
      <sheetName val="Cover"/>
      <sheetName val="Daftar Isi"/>
      <sheetName val="Asumsi"/>
      <sheetName val="PTKU"/>
      <sheetName val="LabaRugi Unsur"/>
      <sheetName val="LabaRugi Fungsi"/>
      <sheetName val="Penjelas"/>
      <sheetName val="JualGTarif(11A)"/>
      <sheetName val="PendOpLain(11B)"/>
      <sheetName val="IkhtisarBiop(12.0)"/>
      <sheetName val="PembelianiTL(12A1"/>
      <sheetName val="SewaPemb(12A2)"/>
      <sheetName val="BBMJenis(12B1)"/>
      <sheetName val="ProduksiTL(12B2)"/>
      <sheetName val="HarMat(12C1)"/>
      <sheetName val="HarJabor(12C2)"/>
      <sheetName val="BBaku(12C3)"/>
      <sheetName val="BPeg-F(12D1)"/>
      <sheetName val="Bipeg-U(12D2)"/>
      <sheetName val="BOLain(12E1)"/>
      <sheetName val="BOLain(12E2)"/>
      <sheetName val="PendaLuOp(13)"/>
      <sheetName val="BiLuOp(14)"/>
      <sheetName val="BiPinjamin(15)"/>
      <sheetName val="PenjTL(18)"/>
      <sheetName val="LabaRugi Lainnya 2005(20)"/>
      <sheetName val="LabaRugi Unsur2004(21A)"/>
      <sheetName val="LabaRugi Fungsi2004(21B)"/>
      <sheetName val="L"/>
      <sheetName val="TUL III-09"/>
      <sheetName val="FAKTORMWHJUAL (2)"/>
      <sheetName val="FAKTORMWHJUAL"/>
      <sheetName val="Submission Form"/>
      <sheetName val="Feuil2"/>
      <sheetName val="XL4Test5"/>
      <sheetName val="ANALISABBM"/>
      <sheetName val="NR"/>
      <sheetName val="CF"/>
      <sheetName val="PSO2005"/>
      <sheetName val="PENJ2005"/>
      <sheetName val="HPP"/>
      <sheetName val="KOKIN"/>
      <sheetName val="K2004"/>
      <sheetName val="SALDO KAS"/>
      <sheetName val="SBDN"/>
      <sheetName val="PEREK"/>
      <sheetName val="PSO2004"/>
      <sheetName val="INV-T"/>
      <sheetName val="datNR"/>
      <sheetName val="BBM"/>
      <sheetName val="datLR"/>
      <sheetName val="PENJ2004"/>
      <sheetName val="L6"/>
      <sheetName val="L6l"/>
      <sheetName val="IPP VOLUME"/>
      <sheetName val="HPP04"/>
      <sheetName val="STAT"/>
      <sheetName val="PPSUB"/>
      <sheetName val="SUBhpp"/>
      <sheetName val="LRA"/>
      <sheetName val="NRA"/>
      <sheetName val="LRA1"/>
      <sheetName val="LRU05"/>
      <sheetName val="LRU04"/>
      <sheetName val="LRBACEH"/>
      <sheetName val="Lamp"/>
      <sheetName val="LISWAS"/>
      <sheetName val="PenBP"/>
      <sheetName val="PSUSUT"/>
      <sheetName val="BDOP5"/>
      <sheetName val="ad51"/>
      <sheetName val="ad52"/>
      <sheetName val="SewD"/>
      <sheetName val="LMNR"/>
      <sheetName val="JKP"/>
      <sheetName val="AKT"/>
      <sheetName val="LM1NR"/>
      <sheetName val="NRU"/>
      <sheetName val="DRNRU"/>
      <sheetName val="datBAB"/>
      <sheetName val="FUNGSI"/>
      <sheetName val="Rp.kWh"/>
      <sheetName val="L1"/>
      <sheetName val="L2"/>
      <sheetName val="L3"/>
      <sheetName val="Pembelian"/>
      <sheetName val="L5"/>
      <sheetName val="L7"/>
      <sheetName val="L8"/>
      <sheetName val="L9"/>
      <sheetName val="Resume"/>
      <sheetName val="ONK"/>
      <sheetName val="PembelianL"/>
      <sheetName val="SewaDL"/>
      <sheetName val="PENDAPATAN"/>
      <sheetName val="HAR"/>
      <sheetName val="HRT1"/>
      <sheetName val="L11PEG"/>
      <sheetName val="PEG"/>
      <sheetName val="datPEG"/>
      <sheetName val="L12ADM"/>
      <sheetName val="ADM"/>
      <sheetName val="ADM05"/>
      <sheetName val="BDOP"/>
      <sheetName val="BDOP1"/>
      <sheetName val="datBDOP"/>
      <sheetName val="DLOP"/>
      <sheetName val="DLOP1"/>
      <sheetName val="L21"/>
      <sheetName val="INF-UN"/>
      <sheetName val="Piutang"/>
      <sheetName val="datpen"/>
      <sheetName val="L4"/>
      <sheetName val="DATAVARIABEL"/>
      <sheetName val="KINERJA"/>
      <sheetName val="LABARUGI"/>
      <sheetName val="SPDN"/>
      <sheetName val="CASHFLOW"/>
      <sheetName val="PEREQ"/>
      <sheetName val="PPem"/>
      <sheetName val="LRANG"/>
      <sheetName val="NRANG"/>
      <sheetName val="ROE"/>
      <sheetName val="PenTL"/>
      <sheetName val="PenGol"/>
      <sheetName val="SalesUnit"/>
      <sheetName val="KVAGOL"/>
      <sheetName val="PendBP"/>
      <sheetName val="Ongkos Angkut"/>
      <sheetName val="Pendukung"/>
      <sheetName val="OIL"/>
      <sheetName val="AOHAR"/>
      <sheetName val="POLain"/>
      <sheetName val="Dana"/>
      <sheetName val="CFBulanan"/>
      <sheetName val="Inv-SD"/>
      <sheetName val="INVES-F"/>
      <sheetName val="NRCunit2004"/>
      <sheetName val="LRUnit2004"/>
      <sheetName val="BiAdm"/>
      <sheetName val="adm_dat"/>
      <sheetName val="SewaD"/>
      <sheetName val="DEPRES"/>
      <sheetName val="Revaldll"/>
      <sheetName val="BAB Lainnya"/>
      <sheetName val="LISWAS4"/>
      <sheetName val="CashBudget"/>
      <sheetName val="DataLR"/>
      <sheetName val="DataNRC"/>
      <sheetName val="F-KIT"/>
      <sheetName val="F-DIST"/>
      <sheetName val="RISD"/>
      <sheetName val="pelanggan"/>
      <sheetName val="investasi"/>
      <sheetName val="sfc&amp;hrgbbm"/>
      <sheetName val="biayabbm"/>
      <sheetName val="PRODUKSI"/>
      <sheetName val="penjualantl"/>
      <sheetName val="ekuitas"/>
      <sheetName val="neracatlub"/>
      <sheetName val="neracatl"/>
      <sheetName val="lkbiayabbm"/>
      <sheetName val="pinjaman"/>
      <sheetName val="W-NAD"/>
      <sheetName val="W-SU"/>
      <sheetName val="W-SB"/>
      <sheetName val="W-R"/>
      <sheetName val="W-SJB"/>
      <sheetName val="W-L"/>
      <sheetName val="W-BB"/>
      <sheetName val="W-KB"/>
      <sheetName val="W-KST"/>
      <sheetName val="W-KT"/>
      <sheetName val="W-SUT"/>
      <sheetName val="W-SSR"/>
      <sheetName val="W-M"/>
      <sheetName val="W-P"/>
      <sheetName val="W-NTB"/>
      <sheetName val="W-NTT"/>
      <sheetName val="D-B"/>
      <sheetName val="D-JTM"/>
      <sheetName val="D-JTG"/>
      <sheetName val="D-JBB"/>
      <sheetName val="D-JRT"/>
      <sheetName val="K-SBU"/>
      <sheetName val="K-SBS"/>
      <sheetName val="P3B-J"/>
      <sheetName val="P3B-S"/>
      <sheetName val="JPP"/>
      <sheetName val="JE"/>
      <sheetName val="JP"/>
      <sheetName val="JMK"/>
      <sheetName val="JS"/>
      <sheetName val="PP"/>
      <sheetName val="KP"/>
      <sheetName val="P-SA"/>
      <sheetName val="P-SSR"/>
      <sheetName val="P-JBN"/>
      <sheetName val="P-S"/>
      <sheetName val="P-K"/>
      <sheetName val="K-TJ"/>
      <sheetName val="K-MTR"/>
      <sheetName val="K-CLG"/>
      <sheetName val="PJB"/>
      <sheetName val="IP"/>
      <sheetName val="BTM"/>
      <sheetName val="ICP"/>
      <sheetName val="PLN E"/>
      <sheetName val="PLN TRK"/>
      <sheetName val="REK WIL"/>
      <sheetName val="REK DIS"/>
      <sheetName val="REK KP"/>
      <sheetName val="REK JP"/>
      <sheetName val="REK PIK"/>
      <sheetName val="REK AP"/>
      <sheetName val="REKAP"/>
      <sheetName val="REKAP UNIT 1"/>
      <sheetName val="RIP 1"/>
      <sheetName val="RKAI 1"/>
      <sheetName val="RISD 1"/>
      <sheetName val="RIP"/>
      <sheetName val="RKAI"/>
      <sheetName val="DAF PROY"/>
      <sheetName val="Laba Rugi"/>
      <sheetName val="00000000"/>
      <sheetName val="By Non HPP"/>
      <sheetName val="Beban-Usaha"/>
      <sheetName val="LK2004"/>
      <sheetName val="DPN"/>
      <sheetName val="AT 2004"/>
      <sheetName val="Biaya&amp;NrcKWh"/>
      <sheetName val="NE"/>
      <sheetName val="Perhit.HPP"/>
      <sheetName val="GambarB"/>
      <sheetName val="Subsidi"/>
      <sheetName val="Cair Subs"/>
      <sheetName val="000001"/>
      <sheetName val="W1"/>
      <sheetName val="W2"/>
      <sheetName val="W3"/>
      <sheetName val="W4"/>
      <sheetName val="W5"/>
      <sheetName val="W6"/>
      <sheetName val="W7"/>
      <sheetName val="W8"/>
      <sheetName val="W9"/>
      <sheetName val="W10"/>
      <sheetName val="w11"/>
      <sheetName val="batam"/>
      <sheetName val="kitut"/>
      <sheetName val="kitsel"/>
      <sheetName val="GABWIL"/>
      <sheetName val="JATIM"/>
      <sheetName val="JATENG"/>
      <sheetName val="JABAR"/>
      <sheetName val="dki"/>
      <sheetName val="P3B"/>
      <sheetName val="BENGKEL"/>
      <sheetName val="GABDIS"/>
      <sheetName val="DKP"/>
      <sheetName val="LMK"/>
      <sheetName val="JASDIK"/>
      <sheetName val="PPE"/>
      <sheetName val="pusat"/>
      <sheetName val="PENGUS"/>
      <sheetName val="DAK"/>
      <sheetName val="HOLDING"/>
      <sheetName val="PJB1"/>
      <sheetName val="PJB2"/>
      <sheetName val="ANAK"/>
      <sheetName val="KONSOLIDA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k"/>
      <sheetName val="asumsi"/>
      <sheetName val="Assumptions"/>
      <sheetName val="Assumptions (2)"/>
      <sheetName val="Hist"/>
      <sheetName val="CAPEX"/>
      <sheetName val="Energy_Prices"/>
      <sheetName val="Misc"/>
      <sheetName val="B"/>
      <sheetName val="C"/>
      <sheetName val="SubL"/>
      <sheetName val="BPP PLN (1)"/>
      <sheetName val="D"/>
      <sheetName val="E"/>
      <sheetName val="Funding"/>
      <sheetName val="Cashflow"/>
      <sheetName val="F"/>
      <sheetName val="G"/>
      <sheetName val="H"/>
      <sheetName val="I"/>
      <sheetName val="J-IGNORE"/>
      <sheetName val="K"/>
      <sheetName val="L"/>
      <sheetName val="M-IGNORE"/>
      <sheetName val="CPdebt- IGNORE"/>
      <sheetName val="Debcap - IGNORE"/>
      <sheetName val="HPP-IGNORE"/>
      <sheetName val="Subs-60kWh-IGNORE"/>
      <sheetName val="Rekap HPP &amp; Subs-IGNORE"/>
      <sheetName val="Tarif 60 kwh-IGNORE"/>
      <sheetName val="L_23"/>
      <sheetName val="UshDeb00"/>
    </sheetNames>
    <sheetDataSet>
      <sheetData sheetId="0" refreshError="1"/>
      <sheetData sheetId="1" refreshError="1"/>
      <sheetData sheetId="2" refreshError="1"/>
      <sheetData sheetId="3" refreshError="1">
        <row r="3">
          <cell r="C3" t="str">
            <v>Unit</v>
          </cell>
          <cell r="D3" t="str">
            <v>2006E</v>
          </cell>
          <cell r="E3" t="str">
            <v>2007E</v>
          </cell>
          <cell r="F3" t="str">
            <v>2008E</v>
          </cell>
          <cell r="G3" t="str">
            <v>2009E</v>
          </cell>
          <cell r="H3" t="str">
            <v>2010E</v>
          </cell>
        </row>
        <row r="4">
          <cell r="B4" t="str">
            <v>Macroeconomic assumptions</v>
          </cell>
        </row>
        <row r="5">
          <cell r="B5" t="str">
            <v xml:space="preserve">   GDP growth</v>
          </cell>
          <cell r="C5" t="str">
            <v>%</v>
          </cell>
          <cell r="D5">
            <v>5.8999999999999997E-2</v>
          </cell>
          <cell r="E5">
            <v>6.4000000000000001E-2</v>
          </cell>
          <cell r="F5">
            <v>7.0000000000000007E-2</v>
          </cell>
          <cell r="G5">
            <v>7.5999999999999998E-2</v>
          </cell>
          <cell r="H5">
            <v>7.0999999999999994E-2</v>
          </cell>
        </row>
        <row r="6">
          <cell r="B6" t="str">
            <v xml:space="preserve">   Population growth</v>
          </cell>
          <cell r="C6" t="str">
            <v>%</v>
          </cell>
          <cell r="D6">
            <v>1.3999999999999999E-2</v>
          </cell>
          <cell r="E6">
            <v>1.3999999999999999E-2</v>
          </cell>
          <cell r="F6">
            <v>1.3999999999999999E-2</v>
          </cell>
          <cell r="G6">
            <v>1.3000000000000001E-2</v>
          </cell>
          <cell r="H6">
            <v>1.3000000000000001E-2</v>
          </cell>
        </row>
        <row r="7">
          <cell r="B7" t="str">
            <v xml:space="preserve">   Inflation rate</v>
          </cell>
        </row>
        <row r="8">
          <cell r="B8" t="str">
            <v xml:space="preserve">     Local (Rp)</v>
          </cell>
          <cell r="C8" t="str">
            <v>%</v>
          </cell>
          <cell r="D8">
            <v>8</v>
          </cell>
          <cell r="E8">
            <v>7</v>
          </cell>
          <cell r="F8">
            <v>7</v>
          </cell>
          <cell r="G8">
            <v>7</v>
          </cell>
          <cell r="H8">
            <v>7</v>
          </cell>
        </row>
        <row r="9">
          <cell r="B9" t="str">
            <v xml:space="preserve">     Foreign (US$)</v>
          </cell>
          <cell r="C9" t="str">
            <v>%</v>
          </cell>
          <cell r="D9">
            <v>2.5</v>
          </cell>
          <cell r="E9">
            <v>2.5</v>
          </cell>
          <cell r="F9">
            <v>2.5</v>
          </cell>
          <cell r="G9">
            <v>2.5</v>
          </cell>
          <cell r="H9">
            <v>2.5</v>
          </cell>
        </row>
        <row r="10">
          <cell r="B10" t="str">
            <v xml:space="preserve">   Exchange rate</v>
          </cell>
          <cell r="C10" t="str">
            <v>Rp/USD</v>
          </cell>
          <cell r="D10">
            <v>9000</v>
          </cell>
          <cell r="E10">
            <v>9395.1219512195148</v>
          </cell>
          <cell r="F10">
            <v>9807.5907198096429</v>
          </cell>
          <cell r="G10">
            <v>10238.167873362265</v>
          </cell>
          <cell r="H10">
            <v>10687.648414144025</v>
          </cell>
        </row>
        <row r="12">
          <cell r="B12" t="str">
            <v>Industry assumptions</v>
          </cell>
        </row>
        <row r="13">
          <cell r="B13" t="str">
            <v xml:space="preserve">   Total generation capacity</v>
          </cell>
          <cell r="C13" t="str">
            <v>MW</v>
          </cell>
        </row>
        <row r="14">
          <cell r="B14" t="str">
            <v xml:space="preserve">   Electricity demand growth</v>
          </cell>
          <cell r="C14" t="str">
            <v>%</v>
          </cell>
          <cell r="D14">
            <v>7.6150627615062749E-2</v>
          </cell>
          <cell r="E14">
            <v>8.3981337480560025E-2</v>
          </cell>
          <cell r="F14">
            <v>8.1779053084648501E-2</v>
          </cell>
          <cell r="G14">
            <v>7.7586206896551602E-2</v>
          </cell>
          <cell r="H14">
            <v>7.8153846153840023E-2</v>
          </cell>
        </row>
        <row r="15">
          <cell r="B15" t="str">
            <v xml:space="preserve">   Electrification ratio</v>
          </cell>
          <cell r="C15" t="str">
            <v>%</v>
          </cell>
        </row>
        <row r="16">
          <cell r="B16" t="str">
            <v xml:space="preserve">   Reserve margin</v>
          </cell>
          <cell r="C16" t="str">
            <v>%</v>
          </cell>
          <cell r="D16">
            <v>0.42</v>
          </cell>
          <cell r="E16">
            <v>0.34</v>
          </cell>
          <cell r="F16">
            <v>0.32</v>
          </cell>
          <cell r="G16">
            <v>0.32</v>
          </cell>
          <cell r="H16">
            <v>0.33</v>
          </cell>
        </row>
        <row r="18">
          <cell r="B18" t="str">
            <v>PLN</v>
          </cell>
        </row>
        <row r="19">
          <cell r="B19" t="str">
            <v>Energy Sales</v>
          </cell>
        </row>
        <row r="20">
          <cell r="B20" t="str">
            <v xml:space="preserve">   Total PLN power production</v>
          </cell>
          <cell r="C20" t="str">
            <v>GWh</v>
          </cell>
          <cell r="D20">
            <v>97685.747899844879</v>
          </cell>
          <cell r="E20">
            <v>100591.44907642042</v>
          </cell>
          <cell r="F20">
            <v>106612.11117952113</v>
          </cell>
          <cell r="G20">
            <v>116701.1532231405</v>
          </cell>
          <cell r="H20">
            <v>128833.4955849015</v>
          </cell>
        </row>
        <row r="21">
          <cell r="B21" t="str">
            <v xml:space="preserve">   Total IPP power production</v>
          </cell>
          <cell r="C21" t="str">
            <v>GWh</v>
          </cell>
          <cell r="D21">
            <v>27549.055999999997</v>
          </cell>
          <cell r="E21">
            <v>30390.940999999999</v>
          </cell>
          <cell r="F21">
            <v>34160.26</v>
          </cell>
          <cell r="G21">
            <v>35249.259999999995</v>
          </cell>
          <cell r="H21">
            <v>35249.259999999995</v>
          </cell>
        </row>
        <row r="22">
          <cell r="B22" t="str">
            <v xml:space="preserve">   Own-station usage</v>
          </cell>
          <cell r="C22" t="str">
            <v>%</v>
          </cell>
          <cell r="D22">
            <v>4.28</v>
          </cell>
          <cell r="E22">
            <v>4</v>
          </cell>
          <cell r="F22">
            <v>4</v>
          </cell>
          <cell r="G22">
            <v>4</v>
          </cell>
          <cell r="H22">
            <v>4</v>
          </cell>
        </row>
        <row r="23">
          <cell r="B23" t="str">
            <v xml:space="preserve">   Network losses</v>
          </cell>
          <cell r="C23" t="str">
            <v>%</v>
          </cell>
          <cell r="D23">
            <v>9.74</v>
          </cell>
          <cell r="E23">
            <v>9.7100000000000009</v>
          </cell>
          <cell r="F23">
            <v>9.3699999999999992</v>
          </cell>
          <cell r="G23">
            <v>9.25</v>
          </cell>
          <cell r="H23">
            <v>9.1300000000000008</v>
          </cell>
        </row>
        <row r="24">
          <cell r="B24" t="str">
            <v>Total energy sales revenue</v>
          </cell>
          <cell r="C24" t="str">
            <v>Rp Bn</v>
          </cell>
          <cell r="D24">
            <v>69969.494372905261</v>
          </cell>
          <cell r="E24">
            <v>73702.124800000005</v>
          </cell>
          <cell r="F24">
            <v>79509.102400000003</v>
          </cell>
          <cell r="G24">
            <v>85936.164000000004</v>
          </cell>
          <cell r="H24">
            <v>92920.366399999999</v>
          </cell>
        </row>
        <row r="26">
          <cell r="B26" t="str">
            <v>Average Tariff</v>
          </cell>
          <cell r="C26" t="str">
            <v>Rp/kWh</v>
          </cell>
          <cell r="D26">
            <v>618.99674643426954</v>
          </cell>
          <cell r="E26">
            <v>623.20000000000005</v>
          </cell>
          <cell r="F26">
            <v>623.20000000000005</v>
          </cell>
          <cell r="G26">
            <v>623.20000000000005</v>
          </cell>
          <cell r="H26">
            <v>623.20000000000005</v>
          </cell>
        </row>
        <row r="27">
          <cell r="B27" t="str">
            <v>Government subsidies</v>
          </cell>
          <cell r="C27" t="str">
            <v>Rp Bn</v>
          </cell>
          <cell r="D27">
            <v>35510</v>
          </cell>
          <cell r="E27">
            <v>37209.746528000003</v>
          </cell>
          <cell r="F27">
            <v>31162.607112010999</v>
          </cell>
          <cell r="G27">
            <v>22311.17681470927</v>
          </cell>
          <cell r="H27">
            <v>33840.932268969147</v>
          </cell>
        </row>
        <row r="29">
          <cell r="B29" t="str">
            <v>Number of customers</v>
          </cell>
        </row>
        <row r="30">
          <cell r="B30" t="str">
            <v>Households</v>
          </cell>
          <cell r="C30" t="str">
            <v>000s</v>
          </cell>
          <cell r="D30">
            <v>33309.33</v>
          </cell>
          <cell r="E30">
            <v>34710.467000000004</v>
          </cell>
          <cell r="F30">
            <v>36154.17</v>
          </cell>
          <cell r="G30">
            <v>37639.824999999997</v>
          </cell>
          <cell r="H30">
            <v>39169.803</v>
          </cell>
        </row>
        <row r="31">
          <cell r="B31" t="str">
            <v>Businesses</v>
          </cell>
          <cell r="C31" t="str">
            <v>000s</v>
          </cell>
          <cell r="D31">
            <v>1472.951</v>
          </cell>
          <cell r="E31">
            <v>1548.664</v>
          </cell>
          <cell r="F31">
            <v>1628.829</v>
          </cell>
          <cell r="G31">
            <v>1713.6010000000001</v>
          </cell>
          <cell r="H31">
            <v>1803.297</v>
          </cell>
        </row>
        <row r="32">
          <cell r="B32" t="str">
            <v>Public</v>
          </cell>
          <cell r="C32" t="str">
            <v>000s</v>
          </cell>
          <cell r="D32">
            <v>886.61699999999996</v>
          </cell>
          <cell r="E32">
            <v>921.70699999999999</v>
          </cell>
          <cell r="F32">
            <v>963.04700000000003</v>
          </cell>
          <cell r="G32">
            <v>1005.6600000000001</v>
          </cell>
          <cell r="H32">
            <v>1049.6100000000001</v>
          </cell>
        </row>
        <row r="33">
          <cell r="B33" t="str">
            <v>Industries</v>
          </cell>
          <cell r="C33" t="str">
            <v>000s</v>
          </cell>
          <cell r="D33">
            <v>57.069000000000003</v>
          </cell>
          <cell r="E33">
            <v>60.588000000000001</v>
          </cell>
          <cell r="F33">
            <v>64.314000000000007</v>
          </cell>
          <cell r="G33">
            <v>68.260000000000005</v>
          </cell>
          <cell r="H33">
            <v>72.44</v>
          </cell>
        </row>
        <row r="35">
          <cell r="B35" t="str">
            <v>Growth of customers</v>
          </cell>
        </row>
        <row r="36">
          <cell r="B36" t="str">
            <v>Households</v>
          </cell>
          <cell r="C36" t="str">
            <v>(%)</v>
          </cell>
          <cell r="D36">
            <v>4.2436565316802621</v>
          </cell>
          <cell r="E36">
            <v>4.2064400574854055</v>
          </cell>
          <cell r="F36">
            <v>4.1592727634577553</v>
          </cell>
          <cell r="G36">
            <v>4.1092217025034738</v>
          </cell>
          <cell r="H36">
            <v>4.0647851046066386</v>
          </cell>
        </row>
        <row r="37">
          <cell r="B37" t="str">
            <v>Businesses</v>
          </cell>
          <cell r="C37" t="str">
            <v>(%)</v>
          </cell>
          <cell r="D37">
            <v>5.1044800401879309</v>
          </cell>
          <cell r="E37">
            <v>5.1402253028104861</v>
          </cell>
          <cell r="F37">
            <v>5.1763972042999651</v>
          </cell>
          <cell r="G37">
            <v>5.2044751167863668</v>
          </cell>
          <cell r="H37">
            <v>5.2343573562340318</v>
          </cell>
        </row>
        <row r="38">
          <cell r="B38" t="str">
            <v>Public</v>
          </cell>
          <cell r="C38" t="str">
            <v>(%)</v>
          </cell>
          <cell r="D38">
            <v>4.5469874630920559</v>
          </cell>
          <cell r="E38">
            <v>3.9577404899748148</v>
          </cell>
          <cell r="F38">
            <v>4.4851563457801724</v>
          </cell>
          <cell r="G38">
            <v>4.4248100040807925</v>
          </cell>
          <cell r="H38">
            <v>4.3702643040391509</v>
          </cell>
        </row>
        <row r="39">
          <cell r="B39" t="str">
            <v>Industries</v>
          </cell>
          <cell r="C39" t="str">
            <v>(%)</v>
          </cell>
          <cell r="D39">
            <v>6.1827856956796712</v>
          </cell>
          <cell r="E39">
            <v>6.1662198391420953</v>
          </cell>
          <cell r="F39">
            <v>6.149732620320858</v>
          </cell>
          <cell r="G39">
            <v>6.1355225922816059</v>
          </cell>
          <cell r="H39">
            <v>6.1236448871960114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 (2)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IAN"/>
      <sheetName val="BUKAS"/>
      <sheetName val="hal1"/>
      <sheetName val="hal2"/>
      <sheetName val="LUMSUM"/>
      <sheetName val="P1"/>
      <sheetName val="P2"/>
      <sheetName val="P3"/>
      <sheetName val="P4"/>
      <sheetName val="P5"/>
      <sheetName val="BIAYA"/>
      <sheetName val="DAFPEG"/>
      <sheetName val="PEG"/>
      <sheetName val="trbl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NRCPTK01"/>
      <sheetName val="NRCKTP01"/>
      <sheetName val="NRCPTS01"/>
      <sheetName val="NRCSKW01"/>
      <sheetName val="NRCSGU01"/>
      <sheetName val="NRC-STG"/>
      <sheetName val="NRCSBS01"/>
    </sheetNames>
    <sheetDataSet>
      <sheetData sheetId="0" refreshError="1"/>
      <sheetData sheetId="1" refreshError="1">
        <row r="4">
          <cell r="A4" t="str">
            <v>NERACA DAYA SISTEM PONTIANAK</v>
          </cell>
        </row>
        <row r="5">
          <cell r="A5" t="str">
            <v xml:space="preserve">UNTUK TAHUN  2002 </v>
          </cell>
        </row>
        <row r="7">
          <cell r="A7" t="str">
            <v>NO</v>
          </cell>
          <cell r="B7" t="str">
            <v>MESIN</v>
          </cell>
          <cell r="C7" t="str">
            <v xml:space="preserve">DAYA </v>
          </cell>
          <cell r="D7" t="str">
            <v>DAYA</v>
          </cell>
          <cell r="E7" t="str">
            <v>TAHUN  2001</v>
          </cell>
          <cell r="Q7" t="str">
            <v>TAHUN  2002</v>
          </cell>
        </row>
        <row r="8">
          <cell r="C8" t="str">
            <v>TERPASANG</v>
          </cell>
          <cell r="D8" t="str">
            <v>MAMPU</v>
          </cell>
          <cell r="E8" t="str">
            <v>JAN</v>
          </cell>
          <cell r="F8" t="str">
            <v>FEB</v>
          </cell>
          <cell r="G8" t="str">
            <v>MAR</v>
          </cell>
          <cell r="H8" t="str">
            <v>APR</v>
          </cell>
          <cell r="I8" t="str">
            <v>MEI</v>
          </cell>
          <cell r="J8" t="str">
            <v>JUN</v>
          </cell>
          <cell r="K8" t="str">
            <v>JUL</v>
          </cell>
          <cell r="L8" t="str">
            <v>AGU</v>
          </cell>
          <cell r="M8" t="str">
            <v>SEP</v>
          </cell>
          <cell r="N8" t="str">
            <v>OKT</v>
          </cell>
          <cell r="O8" t="str">
            <v>NOP</v>
          </cell>
          <cell r="P8" t="str">
            <v>DES</v>
          </cell>
          <cell r="Q8" t="str">
            <v>JAN</v>
          </cell>
          <cell r="R8" t="str">
            <v>FEB</v>
          </cell>
          <cell r="S8" t="str">
            <v>MAR</v>
          </cell>
          <cell r="T8" t="str">
            <v>APR</v>
          </cell>
          <cell r="U8" t="str">
            <v>MEI</v>
          </cell>
          <cell r="V8" t="str">
            <v>JUN</v>
          </cell>
          <cell r="W8" t="str">
            <v>JUL</v>
          </cell>
          <cell r="X8" t="str">
            <v>AGU</v>
          </cell>
          <cell r="Y8" t="str">
            <v>SEP</v>
          </cell>
          <cell r="Z8" t="str">
            <v>OKT</v>
          </cell>
          <cell r="AA8" t="str">
            <v>NOP</v>
          </cell>
          <cell r="AB8" t="str">
            <v>DES</v>
          </cell>
        </row>
        <row r="9">
          <cell r="B9" t="str">
            <v>PLTD SIANTAN</v>
          </cell>
          <cell r="C9" t="str">
            <v/>
          </cell>
          <cell r="D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P9" t="str">
            <v/>
          </cell>
          <cell r="Q9" t="str">
            <v/>
          </cell>
          <cell r="R9" t="str">
            <v/>
          </cell>
          <cell r="S9" t="str">
            <v/>
          </cell>
          <cell r="T9" t="str">
            <v/>
          </cell>
          <cell r="U9" t="str">
            <v/>
          </cell>
          <cell r="V9" t="str">
            <v/>
          </cell>
          <cell r="W9" t="str">
            <v/>
          </cell>
          <cell r="X9" t="str">
            <v/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</row>
        <row r="10">
          <cell r="A10" t="str">
            <v>1</v>
          </cell>
          <cell r="B10" t="str">
            <v>S W D  I</v>
          </cell>
          <cell r="C10">
            <v>4000</v>
          </cell>
          <cell r="D10">
            <v>3000</v>
          </cell>
          <cell r="E10">
            <v>2500</v>
          </cell>
          <cell r="F10">
            <v>2500</v>
          </cell>
          <cell r="G10">
            <v>2500</v>
          </cell>
          <cell r="H10">
            <v>2600</v>
          </cell>
          <cell r="I10">
            <v>2600</v>
          </cell>
          <cell r="J10">
            <v>2600</v>
          </cell>
          <cell r="K10">
            <v>2600</v>
          </cell>
          <cell r="L10">
            <v>2600</v>
          </cell>
          <cell r="M10">
            <v>2600</v>
          </cell>
          <cell r="N10" t="str">
            <v>TO/EFI</v>
          </cell>
          <cell r="O10">
            <v>3000</v>
          </cell>
          <cell r="P10">
            <v>3000</v>
          </cell>
          <cell r="Q10">
            <v>3000</v>
          </cell>
          <cell r="R10">
            <v>3000</v>
          </cell>
          <cell r="S10">
            <v>3000</v>
          </cell>
          <cell r="T10">
            <v>3000</v>
          </cell>
          <cell r="U10">
            <v>3000</v>
          </cell>
          <cell r="V10">
            <v>3000</v>
          </cell>
          <cell r="W10">
            <v>3000</v>
          </cell>
          <cell r="X10">
            <v>3000</v>
          </cell>
          <cell r="Y10" t="str">
            <v>SO</v>
          </cell>
          <cell r="Z10">
            <v>3000</v>
          </cell>
          <cell r="AA10">
            <v>3000</v>
          </cell>
          <cell r="AB10">
            <v>3000</v>
          </cell>
        </row>
        <row r="11">
          <cell r="A11" t="str">
            <v>2</v>
          </cell>
          <cell r="B11" t="str">
            <v>S W D  II</v>
          </cell>
          <cell r="C11">
            <v>4000</v>
          </cell>
          <cell r="D11">
            <v>0</v>
          </cell>
          <cell r="E11" t="str">
            <v>RUSAK (REHAB/EFI)</v>
          </cell>
          <cell r="Q11" t="str">
            <v>RUSAK</v>
          </cell>
          <cell r="U11">
            <v>3000</v>
          </cell>
          <cell r="V11">
            <v>3000</v>
          </cell>
          <cell r="W11">
            <v>3000</v>
          </cell>
          <cell r="X11">
            <v>3000</v>
          </cell>
          <cell r="Y11">
            <v>3000</v>
          </cell>
          <cell r="Z11">
            <v>3000</v>
          </cell>
          <cell r="AA11">
            <v>3000</v>
          </cell>
          <cell r="AB11">
            <v>3000</v>
          </cell>
        </row>
        <row r="12">
          <cell r="A12" t="str">
            <v>3</v>
          </cell>
          <cell r="B12" t="str">
            <v>S W D  III</v>
          </cell>
          <cell r="C12">
            <v>4000</v>
          </cell>
          <cell r="D12">
            <v>3000</v>
          </cell>
          <cell r="E12">
            <v>2600</v>
          </cell>
          <cell r="F12">
            <v>2600</v>
          </cell>
          <cell r="G12">
            <v>2600</v>
          </cell>
          <cell r="H12" t="str">
            <v>RUSAK 2/4/01 (REHAB/EFI)</v>
          </cell>
          <cell r="M12">
            <v>3000</v>
          </cell>
          <cell r="N12">
            <v>3000</v>
          </cell>
          <cell r="O12">
            <v>3000</v>
          </cell>
          <cell r="P12">
            <v>3000</v>
          </cell>
          <cell r="Q12">
            <v>3000</v>
          </cell>
          <cell r="R12">
            <v>3000</v>
          </cell>
          <cell r="S12">
            <v>3000</v>
          </cell>
          <cell r="T12">
            <v>3000</v>
          </cell>
          <cell r="U12">
            <v>3000</v>
          </cell>
          <cell r="V12">
            <v>3000</v>
          </cell>
          <cell r="W12">
            <v>3000</v>
          </cell>
          <cell r="X12">
            <v>3000</v>
          </cell>
          <cell r="Y12">
            <v>3000</v>
          </cell>
          <cell r="Z12" t="str">
            <v>TO</v>
          </cell>
          <cell r="AA12">
            <v>3000</v>
          </cell>
          <cell r="AB12">
            <v>3000</v>
          </cell>
        </row>
        <row r="13">
          <cell r="A13" t="str">
            <v>4</v>
          </cell>
          <cell r="B13" t="str">
            <v>S W D  IV</v>
          </cell>
          <cell r="C13">
            <v>10400</v>
          </cell>
          <cell r="D13">
            <v>0</v>
          </cell>
          <cell r="E13" t="str">
            <v>RUSAK (REHAB/EFI)</v>
          </cell>
          <cell r="Q13" t="str">
            <v>EFI]</v>
          </cell>
          <cell r="R13">
            <v>8500</v>
          </cell>
          <cell r="S13">
            <v>8500</v>
          </cell>
          <cell r="T13">
            <v>8500</v>
          </cell>
          <cell r="U13">
            <v>8500</v>
          </cell>
          <cell r="V13">
            <v>8500</v>
          </cell>
          <cell r="W13">
            <v>8500</v>
          </cell>
          <cell r="X13">
            <v>8500</v>
          </cell>
          <cell r="Y13">
            <v>8500</v>
          </cell>
          <cell r="Z13">
            <v>8500</v>
          </cell>
          <cell r="AA13" t="str">
            <v>TO</v>
          </cell>
          <cell r="AB13">
            <v>8500</v>
          </cell>
        </row>
        <row r="14">
          <cell r="A14" t="str">
            <v>5</v>
          </cell>
          <cell r="B14" t="str">
            <v>SULZER I</v>
          </cell>
          <cell r="C14">
            <v>6300</v>
          </cell>
          <cell r="D14">
            <v>4500</v>
          </cell>
          <cell r="E14">
            <v>2600</v>
          </cell>
          <cell r="F14">
            <v>2600</v>
          </cell>
          <cell r="G14">
            <v>2600</v>
          </cell>
          <cell r="H14">
            <v>3500</v>
          </cell>
          <cell r="I14">
            <v>4200</v>
          </cell>
          <cell r="J14">
            <v>4500</v>
          </cell>
          <cell r="K14">
            <v>4500</v>
          </cell>
          <cell r="L14">
            <v>4500</v>
          </cell>
          <cell r="M14">
            <v>4500</v>
          </cell>
          <cell r="N14">
            <v>4500</v>
          </cell>
          <cell r="O14">
            <v>4500</v>
          </cell>
          <cell r="P14">
            <v>4500</v>
          </cell>
          <cell r="Q14">
            <v>4500</v>
          </cell>
          <cell r="R14">
            <v>4500</v>
          </cell>
          <cell r="S14" t="str">
            <v>SO</v>
          </cell>
          <cell r="T14">
            <v>5000</v>
          </cell>
          <cell r="U14">
            <v>5000</v>
          </cell>
          <cell r="V14">
            <v>5000</v>
          </cell>
          <cell r="W14">
            <v>5000</v>
          </cell>
          <cell r="X14" t="str">
            <v>MO</v>
          </cell>
          <cell r="Y14">
            <v>5000</v>
          </cell>
          <cell r="Z14">
            <v>5000</v>
          </cell>
          <cell r="AA14">
            <v>5000</v>
          </cell>
          <cell r="AB14">
            <v>5000</v>
          </cell>
        </row>
        <row r="15">
          <cell r="A15" t="str">
            <v>6</v>
          </cell>
          <cell r="B15" t="str">
            <v>SULZER II</v>
          </cell>
          <cell r="C15">
            <v>6300</v>
          </cell>
          <cell r="D15">
            <v>5500</v>
          </cell>
          <cell r="E15">
            <v>5500</v>
          </cell>
          <cell r="F15">
            <v>5500</v>
          </cell>
          <cell r="G15">
            <v>5500</v>
          </cell>
          <cell r="H15">
            <v>5500</v>
          </cell>
          <cell r="I15">
            <v>5500</v>
          </cell>
          <cell r="J15">
            <v>5500</v>
          </cell>
          <cell r="K15">
            <v>5500</v>
          </cell>
          <cell r="L15">
            <v>5500</v>
          </cell>
          <cell r="M15">
            <v>5500</v>
          </cell>
          <cell r="N15">
            <v>5500</v>
          </cell>
          <cell r="O15">
            <v>5500</v>
          </cell>
          <cell r="P15">
            <v>5500</v>
          </cell>
          <cell r="Q15">
            <v>5500</v>
          </cell>
          <cell r="R15" t="str">
            <v>TO</v>
          </cell>
          <cell r="S15">
            <v>5500</v>
          </cell>
          <cell r="T15">
            <v>5500</v>
          </cell>
          <cell r="U15">
            <v>5500</v>
          </cell>
          <cell r="V15">
            <v>5500</v>
          </cell>
          <cell r="W15" t="str">
            <v>SO</v>
          </cell>
          <cell r="X15">
            <v>5500</v>
          </cell>
          <cell r="Y15">
            <v>5500</v>
          </cell>
          <cell r="Z15">
            <v>5500</v>
          </cell>
          <cell r="AA15">
            <v>5500</v>
          </cell>
          <cell r="AB15">
            <v>5500</v>
          </cell>
        </row>
        <row r="16">
          <cell r="B16" t="str">
            <v>TOTAL SIANTAN</v>
          </cell>
          <cell r="C16">
            <v>35000</v>
          </cell>
          <cell r="D16">
            <v>16000</v>
          </cell>
          <cell r="E16">
            <v>13200</v>
          </cell>
          <cell r="F16">
            <v>13200</v>
          </cell>
          <cell r="G16">
            <v>13200</v>
          </cell>
          <cell r="H16">
            <v>11600</v>
          </cell>
          <cell r="I16">
            <v>12300</v>
          </cell>
          <cell r="J16">
            <v>12600</v>
          </cell>
          <cell r="K16">
            <v>12600</v>
          </cell>
          <cell r="L16">
            <v>12600</v>
          </cell>
          <cell r="M16">
            <v>15600</v>
          </cell>
          <cell r="N16">
            <v>13000</v>
          </cell>
          <cell r="O16">
            <v>16000</v>
          </cell>
          <cell r="P16">
            <v>16000</v>
          </cell>
          <cell r="Q16">
            <v>16000</v>
          </cell>
          <cell r="R16">
            <v>19000</v>
          </cell>
          <cell r="S16">
            <v>20000</v>
          </cell>
          <cell r="T16">
            <v>25000</v>
          </cell>
          <cell r="U16">
            <v>28000</v>
          </cell>
          <cell r="V16">
            <v>28000</v>
          </cell>
          <cell r="W16">
            <v>22500</v>
          </cell>
          <cell r="X16">
            <v>23000</v>
          </cell>
          <cell r="Y16">
            <v>25000</v>
          </cell>
          <cell r="Z16">
            <v>25000</v>
          </cell>
          <cell r="AA16">
            <v>19500</v>
          </cell>
          <cell r="AB16">
            <v>28000</v>
          </cell>
        </row>
        <row r="18">
          <cell r="B18" t="str">
            <v>PLTD RENTAL</v>
          </cell>
          <cell r="C18" t="str">
            <v>(DAYA SESUAI KONTRAK)</v>
          </cell>
        </row>
        <row r="19">
          <cell r="A19" t="str">
            <v>1</v>
          </cell>
          <cell r="B19" t="str">
            <v>PT. IND.POWER</v>
          </cell>
          <cell r="C19">
            <v>8500</v>
          </cell>
          <cell r="D19">
            <v>8500</v>
          </cell>
          <cell r="E19">
            <v>8500</v>
          </cell>
          <cell r="F19">
            <v>8500</v>
          </cell>
          <cell r="G19">
            <v>8500</v>
          </cell>
          <cell r="H19">
            <v>8500</v>
          </cell>
          <cell r="I19">
            <v>8500</v>
          </cell>
          <cell r="J19">
            <v>8500</v>
          </cell>
          <cell r="K19">
            <v>6000</v>
          </cell>
          <cell r="L19">
            <v>6000</v>
          </cell>
          <cell r="M19">
            <v>6000</v>
          </cell>
          <cell r="N19">
            <v>8500</v>
          </cell>
          <cell r="O19">
            <v>8500</v>
          </cell>
          <cell r="P19">
            <v>8500</v>
          </cell>
          <cell r="Q19">
            <v>8500</v>
          </cell>
          <cell r="R19">
            <v>8500</v>
          </cell>
          <cell r="S19">
            <v>8500</v>
          </cell>
          <cell r="T19">
            <v>8500</v>
          </cell>
          <cell r="U19">
            <v>8500</v>
          </cell>
          <cell r="V19">
            <v>8500</v>
          </cell>
          <cell r="W19">
            <v>8500</v>
          </cell>
          <cell r="X19">
            <v>8500</v>
          </cell>
          <cell r="Y19">
            <v>8500</v>
          </cell>
          <cell r="Z19">
            <v>8500</v>
          </cell>
          <cell r="AA19">
            <v>8500</v>
          </cell>
          <cell r="AB19">
            <v>8500</v>
          </cell>
        </row>
        <row r="20">
          <cell r="A20" t="str">
            <v>2</v>
          </cell>
          <cell r="B20" t="str">
            <v>PT. S.SEWATAMA</v>
          </cell>
          <cell r="C20">
            <v>10000</v>
          </cell>
          <cell r="D20">
            <v>10000</v>
          </cell>
          <cell r="E20" t="str">
            <v/>
          </cell>
          <cell r="O20">
            <v>10000</v>
          </cell>
          <cell r="P20">
            <v>10000</v>
          </cell>
          <cell r="Q20">
            <v>10000</v>
          </cell>
          <cell r="R20">
            <v>10000</v>
          </cell>
          <cell r="S20">
            <v>10000</v>
          </cell>
          <cell r="T20">
            <v>10000</v>
          </cell>
          <cell r="U20">
            <v>10000</v>
          </cell>
          <cell r="V20">
            <v>10000</v>
          </cell>
          <cell r="W20">
            <v>10000</v>
          </cell>
          <cell r="X20">
            <v>10000</v>
          </cell>
          <cell r="Y20">
            <v>10000</v>
          </cell>
          <cell r="Z20">
            <v>10000</v>
          </cell>
          <cell r="AA20">
            <v>10000</v>
          </cell>
          <cell r="AB20">
            <v>10000</v>
          </cell>
        </row>
        <row r="21">
          <cell r="B21" t="str">
            <v>TOTAL RENTAL</v>
          </cell>
          <cell r="C21">
            <v>18500</v>
          </cell>
          <cell r="D21">
            <v>18500</v>
          </cell>
          <cell r="E21">
            <v>8500</v>
          </cell>
          <cell r="F21">
            <v>8500</v>
          </cell>
          <cell r="G21">
            <v>8500</v>
          </cell>
          <cell r="H21">
            <v>8500</v>
          </cell>
          <cell r="I21">
            <v>8500</v>
          </cell>
          <cell r="J21">
            <v>8500</v>
          </cell>
          <cell r="K21">
            <v>6000</v>
          </cell>
          <cell r="L21">
            <v>6000</v>
          </cell>
          <cell r="M21">
            <v>6000</v>
          </cell>
          <cell r="N21">
            <v>8500</v>
          </cell>
          <cell r="O21">
            <v>18500</v>
          </cell>
          <cell r="P21">
            <v>18500</v>
          </cell>
          <cell r="Q21">
            <v>18500</v>
          </cell>
          <cell r="R21">
            <v>18500</v>
          </cell>
          <cell r="S21">
            <v>18500</v>
          </cell>
          <cell r="T21">
            <v>18500</v>
          </cell>
          <cell r="U21">
            <v>18500</v>
          </cell>
          <cell r="V21">
            <v>18500</v>
          </cell>
          <cell r="W21">
            <v>18500</v>
          </cell>
          <cell r="X21">
            <v>18500</v>
          </cell>
          <cell r="Y21">
            <v>18500</v>
          </cell>
          <cell r="Z21">
            <v>18500</v>
          </cell>
          <cell r="AA21">
            <v>18500</v>
          </cell>
          <cell r="AB21">
            <v>18500</v>
          </cell>
        </row>
        <row r="23">
          <cell r="A23" t="str">
            <v>1</v>
          </cell>
          <cell r="B23" t="str">
            <v>PLTG SIANTAN</v>
          </cell>
          <cell r="C23">
            <v>34000</v>
          </cell>
          <cell r="D23">
            <v>28000</v>
          </cell>
          <cell r="E23">
            <v>28000</v>
          </cell>
          <cell r="F23">
            <v>28000</v>
          </cell>
          <cell r="G23">
            <v>28000</v>
          </cell>
          <cell r="H23">
            <v>28000</v>
          </cell>
          <cell r="I23">
            <v>28000</v>
          </cell>
          <cell r="J23">
            <v>28000</v>
          </cell>
          <cell r="K23">
            <v>28000</v>
          </cell>
          <cell r="L23">
            <v>28000</v>
          </cell>
          <cell r="M23">
            <v>28000</v>
          </cell>
          <cell r="N23">
            <v>28000</v>
          </cell>
          <cell r="O23">
            <v>28000</v>
          </cell>
          <cell r="P23">
            <v>28000</v>
          </cell>
          <cell r="Q23" t="str">
            <v>CI plus</v>
          </cell>
          <cell r="R23">
            <v>28000</v>
          </cell>
          <cell r="S23">
            <v>28000</v>
          </cell>
          <cell r="T23">
            <v>28000</v>
          </cell>
          <cell r="U23">
            <v>28000</v>
          </cell>
          <cell r="V23">
            <v>28000</v>
          </cell>
          <cell r="W23">
            <v>28000</v>
          </cell>
          <cell r="X23">
            <v>28000</v>
          </cell>
          <cell r="Y23">
            <v>28000</v>
          </cell>
          <cell r="Z23">
            <v>28000</v>
          </cell>
          <cell r="AA23">
            <v>28000</v>
          </cell>
          <cell r="AB23" t="str">
            <v>MI</v>
          </cell>
        </row>
        <row r="24">
          <cell r="A24" t="str">
            <v>2</v>
          </cell>
          <cell r="B24" t="str">
            <v>RENC. RELOK. PLTG</v>
          </cell>
          <cell r="C24">
            <v>20000</v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  <cell r="V24" t="str">
            <v/>
          </cell>
          <cell r="W24" t="str">
            <v/>
          </cell>
          <cell r="X24" t="str">
            <v/>
          </cell>
          <cell r="Y24">
            <v>18000</v>
          </cell>
          <cell r="Z24">
            <v>18000</v>
          </cell>
          <cell r="AA24">
            <v>18000</v>
          </cell>
          <cell r="AB24">
            <v>18000</v>
          </cell>
        </row>
        <row r="25">
          <cell r="B25" t="str">
            <v>PLTD SEI RAYA</v>
          </cell>
          <cell r="C25" t="str">
            <v/>
          </cell>
        </row>
        <row r="26">
          <cell r="A26" t="str">
            <v>1</v>
          </cell>
          <cell r="B26" t="str">
            <v>S W D  I</v>
          </cell>
          <cell r="C26">
            <v>8800</v>
          </cell>
          <cell r="D26">
            <v>7500</v>
          </cell>
          <cell r="E26">
            <v>7000</v>
          </cell>
          <cell r="F26">
            <v>7500</v>
          </cell>
          <cell r="G26">
            <v>7500</v>
          </cell>
          <cell r="H26" t="str">
            <v>RUSAK</v>
          </cell>
          <cell r="I26">
            <v>7500</v>
          </cell>
          <cell r="J26">
            <v>7500</v>
          </cell>
          <cell r="K26" t="str">
            <v>TO/EFI</v>
          </cell>
          <cell r="L26">
            <v>7500</v>
          </cell>
          <cell r="M26">
            <v>7500</v>
          </cell>
          <cell r="N26">
            <v>7500</v>
          </cell>
          <cell r="O26">
            <v>7500</v>
          </cell>
          <cell r="P26">
            <v>7500</v>
          </cell>
          <cell r="Q26">
            <v>7500</v>
          </cell>
          <cell r="R26">
            <v>7500</v>
          </cell>
          <cell r="S26">
            <v>7500</v>
          </cell>
          <cell r="T26">
            <v>7500</v>
          </cell>
          <cell r="U26">
            <v>7500</v>
          </cell>
          <cell r="V26">
            <v>7500</v>
          </cell>
          <cell r="W26" t="str">
            <v>SO/TMC</v>
          </cell>
          <cell r="X26">
            <v>7500</v>
          </cell>
          <cell r="Y26">
            <v>7500</v>
          </cell>
          <cell r="Z26">
            <v>7500</v>
          </cell>
          <cell r="AA26">
            <v>7500</v>
          </cell>
          <cell r="AB26">
            <v>7500</v>
          </cell>
        </row>
        <row r="27">
          <cell r="A27" t="str">
            <v>2</v>
          </cell>
          <cell r="B27" t="str">
            <v>S W D  II</v>
          </cell>
          <cell r="C27">
            <v>8800</v>
          </cell>
          <cell r="D27">
            <v>7500</v>
          </cell>
          <cell r="E27">
            <v>7000</v>
          </cell>
          <cell r="F27">
            <v>7000</v>
          </cell>
          <cell r="G27">
            <v>7500</v>
          </cell>
          <cell r="H27">
            <v>7500</v>
          </cell>
          <cell r="I27" t="str">
            <v>TO/EFI</v>
          </cell>
          <cell r="J27">
            <v>7500</v>
          </cell>
          <cell r="K27">
            <v>7500</v>
          </cell>
          <cell r="L27">
            <v>7500</v>
          </cell>
          <cell r="M27">
            <v>7500</v>
          </cell>
          <cell r="N27">
            <v>7500</v>
          </cell>
          <cell r="O27">
            <v>7500</v>
          </cell>
          <cell r="P27">
            <v>7500</v>
          </cell>
          <cell r="Q27">
            <v>7500</v>
          </cell>
          <cell r="R27">
            <v>7500</v>
          </cell>
          <cell r="S27">
            <v>7500</v>
          </cell>
          <cell r="T27" t="str">
            <v>TO/TMC</v>
          </cell>
          <cell r="U27">
            <v>7500</v>
          </cell>
          <cell r="V27">
            <v>7500</v>
          </cell>
          <cell r="W27">
            <v>7500</v>
          </cell>
          <cell r="X27">
            <v>7500</v>
          </cell>
          <cell r="Y27">
            <v>7500</v>
          </cell>
          <cell r="Z27">
            <v>7500</v>
          </cell>
          <cell r="AA27">
            <v>7500</v>
          </cell>
          <cell r="AB27">
            <v>7500</v>
          </cell>
        </row>
        <row r="28">
          <cell r="A28" t="str">
            <v>3</v>
          </cell>
          <cell r="B28" t="str">
            <v>S W D  III</v>
          </cell>
          <cell r="C28">
            <v>8800</v>
          </cell>
          <cell r="D28">
            <v>7500</v>
          </cell>
          <cell r="E28">
            <v>7500</v>
          </cell>
          <cell r="F28" t="str">
            <v>RUSAK/EFI</v>
          </cell>
          <cell r="H28">
            <v>7500</v>
          </cell>
          <cell r="I28">
            <v>7500</v>
          </cell>
          <cell r="J28">
            <v>7500</v>
          </cell>
          <cell r="K28">
            <v>7500</v>
          </cell>
          <cell r="L28">
            <v>7500</v>
          </cell>
          <cell r="M28">
            <v>7500</v>
          </cell>
          <cell r="N28">
            <v>7500</v>
          </cell>
          <cell r="O28">
            <v>7500</v>
          </cell>
          <cell r="P28">
            <v>7500</v>
          </cell>
          <cell r="Q28">
            <v>7500</v>
          </cell>
          <cell r="R28">
            <v>7500</v>
          </cell>
          <cell r="S28" t="str">
            <v>TO/TMC</v>
          </cell>
          <cell r="T28">
            <v>7500</v>
          </cell>
          <cell r="U28">
            <v>7500</v>
          </cell>
          <cell r="V28">
            <v>7500</v>
          </cell>
          <cell r="W28">
            <v>7500</v>
          </cell>
          <cell r="X28">
            <v>7500</v>
          </cell>
          <cell r="Y28">
            <v>7500</v>
          </cell>
          <cell r="Z28">
            <v>7500</v>
          </cell>
          <cell r="AA28">
            <v>7500</v>
          </cell>
          <cell r="AB28">
            <v>7500</v>
          </cell>
        </row>
        <row r="29">
          <cell r="A29" t="str">
            <v>4</v>
          </cell>
          <cell r="B29" t="str">
            <v>S W D  IV</v>
          </cell>
          <cell r="C29">
            <v>8800</v>
          </cell>
          <cell r="D29">
            <v>7500</v>
          </cell>
          <cell r="E29">
            <v>7500</v>
          </cell>
          <cell r="F29">
            <v>7500</v>
          </cell>
          <cell r="G29">
            <v>7500</v>
          </cell>
          <cell r="H29">
            <v>7500</v>
          </cell>
          <cell r="I29">
            <v>7500</v>
          </cell>
          <cell r="J29">
            <v>7500</v>
          </cell>
          <cell r="K29">
            <v>7500</v>
          </cell>
          <cell r="L29">
            <v>7500</v>
          </cell>
          <cell r="M29">
            <v>7500</v>
          </cell>
          <cell r="N29">
            <v>7500</v>
          </cell>
          <cell r="O29">
            <v>7500</v>
          </cell>
          <cell r="P29">
            <v>7500</v>
          </cell>
          <cell r="Q29">
            <v>7500</v>
          </cell>
          <cell r="R29" t="str">
            <v>TO/TMC</v>
          </cell>
          <cell r="S29">
            <v>7500</v>
          </cell>
          <cell r="T29">
            <v>7500</v>
          </cell>
          <cell r="U29">
            <v>7500</v>
          </cell>
          <cell r="V29">
            <v>7500</v>
          </cell>
          <cell r="W29">
            <v>7500</v>
          </cell>
          <cell r="X29">
            <v>7500</v>
          </cell>
          <cell r="Y29">
            <v>7500</v>
          </cell>
          <cell r="Z29">
            <v>7500</v>
          </cell>
          <cell r="AA29">
            <v>7500</v>
          </cell>
          <cell r="AB29">
            <v>7500</v>
          </cell>
        </row>
        <row r="30">
          <cell r="A30" t="str">
            <v>5</v>
          </cell>
          <cell r="B30" t="str">
            <v>SULZER I</v>
          </cell>
          <cell r="C30">
            <v>7600</v>
          </cell>
          <cell r="D30">
            <v>0</v>
          </cell>
          <cell r="E30">
            <v>5000</v>
          </cell>
          <cell r="F30">
            <v>5000</v>
          </cell>
          <cell r="G30" t="str">
            <v>RUSAK COUNTER WEIGHT 15/3/01 (REHAB TMC)</v>
          </cell>
          <cell r="P30">
            <v>6500</v>
          </cell>
          <cell r="Q30">
            <v>6500</v>
          </cell>
          <cell r="R30">
            <v>6500</v>
          </cell>
          <cell r="S30">
            <v>6500</v>
          </cell>
          <cell r="T30">
            <v>6500</v>
          </cell>
          <cell r="U30">
            <v>6500</v>
          </cell>
          <cell r="V30" t="str">
            <v>TO/TMC</v>
          </cell>
          <cell r="W30">
            <v>6500</v>
          </cell>
          <cell r="X30">
            <v>6500</v>
          </cell>
          <cell r="Y30">
            <v>6500</v>
          </cell>
          <cell r="Z30">
            <v>6500</v>
          </cell>
          <cell r="AA30">
            <v>6500</v>
          </cell>
          <cell r="AB30">
            <v>6500</v>
          </cell>
        </row>
        <row r="31">
          <cell r="A31" t="str">
            <v>6</v>
          </cell>
          <cell r="B31" t="str">
            <v>SULZER II</v>
          </cell>
          <cell r="C31">
            <v>7600</v>
          </cell>
          <cell r="D31">
            <v>6500</v>
          </cell>
          <cell r="E31">
            <v>4500</v>
          </cell>
          <cell r="F31">
            <v>4500</v>
          </cell>
          <cell r="G31">
            <v>4500</v>
          </cell>
          <cell r="H31">
            <v>4500</v>
          </cell>
          <cell r="I31">
            <v>4500</v>
          </cell>
          <cell r="J31" t="str">
            <v>MO</v>
          </cell>
          <cell r="L31">
            <v>6500</v>
          </cell>
          <cell r="M31">
            <v>6500</v>
          </cell>
          <cell r="N31">
            <v>6500</v>
          </cell>
          <cell r="O31">
            <v>6500</v>
          </cell>
          <cell r="P31">
            <v>6500</v>
          </cell>
          <cell r="Q31">
            <v>6500</v>
          </cell>
          <cell r="R31">
            <v>6500</v>
          </cell>
          <cell r="S31">
            <v>6500</v>
          </cell>
          <cell r="T31">
            <v>6500</v>
          </cell>
          <cell r="U31" t="str">
            <v>TO/TMC</v>
          </cell>
          <cell r="V31">
            <v>6500</v>
          </cell>
          <cell r="W31">
            <v>6500</v>
          </cell>
          <cell r="X31">
            <v>6500</v>
          </cell>
          <cell r="Y31">
            <v>6500</v>
          </cell>
          <cell r="Z31">
            <v>6500</v>
          </cell>
          <cell r="AA31">
            <v>6500</v>
          </cell>
          <cell r="AB31">
            <v>6500</v>
          </cell>
        </row>
        <row r="32">
          <cell r="A32">
            <v>1</v>
          </cell>
          <cell r="B32" t="str">
            <v>PLTD APUNG</v>
          </cell>
          <cell r="C32">
            <v>10000</v>
          </cell>
          <cell r="D32">
            <v>8500</v>
          </cell>
          <cell r="E32" t="str">
            <v>RUSAK/GRINDING 24/8/00</v>
          </cell>
          <cell r="I32">
            <v>8500</v>
          </cell>
          <cell r="J32">
            <v>8500</v>
          </cell>
          <cell r="K32">
            <v>8500</v>
          </cell>
          <cell r="L32">
            <v>8500</v>
          </cell>
          <cell r="M32">
            <v>8500</v>
          </cell>
          <cell r="N32">
            <v>8500</v>
          </cell>
          <cell r="O32">
            <v>8500</v>
          </cell>
          <cell r="P32">
            <v>8500</v>
          </cell>
          <cell r="Q32">
            <v>8000</v>
          </cell>
          <cell r="R32">
            <v>8000</v>
          </cell>
          <cell r="S32">
            <v>8000</v>
          </cell>
          <cell r="T32">
            <v>8000</v>
          </cell>
          <cell r="U32">
            <v>8000</v>
          </cell>
          <cell r="V32">
            <v>8000</v>
          </cell>
          <cell r="W32">
            <v>8000</v>
          </cell>
          <cell r="X32">
            <v>8000</v>
          </cell>
          <cell r="Y32">
            <v>8000</v>
          </cell>
          <cell r="Z32">
            <v>8000</v>
          </cell>
          <cell r="AA32">
            <v>8000</v>
          </cell>
          <cell r="AB32">
            <v>8000</v>
          </cell>
        </row>
        <row r="33">
          <cell r="B33" t="str">
            <v>TOTAL SEI RAYA</v>
          </cell>
          <cell r="C33">
            <v>60400</v>
          </cell>
          <cell r="D33">
            <v>45000</v>
          </cell>
          <cell r="E33">
            <v>38500</v>
          </cell>
          <cell r="F33">
            <v>31500</v>
          </cell>
          <cell r="G33">
            <v>27000</v>
          </cell>
          <cell r="H33">
            <v>27000</v>
          </cell>
          <cell r="I33">
            <v>35500</v>
          </cell>
          <cell r="J33">
            <v>38500</v>
          </cell>
          <cell r="K33">
            <v>31000</v>
          </cell>
          <cell r="L33">
            <v>45000</v>
          </cell>
          <cell r="M33">
            <v>45000</v>
          </cell>
          <cell r="N33">
            <v>45000</v>
          </cell>
          <cell r="O33">
            <v>45000</v>
          </cell>
          <cell r="P33">
            <v>51500</v>
          </cell>
          <cell r="Q33">
            <v>51000</v>
          </cell>
          <cell r="R33">
            <v>43500</v>
          </cell>
          <cell r="S33">
            <v>43500</v>
          </cell>
          <cell r="T33">
            <v>43500</v>
          </cell>
          <cell r="U33">
            <v>44500</v>
          </cell>
          <cell r="V33">
            <v>44500</v>
          </cell>
          <cell r="W33">
            <v>43500</v>
          </cell>
          <cell r="X33">
            <v>51000</v>
          </cell>
          <cell r="Y33">
            <v>51000</v>
          </cell>
          <cell r="Z33">
            <v>51000</v>
          </cell>
          <cell r="AA33">
            <v>51000</v>
          </cell>
          <cell r="AB33">
            <v>51000</v>
          </cell>
        </row>
        <row r="35">
          <cell r="B35" t="str">
            <v>TOTAL SEKTOR</v>
          </cell>
          <cell r="C35">
            <v>147900</v>
          </cell>
          <cell r="D35">
            <v>107500</v>
          </cell>
          <cell r="E35">
            <v>88200</v>
          </cell>
          <cell r="F35">
            <v>81200</v>
          </cell>
          <cell r="G35">
            <v>76700</v>
          </cell>
          <cell r="H35">
            <v>75100</v>
          </cell>
          <cell r="I35">
            <v>84300</v>
          </cell>
          <cell r="J35">
            <v>87600</v>
          </cell>
          <cell r="K35">
            <v>77600</v>
          </cell>
          <cell r="L35">
            <v>91600</v>
          </cell>
          <cell r="M35">
            <v>94600</v>
          </cell>
          <cell r="N35">
            <v>94500</v>
          </cell>
          <cell r="O35">
            <v>107500</v>
          </cell>
          <cell r="P35">
            <v>114000</v>
          </cell>
          <cell r="Q35">
            <v>85500</v>
          </cell>
          <cell r="R35">
            <v>109000</v>
          </cell>
          <cell r="S35">
            <v>110000</v>
          </cell>
          <cell r="T35">
            <v>115000</v>
          </cell>
          <cell r="U35">
            <v>119000</v>
          </cell>
          <cell r="V35">
            <v>119000</v>
          </cell>
          <cell r="W35">
            <v>112500</v>
          </cell>
          <cell r="X35">
            <v>120500</v>
          </cell>
          <cell r="Y35">
            <v>140500</v>
          </cell>
          <cell r="Z35">
            <v>140500</v>
          </cell>
          <cell r="AA35">
            <v>135000</v>
          </cell>
          <cell r="AB35">
            <v>115500</v>
          </cell>
        </row>
        <row r="36">
          <cell r="B36" t="str">
            <v>PRAKIRAAN BEBAN PUNCAK SIANG</v>
          </cell>
          <cell r="E36">
            <v>64000</v>
          </cell>
          <cell r="F36">
            <v>64128</v>
          </cell>
          <cell r="G36">
            <v>64256.256000000001</v>
          </cell>
          <cell r="H36">
            <v>64384.768512000002</v>
          </cell>
          <cell r="I36">
            <v>64513.538049024006</v>
          </cell>
          <cell r="J36">
            <v>64642.565125122055</v>
          </cell>
          <cell r="K36">
            <v>64771.850255372301</v>
          </cell>
          <cell r="L36">
            <v>64901.393955883046</v>
          </cell>
          <cell r="M36">
            <v>65031.196743794811</v>
          </cell>
          <cell r="N36">
            <v>65161.259137282403</v>
          </cell>
          <cell r="O36">
            <v>65291.581655556969</v>
          </cell>
          <cell r="P36">
            <v>65422.164818868085</v>
          </cell>
          <cell r="Q36">
            <v>65553.009148505822</v>
          </cell>
          <cell r="R36">
            <v>65684.115166802832</v>
          </cell>
          <cell r="S36">
            <v>65815.483397136442</v>
          </cell>
          <cell r="T36">
            <v>65947.114363930712</v>
          </cell>
          <cell r="U36">
            <v>66079.008592658574</v>
          </cell>
          <cell r="V36">
            <v>66211.166609843887</v>
          </cell>
          <cell r="W36">
            <v>66343.588943063573</v>
          </cell>
          <cell r="X36">
            <v>66476.276120949697</v>
          </cell>
          <cell r="Y36">
            <v>66609.228673191596</v>
          </cell>
          <cell r="Z36">
            <v>66742.447130537985</v>
          </cell>
          <cell r="AA36">
            <v>66875.932024799054</v>
          </cell>
          <cell r="AB36">
            <v>67009.683888848653</v>
          </cell>
        </row>
        <row r="37">
          <cell r="B37" t="str">
            <v>PRAKIRAAN BEBAN PUNCAK MALAM</v>
          </cell>
          <cell r="E37">
            <v>84000</v>
          </cell>
          <cell r="F37">
            <v>84168</v>
          </cell>
          <cell r="G37">
            <v>84336.335999999996</v>
          </cell>
          <cell r="H37">
            <v>85000</v>
          </cell>
          <cell r="I37">
            <v>85170</v>
          </cell>
          <cell r="J37">
            <v>85340.34</v>
          </cell>
          <cell r="K37">
            <v>85511.020680000001</v>
          </cell>
          <cell r="L37">
            <v>85682.042721360005</v>
          </cell>
          <cell r="M37">
            <v>85853.406806802726</v>
          </cell>
          <cell r="N37">
            <v>87000</v>
          </cell>
          <cell r="O37">
            <v>89000</v>
          </cell>
          <cell r="P37">
            <v>94000</v>
          </cell>
          <cell r="Q37">
            <v>94188</v>
          </cell>
          <cell r="R37">
            <v>94376.376000000004</v>
          </cell>
          <cell r="S37">
            <v>94565.128752000004</v>
          </cell>
          <cell r="T37">
            <v>94754.259009504007</v>
          </cell>
          <cell r="U37">
            <v>94943.767527523014</v>
          </cell>
          <cell r="V37">
            <v>95133.655062578066</v>
          </cell>
          <cell r="W37">
            <v>95323.922372703222</v>
          </cell>
          <cell r="X37">
            <v>95514.570217448636</v>
          </cell>
          <cell r="Y37">
            <v>95705.599357883533</v>
          </cell>
          <cell r="Z37">
            <v>95897.0105565993</v>
          </cell>
          <cell r="AA37">
            <v>96088.804577712493</v>
          </cell>
          <cell r="AB37">
            <v>96280.982186867914</v>
          </cell>
        </row>
        <row r="38">
          <cell r="B38" t="str">
            <v>PEMELIHARAAN (PREVENTIF)</v>
          </cell>
          <cell r="E38">
            <v>7500</v>
          </cell>
          <cell r="F38">
            <v>7500</v>
          </cell>
          <cell r="G38">
            <v>7500</v>
          </cell>
          <cell r="H38">
            <v>7500</v>
          </cell>
          <cell r="I38">
            <v>7500</v>
          </cell>
          <cell r="J38">
            <v>7500</v>
          </cell>
          <cell r="K38">
            <v>7500</v>
          </cell>
          <cell r="L38">
            <v>7500</v>
          </cell>
          <cell r="M38">
            <v>7500</v>
          </cell>
          <cell r="N38">
            <v>7500</v>
          </cell>
          <cell r="O38">
            <v>7500</v>
          </cell>
          <cell r="P38">
            <v>7500</v>
          </cell>
          <cell r="Q38">
            <v>7500</v>
          </cell>
          <cell r="R38">
            <v>7500</v>
          </cell>
          <cell r="S38">
            <v>7500</v>
          </cell>
          <cell r="T38">
            <v>7500</v>
          </cell>
          <cell r="U38">
            <v>7500</v>
          </cell>
          <cell r="V38">
            <v>7500</v>
          </cell>
          <cell r="W38">
            <v>7500</v>
          </cell>
          <cell r="X38">
            <v>7500</v>
          </cell>
          <cell r="Y38">
            <v>7500</v>
          </cell>
          <cell r="Z38">
            <v>7500</v>
          </cell>
          <cell r="AA38">
            <v>7500</v>
          </cell>
          <cell r="AB38">
            <v>7500</v>
          </cell>
        </row>
        <row r="39">
          <cell r="B39" t="str">
            <v>GANGGUAN UNIT TERBESAR</v>
          </cell>
          <cell r="E39">
            <v>28000</v>
          </cell>
          <cell r="F39">
            <v>28000</v>
          </cell>
          <cell r="G39">
            <v>28000</v>
          </cell>
          <cell r="H39">
            <v>28000</v>
          </cell>
          <cell r="I39">
            <v>28000</v>
          </cell>
          <cell r="J39">
            <v>28000</v>
          </cell>
          <cell r="K39">
            <v>28000</v>
          </cell>
          <cell r="L39">
            <v>28000</v>
          </cell>
          <cell r="M39">
            <v>28000</v>
          </cell>
          <cell r="N39">
            <v>28000</v>
          </cell>
          <cell r="O39">
            <v>28000</v>
          </cell>
          <cell r="P39">
            <v>28000</v>
          </cell>
          <cell r="Q39">
            <v>7500</v>
          </cell>
          <cell r="R39">
            <v>28000</v>
          </cell>
          <cell r="S39">
            <v>28000</v>
          </cell>
          <cell r="T39">
            <v>28000</v>
          </cell>
          <cell r="U39">
            <v>28000</v>
          </cell>
          <cell r="V39">
            <v>28000</v>
          </cell>
          <cell r="W39">
            <v>28000</v>
          </cell>
          <cell r="X39">
            <v>28000</v>
          </cell>
          <cell r="Y39">
            <v>28000</v>
          </cell>
          <cell r="Z39">
            <v>18000</v>
          </cell>
          <cell r="AA39">
            <v>30000</v>
          </cell>
          <cell r="AB39">
            <v>30000</v>
          </cell>
        </row>
        <row r="40">
          <cell r="A40" t="str">
            <v/>
          </cell>
          <cell r="B40" t="str">
            <v>CADANGAN DAYA (PASTI) MALAM</v>
          </cell>
          <cell r="E40">
            <v>4200</v>
          </cell>
          <cell r="F40">
            <v>-2968</v>
          </cell>
          <cell r="G40">
            <v>-7636.3359999999957</v>
          </cell>
          <cell r="H40">
            <v>-9900</v>
          </cell>
          <cell r="I40">
            <v>-870</v>
          </cell>
          <cell r="J40">
            <v>2259.6600000000035</v>
          </cell>
          <cell r="K40">
            <v>-7911.0206800000014</v>
          </cell>
          <cell r="L40">
            <v>5917.9572786399949</v>
          </cell>
          <cell r="M40">
            <v>8746.5931931972736</v>
          </cell>
          <cell r="N40">
            <v>7500</v>
          </cell>
          <cell r="O40">
            <v>18500</v>
          </cell>
          <cell r="P40">
            <v>20000</v>
          </cell>
          <cell r="Q40">
            <v>-8688</v>
          </cell>
          <cell r="R40">
            <v>14623.623999999996</v>
          </cell>
          <cell r="S40">
            <v>15434.871247999996</v>
          </cell>
          <cell r="T40">
            <v>20245.740990495993</v>
          </cell>
          <cell r="U40">
            <v>24056.232472476986</v>
          </cell>
          <cell r="V40">
            <v>23866.344937421934</v>
          </cell>
          <cell r="W40">
            <v>17176.077627296778</v>
          </cell>
          <cell r="X40">
            <v>24985.429782551364</v>
          </cell>
          <cell r="Y40">
            <v>44794.400642116467</v>
          </cell>
          <cell r="Z40">
            <v>44602.9894434007</v>
          </cell>
          <cell r="AA40">
            <v>38911.195422287507</v>
          </cell>
          <cell r="AB40">
            <v>19219.017813132086</v>
          </cell>
        </row>
        <row r="41">
          <cell r="A41" t="str">
            <v/>
          </cell>
          <cell r="B41" t="str">
            <v>CADANGAN DAYA (PLUS/MINUS) SIANG</v>
          </cell>
          <cell r="E41">
            <v>-3800</v>
          </cell>
          <cell r="F41">
            <v>-10928</v>
          </cell>
          <cell r="G41">
            <v>-15556.256000000001</v>
          </cell>
          <cell r="H41">
            <v>-17284.768512000002</v>
          </cell>
          <cell r="I41">
            <v>-8213.5380490240059</v>
          </cell>
          <cell r="J41">
            <v>-5042.5651251220552</v>
          </cell>
          <cell r="K41">
            <v>-15171.850255372301</v>
          </cell>
          <cell r="L41">
            <v>-1301.3939558830461</v>
          </cell>
          <cell r="M41">
            <v>1568.8032562051885</v>
          </cell>
          <cell r="N41">
            <v>1338.7408627175973</v>
          </cell>
          <cell r="O41">
            <v>14208.418344443031</v>
          </cell>
          <cell r="P41">
            <v>20577.835181131915</v>
          </cell>
          <cell r="Q41">
            <v>12446.990851494178</v>
          </cell>
          <cell r="R41">
            <v>15315.884833197168</v>
          </cell>
          <cell r="S41">
            <v>16184.516602863558</v>
          </cell>
          <cell r="T41">
            <v>21052.885636069288</v>
          </cell>
          <cell r="U41">
            <v>24920.991407341426</v>
          </cell>
          <cell r="V41">
            <v>24788.833390156113</v>
          </cell>
          <cell r="W41">
            <v>18156.411056936427</v>
          </cell>
          <cell r="X41">
            <v>26023.723879050303</v>
          </cell>
          <cell r="Y41">
            <v>45890.771326808404</v>
          </cell>
          <cell r="Z41">
            <v>55757.552869462015</v>
          </cell>
          <cell r="AA41">
            <v>38124.067975200946</v>
          </cell>
          <cell r="AB41">
            <v>18490.316111151347</v>
          </cell>
        </row>
        <row r="42">
          <cell r="A42" t="str">
            <v/>
          </cell>
          <cell r="B42" t="str">
            <v>CADANGAN DAYA (PLUS/MINUS) MALAM</v>
          </cell>
          <cell r="E42">
            <v>-23800</v>
          </cell>
          <cell r="F42">
            <v>-30968</v>
          </cell>
          <cell r="G42">
            <v>-35636.335999999996</v>
          </cell>
          <cell r="H42">
            <v>-37900</v>
          </cell>
          <cell r="I42">
            <v>-28870</v>
          </cell>
          <cell r="J42">
            <v>-25740.339999999997</v>
          </cell>
          <cell r="K42">
            <v>-35911.020680000001</v>
          </cell>
          <cell r="L42">
            <v>-22082.042721360005</v>
          </cell>
          <cell r="M42">
            <v>-19253.406806802726</v>
          </cell>
          <cell r="N42">
            <v>-20500</v>
          </cell>
          <cell r="O42">
            <v>-9500</v>
          </cell>
          <cell r="P42">
            <v>-8000</v>
          </cell>
          <cell r="Q42">
            <v>-16188</v>
          </cell>
          <cell r="R42">
            <v>-13376.376000000004</v>
          </cell>
          <cell r="S42">
            <v>-12565.128752000004</v>
          </cell>
          <cell r="T42">
            <v>-7754.2590095040068</v>
          </cell>
          <cell r="U42">
            <v>-3943.767527523014</v>
          </cell>
          <cell r="V42">
            <v>-4133.6550625780656</v>
          </cell>
          <cell r="W42">
            <v>-10823.922372703222</v>
          </cell>
          <cell r="X42">
            <v>-3014.570217448636</v>
          </cell>
          <cell r="Y42">
            <v>16794.400642116467</v>
          </cell>
          <cell r="Z42">
            <v>26602.9894434007</v>
          </cell>
          <cell r="AA42">
            <v>8911.1954222875065</v>
          </cell>
          <cell r="AB42">
            <v>-10780.982186867914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"/>
      <sheetName val="100"/>
      <sheetName val="001"/>
      <sheetName val="BB2000"/>
      <sheetName val="LK2001"/>
      <sheetName val="KK2000"/>
      <sheetName val="CF2000"/>
      <sheetName val="BB2001"/>
      <sheetName val="KK2001"/>
      <sheetName val="CF2001"/>
      <sheetName val="CFAnggaran"/>
      <sheetName val="SPDana"/>
      <sheetName val="CFLK2001"/>
      <sheetName val="UshDebtw101"/>
      <sheetName val="UshDeb00"/>
      <sheetName val="UshDeb03001"/>
      <sheetName val="GABUNGAN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"/>
      <sheetName val="Amandemen-2004"/>
      <sheetName val="Visi Dis 2012"/>
      <sheetName val="Uraian"/>
      <sheetName val="Pembelian"/>
      <sheetName val="TM1Beli"/>
      <sheetName val="NEKons"/>
      <sheetName val="JualPerTarip11"/>
      <sheetName val="Jual"/>
      <sheetName val="Banding"/>
      <sheetName val="NerSubsis"/>
      <sheetName val="20100929"/>
      <sheetName val="RKAP"/>
      <sheetName val="NE Prog"/>
      <sheetName val="Beli"/>
      <sheetName val="Sewa"/>
      <sheetName val="Prod2"/>
      <sheetName val="Resume"/>
      <sheetName val="Roadmap"/>
      <sheetName val="Sheet5"/>
      <sheetName val="Sheet4"/>
      <sheetName val="Prod01"/>
      <sheetName val="List"/>
      <sheetName val="Kamus"/>
      <sheetName val="TaraKalor"/>
      <sheetName val="Catatan"/>
      <sheetName val="Sheet2"/>
      <sheetName val="KSU"/>
      <sheetName val="KSS"/>
      <sheetName val="Sampul"/>
      <sheetName val="Chek"/>
      <sheetName val="kCal"/>
      <sheetName val="HitBln"/>
      <sheetName val="BBkr"/>
      <sheetName val="Compatibility Report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2">
          <cell r="B2" t="str">
            <v>ACEH</v>
          </cell>
        </row>
        <row r="3">
          <cell r="B3" t="str">
            <v>SUMUT</v>
          </cell>
        </row>
        <row r="4">
          <cell r="B4" t="str">
            <v>SUMBAR</v>
          </cell>
        </row>
        <row r="5">
          <cell r="B5" t="str">
            <v>RIAU &amp; KEPRI</v>
          </cell>
        </row>
        <row r="6">
          <cell r="B6" t="str">
            <v>S2JB</v>
          </cell>
        </row>
        <row r="7">
          <cell r="B7" t="str">
            <v>LAMPUNG</v>
          </cell>
        </row>
        <row r="8">
          <cell r="B8" t="str">
            <v>BABEL</v>
          </cell>
        </row>
        <row r="9">
          <cell r="B9" t="str">
            <v>KALBAR</v>
          </cell>
        </row>
        <row r="10">
          <cell r="B10" t="str">
            <v>KSKT</v>
          </cell>
        </row>
        <row r="11">
          <cell r="B11" t="str">
            <v>KALTIM</v>
          </cell>
        </row>
        <row r="12">
          <cell r="B12" t="str">
            <v>SULUTTENGGO</v>
          </cell>
        </row>
        <row r="13">
          <cell r="B13" t="str">
            <v>SULSELRABAR</v>
          </cell>
        </row>
        <row r="14">
          <cell r="B14" t="str">
            <v>MMU</v>
          </cell>
        </row>
        <row r="15">
          <cell r="B15" t="str">
            <v>PAPUA</v>
          </cell>
        </row>
        <row r="16">
          <cell r="B16" t="str">
            <v>NTB</v>
          </cell>
        </row>
        <row r="17">
          <cell r="B17" t="str">
            <v>NTT</v>
          </cell>
        </row>
        <row r="18">
          <cell r="B18" t="str">
            <v>BALI</v>
          </cell>
        </row>
        <row r="19">
          <cell r="B19" t="str">
            <v>JATIM</v>
          </cell>
        </row>
        <row r="20">
          <cell r="B20" t="str">
            <v>JATENG  &amp; DIY</v>
          </cell>
        </row>
        <row r="21">
          <cell r="B21" t="str">
            <v>JABAR &amp; BANTEN</v>
          </cell>
        </row>
        <row r="22">
          <cell r="B22" t="str">
            <v>JAYA &amp; TNG</v>
          </cell>
        </row>
        <row r="23">
          <cell r="B23" t="str">
            <v>KSU</v>
          </cell>
        </row>
        <row r="24">
          <cell r="B24" t="str">
            <v>KSS</v>
          </cell>
        </row>
        <row r="25">
          <cell r="B25" t="str">
            <v>P3BS</v>
          </cell>
        </row>
        <row r="26">
          <cell r="B26" t="str">
            <v>P3BJB</v>
          </cell>
        </row>
        <row r="27">
          <cell r="B27" t="str">
            <v>INER</v>
          </cell>
        </row>
        <row r="28">
          <cell r="B28" t="str">
            <v>PJB</v>
          </cell>
        </row>
        <row r="29">
          <cell r="B29" t="str">
            <v>BATAM</v>
          </cell>
        </row>
        <row r="30">
          <cell r="B30" t="str">
            <v>TARAKAN</v>
          </cell>
        </row>
        <row r="31">
          <cell r="B31" t="str">
            <v>KCILEGON</v>
          </cell>
        </row>
        <row r="32">
          <cell r="B32" t="str">
            <v>KLONTAR</v>
          </cell>
        </row>
        <row r="33">
          <cell r="B33" t="str">
            <v>KINDRAMAYU</v>
          </cell>
        </row>
        <row r="34">
          <cell r="B34" t="str">
            <v>KSUMATERA 1</v>
          </cell>
        </row>
        <row r="35">
          <cell r="B35" t="str">
            <v>KSUMATERA 2</v>
          </cell>
        </row>
        <row r="36">
          <cell r="B36" t="str">
            <v>KKALNUSA</v>
          </cell>
        </row>
        <row r="37">
          <cell r="B37" t="str">
            <v>KSULMAPA</v>
          </cell>
        </row>
        <row r="38">
          <cell r="B38" t="str">
            <v>TJB</v>
          </cell>
        </row>
        <row r="39">
          <cell r="B39" t="str">
            <v>PMT</v>
          </cell>
        </row>
        <row r="40">
          <cell r="B40" t="str">
            <v>KIT SUMATERA</v>
          </cell>
        </row>
        <row r="41">
          <cell r="B41" t="str">
            <v>KJB</v>
          </cell>
        </row>
        <row r="42">
          <cell r="B42" t="str">
            <v>UIP-JB</v>
          </cell>
        </row>
        <row r="43">
          <cell r="B43" t="str">
            <v>KIT JAWA-BALI</v>
          </cell>
        </row>
        <row r="44">
          <cell r="B44" t="str">
            <v>Konsolidasi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-NAD"/>
      <sheetName val="W-SU"/>
      <sheetName val="W-SB"/>
      <sheetName val="W-R"/>
      <sheetName val="W-SJB"/>
      <sheetName val="W-L"/>
      <sheetName val="W-BB"/>
      <sheetName val="W-KB"/>
      <sheetName val="W-KST"/>
      <sheetName val="W-KT"/>
      <sheetName val="W-SUT"/>
      <sheetName val="W-SSR"/>
      <sheetName val="W-M"/>
      <sheetName val="W-P"/>
      <sheetName val="W-NTB"/>
      <sheetName val="W-NTT"/>
      <sheetName val="D-B"/>
      <sheetName val="D-JTM"/>
      <sheetName val="D-JTG"/>
      <sheetName val="D-JBB"/>
      <sheetName val="D-JRT"/>
      <sheetName val="K-SBU"/>
      <sheetName val="K-SBS"/>
      <sheetName val="P3B-J"/>
      <sheetName val="P3B-S"/>
      <sheetName val="JPP"/>
      <sheetName val="JE"/>
      <sheetName val="JP"/>
      <sheetName val="JMK"/>
      <sheetName val="JS"/>
      <sheetName val="PP"/>
      <sheetName val="KP"/>
      <sheetName val="P-SA"/>
      <sheetName val="P-SSR"/>
      <sheetName val="P-JBN"/>
      <sheetName val="P-S"/>
      <sheetName val="P-K"/>
      <sheetName val="K-TJ"/>
      <sheetName val="K-MTR"/>
      <sheetName val="K-CLG"/>
      <sheetName val="PJB"/>
      <sheetName val="IP"/>
      <sheetName val="BTM"/>
      <sheetName val="ICP"/>
      <sheetName val="PLN E"/>
      <sheetName val="PLN TRK"/>
      <sheetName val="REK WIL"/>
      <sheetName val="REK DIS"/>
      <sheetName val="REK KP"/>
      <sheetName val="REK JP"/>
      <sheetName val="REK PIK"/>
      <sheetName val="REK AP"/>
      <sheetName val="REKAP"/>
      <sheetName val="REKAP UNIT 1"/>
      <sheetName val="RIP 1"/>
      <sheetName val="RKAI 1"/>
      <sheetName val="RISD 1"/>
      <sheetName val="RIP"/>
      <sheetName val="RKAI"/>
      <sheetName val="RISD"/>
      <sheetName val="DAF PRO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  PAX"/>
      <sheetName val="CAR  plc"/>
      <sheetName val="scada 2001"/>
      <sheetName val="workshop"/>
      <sheetName val="telkom 2002"/>
      <sheetName val="rkap2002"/>
      <sheetName val="telkom 2002 (2)"/>
      <sheetName val="AI_Radio"/>
      <sheetName val="CLSP"/>
      <sheetName val="CAR  RAD"/>
      <sheetName val="Sheet2"/>
      <sheetName val="SD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ductr_SUTM_total"/>
      <sheetName val="CashFlow"/>
      <sheetName val="BCR"/>
    </sheetNames>
    <sheetDataSet>
      <sheetData sheetId="0" refreshError="1"/>
      <sheetData sheetId="1" refreshError="1">
        <row r="8">
          <cell r="A8">
            <v>2007</v>
          </cell>
          <cell r="B8" t="str">
            <v>B</v>
          </cell>
          <cell r="C8" t="str">
            <v>COST (BIAYA)</v>
          </cell>
          <cell r="D8" t="str">
            <v>D</v>
          </cell>
          <cell r="E8" t="str">
            <v>F</v>
          </cell>
          <cell r="F8" t="str">
            <v>G</v>
          </cell>
          <cell r="G8" t="str">
            <v>H</v>
          </cell>
          <cell r="H8" t="str">
            <v>I</v>
          </cell>
          <cell r="I8" t="str">
            <v>J</v>
          </cell>
          <cell r="J8" t="str">
            <v>K</v>
          </cell>
        </row>
        <row r="9">
          <cell r="A9">
            <v>2006</v>
          </cell>
          <cell r="F9">
            <v>0</v>
          </cell>
          <cell r="H9">
            <v>0</v>
          </cell>
          <cell r="I9">
            <v>0</v>
          </cell>
        </row>
        <row r="10">
          <cell r="A10">
            <v>2007</v>
          </cell>
          <cell r="B10">
            <v>0</v>
          </cell>
          <cell r="C10">
            <v>1836710870</v>
          </cell>
          <cell r="D10">
            <v>55101326.100000001</v>
          </cell>
          <cell r="F10">
            <v>1891812196.0999999</v>
          </cell>
          <cell r="G10">
            <v>0</v>
          </cell>
          <cell r="H10">
            <v>-1891812196.0999999</v>
          </cell>
          <cell r="I10">
            <v>-1891812196.0999999</v>
          </cell>
          <cell r="J10">
            <v>100000000000000</v>
          </cell>
        </row>
        <row r="11">
          <cell r="A11">
            <v>2008</v>
          </cell>
          <cell r="B11">
            <v>1</v>
          </cell>
          <cell r="D11">
            <v>55101326.100000001</v>
          </cell>
          <cell r="E11">
            <v>46472041.861217268</v>
          </cell>
          <cell r="F11">
            <v>55101326.100000001</v>
          </cell>
          <cell r="G11">
            <v>46472041.861217268</v>
          </cell>
          <cell r="H11">
            <v>-8629284.2387827337</v>
          </cell>
          <cell r="I11">
            <v>-1900441480.3387825</v>
          </cell>
          <cell r="J11">
            <v>100000000000000</v>
          </cell>
        </row>
        <row r="12">
          <cell r="A12">
            <v>2009</v>
          </cell>
          <cell r="B12">
            <v>2</v>
          </cell>
          <cell r="D12">
            <v>59068621.579200007</v>
          </cell>
          <cell r="E12">
            <v>46472041.861217268</v>
          </cell>
          <cell r="F12">
            <v>59068621.579200007</v>
          </cell>
          <cell r="G12">
            <v>46472041.861217268</v>
          </cell>
          <cell r="H12">
            <v>-12596579.717982739</v>
          </cell>
          <cell r="I12">
            <v>-1913038060.0567653</v>
          </cell>
          <cell r="J12">
            <v>100000000000000</v>
          </cell>
        </row>
        <row r="13">
          <cell r="A13">
            <v>2010</v>
          </cell>
          <cell r="B13">
            <v>3</v>
          </cell>
          <cell r="D13">
            <v>63321562.332902409</v>
          </cell>
          <cell r="E13">
            <v>46472041.861217268</v>
          </cell>
          <cell r="F13">
            <v>63321562.332902409</v>
          </cell>
          <cell r="G13">
            <v>46472041.861217268</v>
          </cell>
          <cell r="H13">
            <v>-16849520.471685141</v>
          </cell>
          <cell r="I13">
            <v>-1929887580.5284505</v>
          </cell>
          <cell r="J13">
            <v>100000000000000</v>
          </cell>
        </row>
        <row r="14">
          <cell r="A14">
            <v>2011</v>
          </cell>
          <cell r="B14">
            <v>4</v>
          </cell>
          <cell r="D14">
            <v>67880714.820871383</v>
          </cell>
          <cell r="E14">
            <v>46472041.861217268</v>
          </cell>
          <cell r="F14">
            <v>67880714.820871383</v>
          </cell>
          <cell r="G14">
            <v>46472041.861217268</v>
          </cell>
          <cell r="H14">
            <v>-21408672.959654115</v>
          </cell>
          <cell r="I14">
            <v>-1951296253.4881046</v>
          </cell>
          <cell r="J14">
            <v>100000000000000</v>
          </cell>
        </row>
        <row r="15">
          <cell r="A15">
            <v>2012</v>
          </cell>
          <cell r="B15">
            <v>5</v>
          </cell>
          <cell r="D15">
            <v>72768126.287974134</v>
          </cell>
          <cell r="E15">
            <v>46472041.861217268</v>
          </cell>
          <cell r="F15">
            <v>72768126.287974134</v>
          </cell>
          <cell r="G15">
            <v>46472041.861217268</v>
          </cell>
          <cell r="H15">
            <v>-26296084.426756866</v>
          </cell>
          <cell r="I15">
            <v>-1977592337.9148614</v>
          </cell>
          <cell r="J15">
            <v>100000000000000</v>
          </cell>
        </row>
        <row r="16">
          <cell r="A16">
            <v>2013</v>
          </cell>
          <cell r="B16">
            <v>6</v>
          </cell>
          <cell r="D16">
            <v>78007431.380708277</v>
          </cell>
          <cell r="E16">
            <v>46472041.861217268</v>
          </cell>
          <cell r="F16">
            <v>78007431.380708277</v>
          </cell>
          <cell r="G16">
            <v>46472041.861217268</v>
          </cell>
          <cell r="H16">
            <v>-31535389.519491009</v>
          </cell>
          <cell r="I16">
            <v>-2009127727.4343524</v>
          </cell>
          <cell r="J16">
            <v>100000000000000</v>
          </cell>
        </row>
        <row r="17">
          <cell r="A17">
            <v>2014</v>
          </cell>
          <cell r="B17">
            <v>7</v>
          </cell>
          <cell r="D17">
            <v>83623966.440119281</v>
          </cell>
          <cell r="E17">
            <v>46472041.861217268</v>
          </cell>
          <cell r="F17">
            <v>83623966.440119281</v>
          </cell>
          <cell r="G17">
            <v>46472041.861217268</v>
          </cell>
          <cell r="H17">
            <v>-37151924.578902014</v>
          </cell>
          <cell r="I17">
            <v>-2046279652.0132544</v>
          </cell>
          <cell r="J17">
            <v>100000000000000</v>
          </cell>
        </row>
        <row r="18">
          <cell r="A18">
            <v>2015</v>
          </cell>
          <cell r="B18">
            <v>8</v>
          </cell>
          <cell r="D18">
            <v>89644892.023807868</v>
          </cell>
          <cell r="E18">
            <v>46472041.861217268</v>
          </cell>
          <cell r="F18">
            <v>89644892.023807868</v>
          </cell>
          <cell r="G18">
            <v>46472041.861217268</v>
          </cell>
          <cell r="H18">
            <v>-43172850.162590601</v>
          </cell>
          <cell r="I18">
            <v>-2089452502.1758449</v>
          </cell>
          <cell r="J18">
            <v>100000000000000</v>
          </cell>
        </row>
        <row r="19">
          <cell r="A19">
            <v>2016</v>
          </cell>
          <cell r="B19">
            <v>9</v>
          </cell>
          <cell r="D19">
            <v>96099324.249522045</v>
          </cell>
          <cell r="E19">
            <v>46472041.861217268</v>
          </cell>
          <cell r="F19">
            <v>96099324.249522045</v>
          </cell>
          <cell r="G19">
            <v>46472041.861217268</v>
          </cell>
          <cell r="H19">
            <v>-49627282.388304777</v>
          </cell>
          <cell r="I19">
            <v>-2139079784.5641496</v>
          </cell>
          <cell r="J19">
            <v>100000000000000</v>
          </cell>
        </row>
        <row r="20">
          <cell r="A20">
            <v>2017</v>
          </cell>
          <cell r="B20">
            <v>10</v>
          </cell>
          <cell r="D20">
            <v>103018475.59548764</v>
          </cell>
          <cell r="E20">
            <v>46472041.861217268</v>
          </cell>
          <cell r="F20">
            <v>103018475.59548764</v>
          </cell>
          <cell r="G20">
            <v>46472041.861217268</v>
          </cell>
          <cell r="H20">
            <v>-56546433.734270371</v>
          </cell>
          <cell r="I20">
            <v>-2195626218.29842</v>
          </cell>
          <cell r="J20">
            <v>100000000000000</v>
          </cell>
        </row>
        <row r="21">
          <cell r="A21">
            <v>2018</v>
          </cell>
          <cell r="B21">
            <v>11</v>
          </cell>
          <cell r="D21">
            <v>110435805.83836275</v>
          </cell>
          <cell r="E21">
            <v>46472041.861217268</v>
          </cell>
          <cell r="F21">
            <v>110435805.83836275</v>
          </cell>
          <cell r="G21">
            <v>46472041.861217268</v>
          </cell>
          <cell r="H21">
            <v>-63963763.977145486</v>
          </cell>
          <cell r="I21">
            <v>-2259589982.2755656</v>
          </cell>
        </row>
        <row r="22">
          <cell r="A22">
            <v>2019</v>
          </cell>
          <cell r="B22">
            <v>12</v>
          </cell>
          <cell r="D22">
            <v>118387183.85872488</v>
          </cell>
          <cell r="E22">
            <v>46472041.861217268</v>
          </cell>
          <cell r="F22">
            <v>118387183.85872488</v>
          </cell>
          <cell r="G22">
            <v>46472041.861217268</v>
          </cell>
          <cell r="H22">
            <v>-71915141.997507602</v>
          </cell>
          <cell r="I22">
            <v>-2331505124.2730732</v>
          </cell>
        </row>
        <row r="23">
          <cell r="A23">
            <v>2020</v>
          </cell>
          <cell r="B23">
            <v>13</v>
          </cell>
          <cell r="D23">
            <v>126911061.09655307</v>
          </cell>
          <cell r="E23">
            <v>46472041.861217268</v>
          </cell>
          <cell r="F23">
            <v>126911061.09655307</v>
          </cell>
          <cell r="G23">
            <v>46472041.861217268</v>
          </cell>
          <cell r="H23">
            <v>-80439019.235335797</v>
          </cell>
          <cell r="I23">
            <v>-2411944143.508409</v>
          </cell>
        </row>
        <row r="24">
          <cell r="A24">
            <v>2021</v>
          </cell>
          <cell r="B24">
            <v>14</v>
          </cell>
          <cell r="D24">
            <v>136048657.49550492</v>
          </cell>
          <cell r="E24">
            <v>46472041.861217268</v>
          </cell>
          <cell r="F24">
            <v>136048657.49550492</v>
          </cell>
          <cell r="G24">
            <v>46472041.861217268</v>
          </cell>
          <cell r="H24">
            <v>-89576615.634287655</v>
          </cell>
          <cell r="I24">
            <v>-2501520759.1426969</v>
          </cell>
        </row>
        <row r="25">
          <cell r="A25">
            <v>2022</v>
          </cell>
          <cell r="B25">
            <v>15</v>
          </cell>
          <cell r="D25">
            <v>145844160.83518127</v>
          </cell>
          <cell r="E25">
            <v>46472041.861217268</v>
          </cell>
          <cell r="F25">
            <v>145844160.83518127</v>
          </cell>
          <cell r="G25">
            <v>46472041.861217268</v>
          </cell>
          <cell r="H25">
            <v>-99372118.973964006</v>
          </cell>
          <cell r="I25">
            <v>-2600892878.1166611</v>
          </cell>
        </row>
        <row r="26">
          <cell r="A26">
            <v>2023</v>
          </cell>
          <cell r="B26">
            <v>16</v>
          </cell>
          <cell r="E26" t="e">
            <v>#REF!</v>
          </cell>
          <cell r="F26">
            <v>0</v>
          </cell>
          <cell r="G26" t="e">
            <v>#REF!</v>
          </cell>
          <cell r="H26" t="e">
            <v>#REF!</v>
          </cell>
          <cell r="I26" t="e">
            <v>#REF!</v>
          </cell>
        </row>
        <row r="27">
          <cell r="A27">
            <v>2024</v>
          </cell>
          <cell r="B27">
            <v>17</v>
          </cell>
          <cell r="E27" t="e">
            <v>#REF!</v>
          </cell>
          <cell r="F27">
            <v>0</v>
          </cell>
          <cell r="G27" t="e">
            <v>#REF!</v>
          </cell>
          <cell r="H27" t="e">
            <v>#REF!</v>
          </cell>
          <cell r="I27" t="e">
            <v>#REF!</v>
          </cell>
        </row>
        <row r="28">
          <cell r="A28">
            <v>2025</v>
          </cell>
          <cell r="B28">
            <v>18</v>
          </cell>
          <cell r="E28" t="e">
            <v>#REF!</v>
          </cell>
          <cell r="F28">
            <v>0</v>
          </cell>
          <cell r="G28" t="e">
            <v>#REF!</v>
          </cell>
          <cell r="H28" t="e">
            <v>#REF!</v>
          </cell>
          <cell r="I28" t="e">
            <v>#REF!</v>
          </cell>
        </row>
        <row r="29">
          <cell r="A29">
            <v>2026</v>
          </cell>
          <cell r="B29">
            <v>19</v>
          </cell>
          <cell r="E29" t="e">
            <v>#REF!</v>
          </cell>
          <cell r="F29">
            <v>0</v>
          </cell>
          <cell r="G29" t="e">
            <v>#REF!</v>
          </cell>
          <cell r="H29" t="e">
            <v>#REF!</v>
          </cell>
          <cell r="I29" t="e">
            <v>#REF!</v>
          </cell>
          <cell r="J29">
            <v>100000000000000</v>
          </cell>
        </row>
        <row r="30">
          <cell r="A30">
            <v>2027</v>
          </cell>
          <cell r="B30">
            <v>20</v>
          </cell>
          <cell r="E30" t="e">
            <v>#REF!</v>
          </cell>
          <cell r="F30">
            <v>0</v>
          </cell>
          <cell r="G30" t="e">
            <v>#REF!</v>
          </cell>
          <cell r="H30" t="e">
            <v>#REF!</v>
          </cell>
          <cell r="I30" t="e">
            <v>#REF!</v>
          </cell>
        </row>
        <row r="31">
          <cell r="A31">
            <v>2028</v>
          </cell>
          <cell r="H31">
            <v>0</v>
          </cell>
        </row>
        <row r="32">
          <cell r="A32">
            <v>2029</v>
          </cell>
          <cell r="H32">
            <v>0</v>
          </cell>
        </row>
        <row r="33">
          <cell r="C33">
            <v>1836710870</v>
          </cell>
          <cell r="D33">
            <v>1461262636.0349197</v>
          </cell>
          <cell r="E33" t="e">
            <v>#REF!</v>
          </cell>
          <cell r="F33">
            <v>3297973506.0349197</v>
          </cell>
          <cell r="G33">
            <v>697080627.91825902</v>
          </cell>
          <cell r="H33" t="e">
            <v>#REF!</v>
          </cell>
        </row>
        <row r="34">
          <cell r="J34">
            <v>100000000000000</v>
          </cell>
        </row>
        <row r="35">
          <cell r="F35" t="str">
            <v>Rata2 Revenue</v>
          </cell>
          <cell r="G35">
            <v>46472041.861217268</v>
          </cell>
          <cell r="J35">
            <v>100000000000000</v>
          </cell>
        </row>
        <row r="36">
          <cell r="J36">
            <v>100000000000000</v>
          </cell>
        </row>
        <row r="37">
          <cell r="J37">
            <v>100000000000000</v>
          </cell>
        </row>
      </sheetData>
      <sheetData sheetId="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E.11-BASKET"/>
      <sheetName val="TRANS (GAB)"/>
      <sheetName val="Resume RKAP"/>
      <sheetName val="RESUM-BASKET"/>
      <sheetName val="RESUM  DISBURSE"/>
      <sheetName val="Resum Prioritas"/>
      <sheetName val="RESUM "/>
      <sheetName val="DISBURSE"/>
      <sheetName val="TRANS"/>
      <sheetName val="TID"/>
      <sheetName val="TI"/>
      <sheetName val="FAS"/>
      <sheetName val="urgensi-basket 1"/>
      <sheetName val="urgensi-basket 2"/>
      <sheetName val="urgensi-basket 3"/>
      <sheetName val="urgensi-basket 4"/>
      <sheetName val="urgensi-basket 5"/>
      <sheetName val="urgensi-basket 6"/>
      <sheetName val="RESUME-UA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da"/>
      <sheetName val="Menu"/>
      <sheetName val="Menutama"/>
      <sheetName val="DL"/>
      <sheetName val="JADWAL"/>
      <sheetName val="data"/>
      <sheetName val="HPS"/>
      <sheetName val="REKAP"/>
      <sheetName val="Cinta Manis1"/>
      <sheetName val="Cinta Manis2"/>
      <sheetName val="Bengkunat1"/>
      <sheetName val="Bengkunat2"/>
      <sheetName val="Pwsari1"/>
      <sheetName val="Pwsari2"/>
      <sheetName val="MSiau1"/>
      <sheetName val="MSiau2"/>
      <sheetName val="PDagang1"/>
      <sheetName val="PDagang2"/>
      <sheetName val="SLokan1"/>
      <sheetName val="SLokan2"/>
      <sheetName val="TKelumpang1"/>
      <sheetName val="TKelumpang2"/>
      <sheetName val="D"/>
      <sheetName val="E"/>
      <sheetName val="G"/>
      <sheetName val="H"/>
      <sheetName val="R"/>
      <sheetName val="S"/>
      <sheetName val="T"/>
      <sheetName val="A"/>
      <sheetName val="1"/>
      <sheetName val="2"/>
      <sheetName val="3"/>
      <sheetName val="4"/>
      <sheetName val="6"/>
      <sheetName val="7"/>
      <sheetName val="8"/>
      <sheetName val="9"/>
      <sheetName val="10"/>
      <sheetName val="11"/>
      <sheetName val="Revisi"/>
      <sheetName val="Cover_Kontrak"/>
      <sheetName val="Daftar Isi"/>
      <sheetName val="Kontrak"/>
      <sheetName val="RekapKon"/>
      <sheetName val="CiMaPlbStd"/>
      <sheetName val="CiMaPlbTmb"/>
      <sheetName val="BeKu1Tgk"/>
      <sheetName val="BeKu2Tgk"/>
      <sheetName val="PuWoJmbStd"/>
      <sheetName val="PuWoJmbTmb"/>
      <sheetName val="MuSiJmbStd"/>
      <sheetName val="MuSiJmbTmb"/>
      <sheetName val="PeDaJmbStd"/>
      <sheetName val="PeDaJmbTmb"/>
      <sheetName val="SeLoJmbStd"/>
      <sheetName val="SeLoJmbTmb"/>
      <sheetName val="TaKeTjpStd"/>
      <sheetName val="TaKeTjpTmb"/>
      <sheetName val="AHS - Personel"/>
      <sheetName val="AHS - Non Personel"/>
      <sheetName val="Analisa Struktur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D"/>
      <sheetName val="JTR"/>
      <sheetName val="JTM"/>
      <sheetName val="CiMaPlbStd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 Transaction"/>
      <sheetName val="Download_Cover"/>
      <sheetName val="Download_Data"/>
      <sheetName val="JTM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"/>
      <sheetName val="100"/>
      <sheetName val="001"/>
      <sheetName val="BB2000"/>
      <sheetName val="LK2001"/>
      <sheetName val="KK2000"/>
      <sheetName val="CF2000"/>
      <sheetName val="BB2001"/>
      <sheetName val="KK2001"/>
      <sheetName val="CF2001"/>
      <sheetName val="CFAnggaran"/>
      <sheetName val="SPDana"/>
      <sheetName val="CFLK2001"/>
      <sheetName val="UshDebtw101"/>
      <sheetName val="UshDeb00"/>
      <sheetName val="UshDeb03001"/>
      <sheetName val="GABUNGAN"/>
      <sheetName val="Sheet1"/>
      <sheetName val="Sheet2"/>
      <sheetName val="Sheet3"/>
      <sheetName val="CFLK2 01"/>
      <sheetName val="L_23"/>
      <sheetName val="Download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K"/>
      <sheetName val="UshDeb00"/>
    </sheetNames>
    <sheetDataSet>
      <sheetData sheetId="0" refreshError="1"/>
      <sheetData sheetId="1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UMSI"/>
      <sheetName val="QView"/>
      <sheetName val="Skenario"/>
      <sheetName val="Mgmt Rpt"/>
      <sheetName val="Catatan"/>
      <sheetName val="LR"/>
      <sheetName val="LR Region"/>
      <sheetName val="KK-LR"/>
      <sheetName val="NRC"/>
      <sheetName val="KK-NRC"/>
      <sheetName val="CF"/>
      <sheetName val="Gap CF"/>
      <sheetName val="KK"/>
      <sheetName val="BPP Kons"/>
      <sheetName val="BPP Holding"/>
      <sheetName val="BPP Jamali"/>
      <sheetName val="BPP IBB Op"/>
      <sheetName val="BPP IBB"/>
      <sheetName val="BPP IBT Op"/>
      <sheetName val="BPP IBT"/>
      <sheetName val="BPP Btm"/>
      <sheetName val="BPP Trk"/>
      <sheetName val="Formula CICR-WACC"/>
      <sheetName val="Ren. Inv"/>
      <sheetName val="DCSR"/>
      <sheetName val="CICR"/>
      <sheetName val="WACC"/>
      <sheetName val="Kep 100-09"/>
      <sheetName val="Kep 100"/>
      <sheetName val="Butuh PSO"/>
      <sheetName val="Jual Rekap"/>
      <sheetName val="Jual-Unit"/>
      <sheetName val="KK EP"/>
      <sheetName val="Data EP"/>
      <sheetName val="L5IPP"/>
      <sheetName val="L6Sewa"/>
      <sheetName val="L7"/>
      <sheetName val="L8NE"/>
      <sheetName val="L 9"/>
      <sheetName val="L10Har"/>
      <sheetName val="L11Peg"/>
      <sheetName val="L12Admin"/>
      <sheetName val="Adm"/>
      <sheetName val="L13Depr"/>
      <sheetName val="L15 Investasi"/>
      <sheetName val="L20Keu"/>
      <sheetName val="KVA &amp; BP"/>
      <sheetName val="T7Penyertaan"/>
      <sheetName val="T14SDPD"/>
      <sheetName val="T15LPE"/>
      <sheetName val="T16PSO"/>
      <sheetName val="T17RISD"/>
      <sheetName val="T18LR AP"/>
      <sheetName val="T19Nrc AP"/>
      <sheetName val="Prognosa AP"/>
      <sheetName val="PRK"/>
    </sheetNames>
    <sheetDataSet>
      <sheetData sheetId="0">
        <row r="8">
          <cell r="C8">
            <v>10000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>
        <row r="6">
          <cell r="O6">
            <v>7367.6190476190486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MBACAAN"/>
      <sheetName val="DATA"/>
      <sheetName val="Pekerjaan"/>
      <sheetName val="RAB"/>
      <sheetName val="DISPOSISI"/>
      <sheetName val="PAKET"/>
      <sheetName val="RP-143"/>
      <sheetName val="L20Keu"/>
      <sheetName val="ASUMSI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-B"/>
      <sheetName val="REKAP"/>
      <sheetName val="FORM_B"/>
      <sheetName val="DATA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uncuran"/>
      <sheetName val="Petunjuk"/>
      <sheetName val="Kamus"/>
      <sheetName val="Sheet1"/>
      <sheetName val="Rekapitulasi"/>
      <sheetName val="JTR"/>
      <sheetName val="Perbandingan"/>
      <sheetName val="JTM"/>
      <sheetName val="Gardu"/>
      <sheetName val="SR"/>
      <sheetName val="KWhmeter"/>
      <sheetName val="UAI"/>
      <sheetName val="Cover"/>
      <sheetName val="REKAP"/>
      <sheetName val="Material"/>
      <sheetName val="R-Wil"/>
      <sheetName val="Basket"/>
      <sheetName val="HS"/>
      <sheetName val="FORM A12 WLSU"/>
      <sheetName val="FORM A12MED"/>
      <sheetName val="FORM A12BJI"/>
      <sheetName val="FORM A12SBG"/>
      <sheetName val="FORM A12PSP"/>
      <sheetName val="FORM A12PMS"/>
      <sheetName val="FORM A12PKM"/>
      <sheetName val="FORM A12RAP"/>
      <sheetName val="FORM A12NIA"/>
      <sheetName val="mdu"/>
      <sheetName val="mdu (2)"/>
      <sheetName val="Rekap000"/>
      <sheetName val="Basket000"/>
      <sheetName val="JTM000"/>
      <sheetName val="JTR000"/>
      <sheetName val="Gardu000"/>
      <sheetName val="SR000"/>
      <sheetName val="kWhmeter0"/>
      <sheetName val="UAI000"/>
      <sheetName val="Compatibility Report"/>
      <sheetName val="Kawat &amp; Kabel"/>
      <sheetName val="KWH&amp;MCB"/>
      <sheetName val="Trafo"/>
      <sheetName val="CrossARM"/>
      <sheetName val="FORM-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B"/>
      <sheetName val="DISPOSISI"/>
      <sheetName val="RP-SG8"/>
      <sheetName val="DATA"/>
      <sheetName val="Pekerjaan"/>
      <sheetName val="PAKET"/>
      <sheetName val="FORM A12BJI"/>
      <sheetName val="FORM A12MED"/>
      <sheetName val="FORM A12NIA"/>
      <sheetName val="FORM A12PKM"/>
      <sheetName val="FORM A12RAP"/>
      <sheetName val="FORM A12PMS"/>
      <sheetName val="FORM A12SBG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biaya rehab"/>
      <sheetName val="spp mesin sn 1425"/>
      <sheetName val="spp mesin sn 1425 (Recond)"/>
      <sheetName val="spp mesin sn 1425 (Electric)"/>
      <sheetName val="spp mesin sn 1428"/>
      <sheetName val="spp mesin sn 1428 (Recond)"/>
      <sheetName val="spp mesin sn 1428 (Electric)"/>
      <sheetName val="biaya jasa borongan 1425"/>
      <sheetName val="biaya jasa borongan 1428"/>
      <sheetName val="biaya workshop 1425"/>
      <sheetName val="biaya workshop 1428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>
        <row r="415">
          <cell r="K415">
            <v>1391141600</v>
          </cell>
        </row>
      </sheetData>
      <sheetData sheetId="7"/>
      <sheetData sheetId="8">
        <row r="33">
          <cell r="G33">
            <v>177089000</v>
          </cell>
        </row>
      </sheetData>
      <sheetData sheetId="9"/>
      <sheetData sheetId="10"/>
      <sheetData sheetId="1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op Surat"/>
      <sheetName val="DTA"/>
      <sheetName val="MASTER BIODATA"/>
      <sheetName val="kompetensi"/>
      <sheetName val="BIODATA"/>
      <sheetName val="kualifikasi pendidikan"/>
      <sheetName val="CSV"/>
      <sheetName val="OUTSOURCING 1"/>
      <sheetName val=" outsourcing 2"/>
      <sheetName val="ppld2"/>
      <sheetName val="ppld"/>
      <sheetName val="ADM,pmd,fln,pgd,omp"/>
      <sheetName val="PEGAWAI"/>
      <sheetName val="Sheet3"/>
      <sheetName val="Sheet2"/>
      <sheetName val="Sheet4"/>
      <sheetName val="Sheet5"/>
      <sheetName val="Sheet1"/>
      <sheetName val="Sheet6"/>
      <sheetName val="Sheet1 (2)"/>
      <sheetName val="spp mesin sn 1428 (Electric)"/>
      <sheetName val="biaya jasa borongan 1428"/>
    </sheetNames>
    <sheetDataSet>
      <sheetData sheetId="0"/>
      <sheetData sheetId="1"/>
      <sheetData sheetId="2"/>
      <sheetData sheetId="3"/>
      <sheetData sheetId="4">
        <row r="5">
          <cell r="A5">
            <v>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peg-U(12D2)"/>
      <sheetName val="Kamus"/>
      <sheetName val="W-NAD"/>
      <sheetName val="BBaku(12C3)"/>
      <sheetName val="BBMJenis(12B1)"/>
      <sheetName val="BiLuOp(14)"/>
      <sheetName val="BiPinjamin(15)"/>
      <sheetName val="BOLain(12E2)"/>
      <sheetName val="BPeg-F(12D1)"/>
      <sheetName val="IkhtisarBiop(12.0)"/>
      <sheetName val="JualGTarif(11A)"/>
      <sheetName val="LabaRugi Fungsi"/>
      <sheetName val="PembelianiTL(12A1"/>
      <sheetName val="PendaLuOp(13)"/>
      <sheetName val="PendOpLain(11B)"/>
      <sheetName val="ProduksiTL(12B2)"/>
      <sheetName val="SewaPemb(12A2)"/>
      <sheetName val="HarJabor(12C2)"/>
      <sheetName val="FORM-B"/>
      <sheetName val="Changes"/>
      <sheetName val="Cover"/>
      <sheetName val="Daftar Isi"/>
      <sheetName val="Asumsi"/>
      <sheetName val="LabaRugi Unsur"/>
      <sheetName val="Penjelas"/>
      <sheetName val="SewaDis(12A2)"/>
      <sheetName val="HarMat(12C1)"/>
      <sheetName val="BOLain(12E1)"/>
      <sheetName val="PenjTL(18)"/>
      <sheetName val="LabaRugi Lainnya 2005(20)"/>
      <sheetName val="LabaRugi Unsur2004(21A)"/>
      <sheetName val="LabaRugi Fungsi2004(21B)"/>
      <sheetName val="BIO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"/>
      <sheetName val="Amandemen-2004"/>
      <sheetName val="List"/>
      <sheetName val="Selisih Prod"/>
      <sheetName val="Sheet1"/>
      <sheetName val="NerSubsis"/>
      <sheetName val="Pembelian"/>
      <sheetName val="Sw&amp;Bl"/>
      <sheetName val="Tap2006"/>
      <sheetName val="NEKons"/>
      <sheetName val="rkap2008"/>
      <sheetName val="TaraKalor"/>
      <sheetName val="Sheet3"/>
      <sheetName val="Catatan"/>
      <sheetName val="Sheet2"/>
      <sheetName val="Uraian"/>
      <sheetName val="Sampul"/>
      <sheetName val="Chek"/>
      <sheetName val="kCal"/>
      <sheetName val="HitBln"/>
      <sheetName val="BBkr"/>
      <sheetName val="Bipeg-U(12D2)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-NAD"/>
      <sheetName val="W-SU"/>
      <sheetName val="W-SB"/>
      <sheetName val="W-R"/>
      <sheetName val="W-SJB"/>
      <sheetName val="W-L"/>
      <sheetName val="W-BB"/>
      <sheetName val="W-KB"/>
      <sheetName val="W-KST"/>
      <sheetName val="W-KT"/>
      <sheetName val="W-SUT"/>
      <sheetName val="W-SSR"/>
      <sheetName val="W-M"/>
      <sheetName val="W-P"/>
      <sheetName val="W-NTB"/>
      <sheetName val="W-NTT"/>
      <sheetName val="D-B"/>
      <sheetName val="D-JTM"/>
      <sheetName val="D-JTG"/>
      <sheetName val="D-JBB"/>
      <sheetName val="D-JRT"/>
      <sheetName val="K-SBU"/>
      <sheetName val="K-SBS"/>
      <sheetName val="P3B-J"/>
      <sheetName val="P3B-S"/>
      <sheetName val="JPP"/>
      <sheetName val="JE"/>
      <sheetName val="JP"/>
      <sheetName val="JMK"/>
      <sheetName val="JS"/>
      <sheetName val="PP"/>
      <sheetName val="KP"/>
      <sheetName val="P-SA"/>
      <sheetName val="P-SSR"/>
      <sheetName val="P-JBN"/>
      <sheetName val="P-S"/>
      <sheetName val="P-K"/>
      <sheetName val="K-TJ"/>
      <sheetName val="K-MTR"/>
      <sheetName val="K-CLG"/>
      <sheetName val="PJB"/>
      <sheetName val="IP"/>
      <sheetName val="BTM"/>
      <sheetName val="ICP"/>
      <sheetName val="PLN E"/>
      <sheetName val="PLN TRK"/>
      <sheetName val="REK WIL"/>
      <sheetName val="REK DIS"/>
      <sheetName val="REK KP"/>
      <sheetName val="REK JP"/>
      <sheetName val="REK PIK"/>
      <sheetName val="REK AP"/>
      <sheetName val="REKAP"/>
      <sheetName val="REKAP UNIT 1"/>
      <sheetName val="RIP 1"/>
      <sheetName val="RKAI 1"/>
      <sheetName val="RISD 1"/>
      <sheetName val="RIP"/>
      <sheetName val="RKAI"/>
      <sheetName val="RISD"/>
      <sheetName val="DAF PROY"/>
      <sheetName val="Uraian"/>
      <sheetName val="rkap2008"/>
      <sheetName val="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umsi"/>
      <sheetName val="Sheet1"/>
      <sheetName val="By Non HPP"/>
      <sheetName val="Beban-Usaha"/>
      <sheetName val="LK2004"/>
      <sheetName val="DPN"/>
      <sheetName val="AT 2004"/>
      <sheetName val="Biaya&amp;NrcKWh"/>
      <sheetName val="NE"/>
      <sheetName val="Perhit.HPP"/>
      <sheetName val="GambarB"/>
      <sheetName val="Subsidi"/>
      <sheetName val="Sheet2"/>
      <sheetName val="Cair Subs"/>
      <sheetName val="W-N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MS-DIS5"/>
      <sheetName val="KMS-DISHIGH "/>
      <sheetName val="LK2004"/>
    </sheetNames>
    <sheetDataSet>
      <sheetData sheetId="0" refreshError="1"/>
      <sheetData sheetId="1"/>
      <sheetData sheetId="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sut Distr "/>
      <sheetName val="Susut Cabang"/>
      <sheetName val="Blanko1"/>
      <sheetName val="Blanko"/>
      <sheetName val="DIST"/>
      <sheetName val="DIST-I4 "/>
      <sheetName val="CRB"/>
      <sheetName val="CRB-I4"/>
      <sheetName val="TSK"/>
      <sheetName val="GRT"/>
      <sheetName val="CJR"/>
      <sheetName val="SKI"/>
      <sheetName val="BGR"/>
      <sheetName val="BGR-I4"/>
      <sheetName val="BTN"/>
      <sheetName val="BTN-I4"/>
      <sheetName val="PWK"/>
      <sheetName val="PWK-I4"/>
      <sheetName val="CMI"/>
      <sheetName val="BDG"/>
      <sheetName val="BDG-I4"/>
      <sheetName val="MJA"/>
      <sheetName val="BKS"/>
      <sheetName val="BKS-I4"/>
      <sheetName val="DPK"/>
      <sheetName val="KRW"/>
      <sheetName val="KRW-I4"/>
      <sheetName val="SMD"/>
      <sheetName val="Simulator"/>
      <sheetName val="Simulator (2)"/>
      <sheetName val="Data"/>
      <sheetName val="Grafik"/>
      <sheetName val="Sheet3"/>
      <sheetName val="KMS-DIS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">
          <cell r="A1" t="str">
            <v>Cabang Cirebon</v>
          </cell>
        </row>
      </sheetData>
      <sheetData sheetId="31"/>
      <sheetData sheetId="32"/>
      <sheetData sheetId="3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y"/>
      <sheetName val="Spt"/>
      <sheetName val="Pbn"/>
      <sheetName val="Kpg"/>
      <sheetName val="UPpry"/>
      <sheetName val="Ksg"/>
      <sheetName val="Krn"/>
      <sheetName val="skm"/>
      <sheetName val="blk"/>
      <sheetName val="Gab.Cab"/>
      <sheetName val="SPI"/>
      <sheetName val="1"/>
      <sheetName val="2"/>
      <sheetName val="target"/>
      <sheetName val="DIST"/>
      <sheetName val="PERUNIT"/>
      <sheetName val="grafik"/>
      <sheetName val="SAIDI"/>
      <sheetName val="SAIDI (2)"/>
      <sheetName val="SAIDI (3)"/>
      <sheetName val="SAFI"/>
      <sheetName val="SAFI (2)"/>
      <sheetName val="SAFI (3)"/>
      <sheetName val="Data"/>
    </sheetNames>
    <sheetDataSet>
      <sheetData sheetId="0">
        <row r="2">
          <cell r="A2" t="str">
            <v>REKAPITULASI</v>
          </cell>
        </row>
      </sheetData>
      <sheetData sheetId="1">
        <row r="2">
          <cell r="A2" t="str">
            <v>REKAPITULASI</v>
          </cell>
        </row>
      </sheetData>
      <sheetData sheetId="2">
        <row r="2">
          <cell r="A2" t="str">
            <v>REKAPITULASI</v>
          </cell>
        </row>
      </sheetData>
      <sheetData sheetId="3">
        <row r="2">
          <cell r="A2" t="str">
            <v>REKAPITULASI</v>
          </cell>
        </row>
      </sheetData>
      <sheetData sheetId="4">
        <row r="2">
          <cell r="A2" t="str">
            <v>REKAPITULASI</v>
          </cell>
        </row>
      </sheetData>
      <sheetData sheetId="5">
        <row r="2">
          <cell r="A2" t="str">
            <v>REKAPITULASI</v>
          </cell>
        </row>
      </sheetData>
      <sheetData sheetId="6">
        <row r="2">
          <cell r="A2" t="str">
            <v>REKAPITULASI</v>
          </cell>
        </row>
      </sheetData>
      <sheetData sheetId="7">
        <row r="2">
          <cell r="A2" t="str">
            <v>REKAPITULASI</v>
          </cell>
        </row>
      </sheetData>
      <sheetData sheetId="8">
        <row r="2">
          <cell r="A2" t="str">
            <v>REKAPITULASI</v>
          </cell>
        </row>
      </sheetData>
      <sheetData sheetId="9">
        <row r="4">
          <cell r="BE4" t="str">
            <v>ANGKA  SAIDI  CABANG PALANGKA RAYA</v>
          </cell>
        </row>
      </sheetData>
      <sheetData sheetId="10"/>
      <sheetData sheetId="11"/>
      <sheetData sheetId="12"/>
      <sheetData sheetId="13">
        <row r="4">
          <cell r="CM4" t="str">
            <v>TARGET SAIDI &amp; SAIFI TAHUN 2007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-1"/>
      <sheetName val="Gab.Cab"/>
      <sheetName val="UPpry"/>
      <sheetName val="target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u_lieu"/>
      <sheetName val="F-1"/>
    </sheetNames>
    <sheetDataSet>
      <sheetData sheetId="0" refreshError="1"/>
      <sheetData sheetId="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alog"/>
      <sheetName val="Factor"/>
      <sheetName val="Container"/>
      <sheetName val="GenlistHI"/>
      <sheetName val="Genlist RPTL DES'03"/>
      <sheetName val="GenlistLO"/>
      <sheetName val="Genlist RPTL SEP'03"/>
      <sheetName val="REKAP"/>
      <sheetName val="Inv_NAD"/>
      <sheetName val="Inv_SUMUT"/>
      <sheetName val="Inv_RIAU"/>
      <sheetName val="Inv_SUMBAR"/>
      <sheetName val="Inv_S2JB"/>
      <sheetName val="Inv_LAMPUNG"/>
      <sheetName val="Inv_BABEL"/>
      <sheetName val="Inv_KITLUR SUMBAGUT"/>
      <sheetName val="Inv_KITLUR SUMBAGSEL"/>
      <sheetName val="Summary SUMATRA"/>
      <sheetName val="Inv_KALBAR"/>
      <sheetName val="Inv_KALTIM"/>
      <sheetName val="Inv_KALSELTENG"/>
      <sheetName val="Summary KALIMANTAN"/>
      <sheetName val="Inv_SULUTENGGO"/>
      <sheetName val="Inv_SULSELRA"/>
      <sheetName val="Summary SULAWESI"/>
      <sheetName val="Inv_NTB"/>
      <sheetName val="Inv_NTT"/>
      <sheetName val="Inv_MALUKU"/>
      <sheetName val="Module1"/>
      <sheetName val="Module2"/>
      <sheetName val="Module5"/>
      <sheetName val="Inv_PAPUA"/>
      <sheetName val="Inv_OUTSIDE JAVA"/>
      <sheetName val="Summary LUAR JAWA"/>
      <sheetName val="Du_lieu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 refreshError="1"/>
      <sheetData sheetId="18"/>
      <sheetData sheetId="19"/>
      <sheetData sheetId="20"/>
      <sheetData sheetId="21" refreshError="1"/>
      <sheetData sheetId="22"/>
      <sheetData sheetId="23"/>
      <sheetData sheetId="24" refreshError="1"/>
      <sheetData sheetId="25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sign Engineering"/>
      <sheetName val="Installation &amp; Commissioning"/>
      <sheetName val="Documentation"/>
      <sheetName val="Breakdown"/>
      <sheetName val="Calc Inst"/>
      <sheetName val="Calculation Budget"/>
      <sheetName val="RTU Panel"/>
      <sheetName val="Field Mat. Inst. "/>
      <sheetName val="Condition"/>
      <sheetName val="Data"/>
      <sheetName val="Inv_MALUKU"/>
      <sheetName val="Inv_NAD"/>
      <sheetName val="Inv_SUMUT"/>
      <sheetName val="Inv_RIAU"/>
      <sheetName val="Inv_SUMBAR"/>
      <sheetName val="Inv_S2JB"/>
      <sheetName val="Inv_LAMPUNG"/>
      <sheetName val="Inv_KITLUR SUMBAGUT"/>
      <sheetName val="Inv_KITLUR SUMBAGSEL"/>
      <sheetName val="Inv_KALBAR"/>
      <sheetName val="Inv_SULUTENGGO"/>
      <sheetName val="Inv_SULSELRA"/>
      <sheetName val="Inv_NTB"/>
      <sheetName val="Inv_KALTIM"/>
      <sheetName val="Inv_KALSELTENG"/>
    </sheetNames>
    <sheetDataSet>
      <sheetData sheetId="0"/>
      <sheetData sheetId="1"/>
      <sheetData sheetId="2"/>
      <sheetData sheetId="3" refreshError="1"/>
      <sheetData sheetId="4">
        <row r="1">
          <cell r="J1" t="str">
            <v>IDR</v>
          </cell>
        </row>
      </sheetData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VARIABEL"/>
      <sheetName val="KINERJA"/>
      <sheetName val="LABARUGI"/>
      <sheetName val="NERACA"/>
      <sheetName val="SPDN"/>
      <sheetName val="CASHFLOW"/>
      <sheetName val="PEREQ"/>
      <sheetName val="PPem"/>
      <sheetName val="LRANG"/>
      <sheetName val="NRANG"/>
      <sheetName val="ROE"/>
      <sheetName val="PenTL"/>
      <sheetName val="PenGol"/>
      <sheetName val="SalesUnit"/>
      <sheetName val="KVAGOL"/>
      <sheetName val="PendBP"/>
      <sheetName val="Pembelian"/>
      <sheetName val="Ongkos Angkut"/>
      <sheetName val="Resume"/>
      <sheetName val="Pendukung"/>
      <sheetName val="BBM"/>
      <sheetName val="OIL"/>
      <sheetName val="AOHAR"/>
      <sheetName val="Peg"/>
      <sheetName val="Har"/>
      <sheetName val="POLain"/>
      <sheetName val="Dana"/>
      <sheetName val="Piutang"/>
      <sheetName val="CFBulanan"/>
      <sheetName val="Inv-SD"/>
      <sheetName val="INVES-F"/>
      <sheetName val="NRCunit2004"/>
      <sheetName val="LRUnit2004"/>
      <sheetName val="BiAdm"/>
      <sheetName val="adm_dat"/>
      <sheetName val="SewaD"/>
      <sheetName val="DEPRES"/>
      <sheetName val="Revaldll"/>
      <sheetName val="BAB Lainnya"/>
      <sheetName val="LISWAS4"/>
      <sheetName val="CashBudget"/>
      <sheetName val="DataLR"/>
      <sheetName val="DataNRC"/>
      <sheetName val="F-KIT"/>
      <sheetName val="F-DIST"/>
      <sheetName val="RISD"/>
      <sheetName val="Calc In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a"/>
      <sheetName val="Data"/>
      <sheetName val="PRK"/>
      <sheetName val="CUTI TH"/>
      <sheetName val="CUTI BESAR"/>
      <sheetName val="WINDUAN 2"/>
      <sheetName val="WINDUAN 3"/>
      <sheetName val="WINDUAN 4"/>
      <sheetName val="PENSIUN"/>
      <sheetName val="Pens. Normal "/>
      <sheetName val="ACUAN"/>
      <sheetName val="Data THR"/>
      <sheetName val="Data Peg. per 1 Jan-2006"/>
      <sheetName val="Gaji Dasar"/>
      <sheetName val="Tunj. Jabatan"/>
      <sheetName val="Tj. Daerah"/>
      <sheetName val="Tj. Dasar"/>
      <sheetName val="Ct Th "/>
      <sheetName val="Ct.Bsr "/>
      <sheetName val="2 Windu"/>
      <sheetName val="3 Windu"/>
      <sheetName val="4 Windu"/>
      <sheetName val="THR"/>
      <sheetName val="Iur Pemb Kerja"/>
      <sheetName val="Pajak "/>
      <sheetName val="Pakaian Dinas"/>
      <sheetName val="Rupa-rupa"/>
      <sheetName val="Uang Makan Lembur"/>
      <sheetName val="Biaya Diklat"/>
      <sheetName val="Final - 1 Tahun"/>
      <sheetName val="Final - Triwulanan"/>
      <sheetName val="Final - Bulanan"/>
      <sheetName val="Sheet1"/>
      <sheetName val="Resu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vl"/>
      <sheetName val="ACUAN"/>
      <sheetName val="PRK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AHA"/>
      <sheetName val="BBM-PLMS"/>
      <sheetName val="KOTA"/>
      <sheetName val="LUAR_KOTA"/>
      <sheetName val="SEWA-KWH"/>
      <sheetName val="BELI-KWH"/>
      <sheetName val="BP&amp;UJL"/>
      <sheetName val="Laba-Rugi"/>
      <sheetName val="Neraca"/>
      <sheetName val="10 Indikator"/>
      <sheetName val="Value-Added"/>
      <sheetName val="Rasio"/>
      <sheetName val="Kinerja"/>
      <sheetName val="LK-1"/>
      <sheetName val="LK-1.1"/>
      <sheetName val="LK-1.2"/>
      <sheetName val="LK-1.3"/>
      <sheetName val="LK-1.4"/>
      <sheetName val="LK-1.5"/>
      <sheetName val="LK-1.6"/>
      <sheetName val="LK-1.7"/>
      <sheetName val="LK-2"/>
      <sheetName val="Kamus"/>
      <sheetName val="g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F- PEG"/>
      <sheetName val="LK-1"/>
    </sheetNames>
    <sheetDataSet>
      <sheetData sheetId="0" refreshError="1"/>
      <sheetData sheetId="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DAFISI"/>
      <sheetName val="Jelas"/>
      <sheetName val="Neraca"/>
      <sheetName val="LR"/>
      <sheetName val="LR_F"/>
      <sheetName val="Arus_Kas"/>
      <sheetName val="RE"/>
      <sheetName val="Cat"/>
      <sheetName val="BukuBesar"/>
      <sheetName val="L1_1"/>
      <sheetName val="L1_2"/>
      <sheetName val="L1_3"/>
      <sheetName val="L1_4"/>
      <sheetName val="L1_5"/>
      <sheetName val="L1_6"/>
      <sheetName val="L1_7"/>
      <sheetName val="L1_8"/>
      <sheetName val="L1_9"/>
      <sheetName val="L2_1"/>
      <sheetName val="L2_2"/>
      <sheetName val="L2_3"/>
      <sheetName val="L2_4"/>
      <sheetName val="L_2_4b"/>
      <sheetName val="L2_5"/>
      <sheetName val="L2_6"/>
      <sheetName val="L3_1"/>
      <sheetName val="L3_2"/>
      <sheetName val="L3_3"/>
      <sheetName val="L3_4"/>
      <sheetName val="L3_5"/>
      <sheetName val="L_4"/>
      <sheetName val="L_4_1"/>
      <sheetName val="L_5"/>
      <sheetName val="L_6"/>
      <sheetName val="L_7"/>
      <sheetName val="L_8a"/>
      <sheetName val="L_8b"/>
      <sheetName val="L_9"/>
      <sheetName val="L_10"/>
      <sheetName val="L_11"/>
      <sheetName val="L_12"/>
      <sheetName val="L_13"/>
      <sheetName val="L_14"/>
      <sheetName val="L_14b"/>
      <sheetName val="L_15"/>
      <sheetName val="L_16"/>
      <sheetName val="L_17"/>
      <sheetName val="L_18"/>
      <sheetName val="L_19"/>
      <sheetName val="L_20_1"/>
      <sheetName val="L_20_2"/>
      <sheetName val="L_21"/>
      <sheetName val="L_22"/>
      <sheetName val="L_23"/>
      <sheetName val="L_24"/>
      <sheetName val="L_25"/>
      <sheetName val="L_26"/>
      <sheetName val="L_27"/>
      <sheetName val="L_27_1"/>
      <sheetName val="L_27_2"/>
      <sheetName val="L_28a"/>
      <sheetName val="L_28b"/>
      <sheetName val="L_28c"/>
      <sheetName val="L_29"/>
      <sheetName val="GABUNGAN"/>
      <sheetName val="Sheet1"/>
      <sheetName val="Sheet2"/>
      <sheetName val="Sheet3"/>
      <sheetName val="DAF- PE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607"/>
      <sheetName val="Sheet1"/>
      <sheetName val="RESUME (2)"/>
      <sheetName val="REK. DISB"/>
      <sheetName val="FORM.A3 KIT"/>
      <sheetName val="RESUME"/>
      <sheetName val="FORM.A3 TL"/>
      <sheetName val="MURNI"/>
      <sheetName val="TANAH"/>
      <sheetName val="RESUME FORM.A3"/>
      <sheetName val="REKAP"/>
      <sheetName val="SKAT"/>
      <sheetName val="DESEMBER"/>
      <sheetName val="mix luncuran 2008Rev (3)"/>
      <sheetName val="Prioritas"/>
      <sheetName val="L_23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Harga BBM Indonesia"/>
    </sheetNames>
    <sheetDataSet>
      <sheetData sheetId="0" refreshError="1"/>
      <sheetData sheetId="1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Daftar Isi"/>
      <sheetName val="Asumsi"/>
      <sheetName val="AI (IS1)"/>
      <sheetName val="AI (IS2)(1)"/>
      <sheetName val="AI (IS2) (2)"/>
      <sheetName val="REK TRW (IS3)"/>
      <sheetName val="REK TRW (IS4)"/>
      <sheetName val="Harga BBM Indonesia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DENPASAR"/>
      <sheetName val="SINGARAJA"/>
      <sheetName val="REKAP DENPASAR"/>
      <sheetName val="KODE DENPASAR"/>
      <sheetName val="REKAP SINGARAJA"/>
      <sheetName val="KODE SINGARAJA"/>
      <sheetName val="Criteria"/>
      <sheetName val="Kode Gangguan"/>
      <sheetName val="Kode GI"/>
      <sheetName val="Penyulang"/>
      <sheetName val="Asumsi"/>
    </sheetNames>
    <sheetDataSet>
      <sheetData sheetId="0" refreshError="1"/>
      <sheetData sheetId="1">
        <row r="5">
          <cell r="A5" t="str">
            <v>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B-PRY"/>
      <sheetName val="dttr"/>
      <sheetName val="JASA"/>
      <sheetName val="MATERIAL"/>
      <sheetName val="PBUN"/>
      <sheetName val="rekap-pp"/>
      <sheetName val="Sheet1"/>
      <sheetName val="rekap"/>
      <sheetName val="A2 pri123 (REKAP)"/>
      <sheetName val="data"/>
      <sheetName val="A1 pri123 (2)"/>
      <sheetName val="A1 pri123"/>
      <sheetName val="A2 pri123"/>
      <sheetName val="A2 pri1"/>
      <sheetName val="A2 pri2"/>
      <sheetName val="A2 pri3"/>
      <sheetName val="DENPAS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703">
          <cell r="G703">
            <v>2</v>
          </cell>
        </row>
      </sheetData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MPUL 1"/>
      <sheetName val="Rekapitulasi"/>
      <sheetName val="Basket"/>
      <sheetName val="Rekap Prio"/>
      <sheetName val="fisik-biaya"/>
      <sheetName val="RKP-PROGRAM"/>
      <sheetName val="JTM"/>
      <sheetName val="JTR"/>
      <sheetName val="Gardu"/>
      <sheetName val="SR"/>
      <sheetName val="KWhmeter"/>
      <sheetName val="UAI"/>
      <sheetName val="HS"/>
      <sheetName val="HS 2013"/>
      <sheetName val="Cover"/>
      <sheetName val="REKAP"/>
      <sheetName val="HS 2014"/>
      <sheetName val="Material Distribusi"/>
      <sheetName val="FORM A12BJI"/>
      <sheetName val="REKAP 1"/>
      <sheetName val="PRIO 1"/>
      <sheetName val="REKAP 2"/>
      <sheetName val="PRIO 2"/>
      <sheetName val="REKAP 3"/>
      <sheetName val="PRIO 3"/>
      <sheetName val="EVALUASI BINJAI"/>
      <sheetName val="Pedoman dan Kriteria Scoring"/>
      <sheetName val="Rekapitulasi1"/>
      <sheetName val="NON RUTIN"/>
      <sheetName val="Data Basket I"/>
      <sheetName val="SAMPUL 2"/>
      <sheetName val="SAMPUL 3"/>
      <sheetName val="Petunjuk"/>
      <sheetName val="Kamus"/>
      <sheetName val="Data Pendukung"/>
      <sheetName val="Data Pendukung Sisip Trafo (2)"/>
      <sheetName val="Data Pendukung Tiang Lapuk"/>
      <sheetName val="data Pendukung SR Berderet"/>
      <sheetName val="Data Pendukung A3C"/>
      <sheetName val="UGB-PDKB"/>
      <sheetName val="RENC-PLGG"/>
      <sheetName val="PLG"/>
      <sheetName val="PB"/>
      <sheetName val="PD"/>
      <sheetName val="PB12"/>
      <sheetName val="PD12"/>
      <sheetName val="A1 pri1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2">
          <cell r="A2" t="str">
            <v>Nanggroe Aceh Darussalam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Daftar tunggu"/>
      <sheetName val="Monitor"/>
      <sheetName val="SKKI dalam Proses"/>
      <sheetName val="Usulan Baru"/>
      <sheetName val="Usulan Potensial"/>
      <sheetName val="Kamus"/>
    </sheetNames>
    <sheetDataSet>
      <sheetData sheetId="0">
        <row r="8">
          <cell r="A8">
            <v>101</v>
          </cell>
        </row>
      </sheetData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UMSI"/>
      <sheetName val="DSCR"/>
      <sheetName val="LR"/>
      <sheetName val="KK-LR"/>
      <sheetName val="NRC"/>
      <sheetName val="KK-NRC"/>
      <sheetName val="CF"/>
      <sheetName val="CF Akt"/>
      <sheetName val="An Cash Invest"/>
      <sheetName val="Analisa CF"/>
      <sheetName val="KK"/>
      <sheetName val="Kep 100"/>
      <sheetName val="Jual Rekap"/>
      <sheetName val="Jual-Unit"/>
      <sheetName val="KVA &amp; BP"/>
      <sheetName val="KK EP"/>
      <sheetName val="EP"/>
      <sheetName val="Data EP"/>
      <sheetName val="L2IPP"/>
      <sheetName val="L2IPP-konsep"/>
      <sheetName val="L4Sewa"/>
      <sheetName val="L6AngEP"/>
      <sheetName val="L7NE"/>
      <sheetName val="L8Prod"/>
      <sheetName val="L9Har"/>
      <sheetName val="L10Peg"/>
      <sheetName val="L11Depr"/>
      <sheetName val="L12Admin"/>
      <sheetName val="L31BPPHolding"/>
      <sheetName val="L27Keu"/>
      <sheetName val="L29ISAK8"/>
      <sheetName val="2013"/>
      <sheetName val="L30LRRegion"/>
      <sheetName val="L31ButuhPSO"/>
      <sheetName val="T8LPE"/>
      <sheetName val="T9KompPSO"/>
      <sheetName val="T10SDPD"/>
      <sheetName val="Pendanaan Investasi"/>
      <sheetName val="T12LRAP"/>
      <sheetName val="T13NRCAP"/>
      <sheetName val="BPP Kons"/>
      <sheetName val="BPP JB"/>
      <sheetName val="BPP IB"/>
      <sheetName val="BPP IT"/>
      <sheetName val="WACC"/>
      <sheetName val="LR Presentasi"/>
      <sheetName val="Pendapatan&amp;Penjualan"/>
      <sheetName val="L4-BP"/>
      <sheetName val="T-Prod Vol dan Biaya"/>
      <sheetName val="PdptLain"/>
      <sheetName val="Nama Unit"/>
      <sheetName val="DATA"/>
    </sheetNames>
    <sheetDataSet>
      <sheetData sheetId="0">
        <row r="8">
          <cell r="C8">
            <v>9300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ispitute Oct-04_Jan-05"/>
      <sheetName val="Dispute Record Units 1-3"/>
      <sheetName val="Input GENERATION-DATA"/>
      <sheetName val="Monthly BA-2 Units 1-3"/>
      <sheetName val="Monthly BA-2 Units 1-3 Oct-04"/>
      <sheetName val="Monthly BA-2 Units 1-3 Nov-04"/>
      <sheetName val="Monthly BA-2 Units 1-3 Dec-04"/>
      <sheetName val="Monthly BA-2 Units 1-3 Jan-05"/>
      <sheetName val="Monthly BA-2 Units 4-6"/>
      <sheetName val="CoMU1-3 "/>
      <sheetName val="CoMU4-6"/>
      <sheetName val="PLNMU 1-3"/>
      <sheetName val="PLNMU 4-6"/>
      <sheetName val="Summary BA-2 Units 1-3"/>
      <sheetName val="Sheet2"/>
      <sheetName val="SAYS"/>
      <sheetName val="REVENUE_SUMMARY"/>
      <sheetName val="Summary BA-2 Units 4-6"/>
      <sheetName val="Sheet4"/>
      <sheetName val="ASUMSI"/>
    </sheetNames>
    <sheetDataSet>
      <sheetData sheetId="0" refreshError="1"/>
      <sheetData sheetId="1" refreshError="1"/>
      <sheetData sheetId="2" refreshError="1"/>
      <sheetData sheetId="3">
        <row r="8">
          <cell r="B8">
            <v>37438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/>
      <sheetData sheetId="19" refreshError="1"/>
      <sheetData sheetId="2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000000"/>
      <sheetName val="NERACA"/>
      <sheetName val="10 INDIKATOR"/>
      <sheetName val="VALUE"/>
      <sheetName val="LABA RUGI"/>
      <sheetName val="Hal1"/>
      <sheetName val="Hal2"/>
      <sheetName val="Hal4"/>
      <sheetName val="Hal3 rev"/>
      <sheetName val="Hal3"/>
      <sheetName val="Hal5"/>
      <sheetName val="Hal6"/>
      <sheetName val="Hal7_12"/>
      <sheetName val="Hal13"/>
      <sheetName val="PEND-PEG"/>
      <sheetName val="Hal14"/>
      <sheetName val="Hal15"/>
      <sheetName val="aruskas"/>
      <sheetName val="ARUSBARU"/>
      <sheetName val="Indikator210"/>
      <sheetName val="Indikator215"/>
      <sheetName val="Kinerja063"/>
      <sheetName val="RATIO-1"/>
      <sheetName val="RATIO-2"/>
      <sheetName val="ISI"/>
      <sheetName val="Prod"/>
      <sheetName val="Input GENERATION-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AG"/>
      <sheetName val="PLB"/>
      <sheetName val="LHT"/>
      <sheetName val="JMB"/>
      <sheetName val="BKL"/>
      <sheetName val="Muara Bungo"/>
      <sheetName val="Sheet1"/>
      <sheetName val="WS2JB"/>
      <sheetName val="PESUT TW1"/>
      <sheetName val="PESUT TW2"/>
      <sheetName val="LABA RUG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74">
          <cell r="C74" t="str">
            <v>Rtg. M Bulian</v>
          </cell>
        </row>
      </sheetData>
      <sheetData sheetId="1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ttach-V"/>
      <sheetName val="Sheet7"/>
      <sheetName val="A"/>
      <sheetName val="Sheet1"/>
      <sheetName val="B"/>
      <sheetName val="C"/>
      <sheetName val="D"/>
      <sheetName val="Sheet2"/>
      <sheetName val="E"/>
      <sheetName val="Sheet1 (2)"/>
      <sheetName val="Sheet1 (3)"/>
      <sheetName val="PESUT T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"/>
      <sheetName val="C"/>
      <sheetName val="E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hDeb00"/>
      <sheetName val="Sheet1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ource Plan (2)"/>
      <sheetName val="UshDeb00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"/>
      <sheetName val="Data"/>
      <sheetName val="Sheet2"/>
      <sheetName val="Sheet1"/>
      <sheetName val="Sheet5"/>
      <sheetName val="Resource Plan 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b"/>
      <sheetName val="bahan"/>
      <sheetName val="analis"/>
      <sheetName val="rekap"/>
      <sheetName val="schdule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Data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 UTAMA"/>
      <sheetName val="BEBAN SIANG"/>
      <sheetName val="BEBAN MALAM "/>
      <sheetName val="SETTING RELAY"/>
      <sheetName val="REKAP BEBAN"/>
      <sheetName val="PARAMETER"/>
      <sheetName val="MENU"/>
      <sheetName val="GRAFIK SIANG"/>
      <sheetName val="GRAFIK MALAM"/>
      <sheetName val="PROSENTASE BEBAN TRAFO"/>
      <sheetName val="BEBAN PUNCAK SIANG"/>
      <sheetName val="REKAP BEBAN GABUNGAN"/>
      <sheetName val="BEBAN PUNCAK MALAM"/>
      <sheetName val="GRAFIK BEBAN PUNCAK"/>
      <sheetName val="analis"/>
    </sheetNames>
    <sheetDataSet>
      <sheetData sheetId="0" refreshError="1"/>
      <sheetData sheetId="1"/>
      <sheetData sheetId="2"/>
      <sheetData sheetId="3" refreshError="1"/>
      <sheetData sheetId="4"/>
      <sheetData sheetId="5">
        <row r="11">
          <cell r="B11" t="str">
            <v>Antosari_Trafo_1</v>
          </cell>
        </row>
      </sheetData>
      <sheetData sheetId="6">
        <row r="11">
          <cell r="A11" t="str">
            <v>ANTOSARI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mus"/>
      <sheetName val="Cover"/>
      <sheetName val="FGTM 03"/>
      <sheetName val="Lampiran I"/>
      <sheetName val="MENU"/>
      <sheetName val="PARAMETER"/>
    </sheetNames>
    <sheetDataSet>
      <sheetData sheetId="0" refreshError="1"/>
      <sheetData sheetId="1">
        <row r="29">
          <cell r="B29">
            <v>2007</v>
          </cell>
        </row>
      </sheetData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"/>
      <sheetName val="angka"/>
      <sheetName val="Dispo"/>
      <sheetName val="RAB"/>
      <sheetName val="Rinci"/>
      <sheetName val="JTR Beton"/>
      <sheetName val="RAB nEW"/>
      <sheetName val="Rinci (2)"/>
      <sheetName val="JTR Besi (2)"/>
      <sheetName val="JTR_Beton"/>
      <sheetName val="RAB_nEW"/>
      <sheetName val="Rinci_(2)"/>
      <sheetName val="JTR_Besi_(2)"/>
      <sheetName val="Cov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halaman"/>
      <sheetName val="DAFTAR HARGA"/>
      <sheetName val="KULIT"/>
      <sheetName val="DAFTAR ISI"/>
      <sheetName val="BATAS"/>
      <sheetName val="JTM-240"/>
      <sheetName val="JTM-150"/>
      <sheetName val="JTM-70"/>
      <sheetName val="JTM-35"/>
      <sheetName val="JTR-70"/>
      <sheetName val="JTR-35"/>
      <sheetName val="JTR-25"/>
      <sheetName val="GARDU PORTAL"/>
      <sheetName val="SKTM"/>
      <sheetName val="AHS-JTM"/>
      <sheetName val="AHS-JTR"/>
      <sheetName val="AHS-GARDU"/>
      <sheetName val="AHS-SAMBUNGAN LISTRIK"/>
      <sheetName val="HSU-PASANG SUTM"/>
      <sheetName val="HSU-PASANG SUTR"/>
      <sheetName val="HSU-PASANG GARDU"/>
      <sheetName val="HSU-PASANG KABEL"/>
      <sheetName val="AH-MATERIAL"/>
      <sheetName val="BIAYA PEMBUATAN"/>
      <sheetName val="BIAYA GALVANIS"/>
      <sheetName val="BIAYA BAHAN"/>
      <sheetName val="BIAYA OPERASIONAL"/>
      <sheetName val="JASA PABRIKASI"/>
      <sheetName val="RINCIAN HARGA MATERIAL"/>
      <sheetName val="hps-tm-14"/>
      <sheetName val="hps-gd-14"/>
      <sheetName val="rek-14"/>
      <sheetName val="hps-tr-14"/>
      <sheetName val="2"/>
      <sheetName val="4"/>
      <sheetName val="biaya upah"/>
      <sheetName val="an-TM-2003 apln"/>
      <sheetName val="an-TM-2003"/>
      <sheetName val="an-tR-2003 "/>
      <sheetName val="hps-tm-05"/>
      <sheetName val="hps-tr-05"/>
      <sheetName val="hps-gd-05"/>
      <sheetName val="rek-05"/>
      <sheetName val="galvanis2"/>
      <sheetName val="R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PS"/>
      <sheetName val="SRIPO"/>
      <sheetName val="hotel syafa Marwah (2)"/>
      <sheetName val="Lubuk Lancang"/>
      <sheetName val="IGM"/>
      <sheetName val="RS MYRIA KM 7"/>
      <sheetName val="DIKLAT  DEPAG"/>
      <sheetName val="hotel syafa Marwah"/>
      <sheetName val="RS BUNDA"/>
      <sheetName val="ADEN TLG BULUH"/>
      <sheetName val="Griya Alfa Sukajadi"/>
      <sheetName val="Sheet1"/>
      <sheetName val="Pengadaan"/>
      <sheetName val="TIANG BETON"/>
      <sheetName val="AHS-JTR"/>
    </sheetNames>
    <sheetDataSet>
      <sheetData sheetId="0">
        <row r="6">
          <cell r="A6" t="str">
            <v>1-000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tunjuk"/>
      <sheetName val="Kamus"/>
      <sheetName val="Cover"/>
      <sheetName val="Perbandingan"/>
      <sheetName val="UAI"/>
      <sheetName val="REKAP"/>
      <sheetName val="Basket"/>
      <sheetName val="Rekapitulasi"/>
      <sheetName val="JTM"/>
      <sheetName val="JTR"/>
      <sheetName val="Gardu"/>
      <sheetName val="SR"/>
      <sheetName val="KWhmeter"/>
      <sheetName val="HS"/>
      <sheetName val="FISIK"/>
      <sheetName val="HS WIL"/>
      <sheetName val="REKAPITULASI1"/>
      <sheetName val="FISIK R"/>
      <sheetName val="FISIK NR"/>
      <sheetName val="BASKET1"/>
      <sheetName val="REKAP1"/>
      <sheetName val="JTM1"/>
      <sheetName val="JTR1"/>
      <sheetName val="GARDU1"/>
      <sheetName val="SR1"/>
      <sheetName val="FORM A12WSU"/>
      <sheetName val="FORM A12MED"/>
      <sheetName val="FORM A12 BJI"/>
      <sheetName val="FORM A12PMS 2011"/>
      <sheetName val="FORM A12PKM"/>
      <sheetName val="FORM A12 SBG"/>
      <sheetName val="FORM A12PSP"/>
      <sheetName val="FORM A12 RAP"/>
      <sheetName val="FORM A12 NIAS"/>
      <sheetName val="RKP PRIORITAS"/>
      <sheetName val="RENC PLG"/>
      <sheetName val="COV"/>
      <sheetName val="COV DT PEDKG"/>
      <sheetName val="ACTIVA"/>
      <sheetName val="RINC TIANG"/>
      <sheetName val="RINC JTM"/>
      <sheetName val="RINC JTR"/>
      <sheetName val="DM-SAR"/>
      <sheetName val="Rekap000"/>
      <sheetName val="Basket000"/>
      <sheetName val="JTM000"/>
      <sheetName val="JTR000"/>
      <sheetName val="Gardu000"/>
      <sheetName val="SR000"/>
      <sheetName val="kWhmeter0"/>
      <sheetName val="UAI000"/>
      <sheetName val="ES"/>
      <sheetName val="UAI-5"/>
      <sheetName val="MAT"/>
      <sheetName val="BAS1"/>
      <sheetName val="BAS2"/>
      <sheetName val="BAS3"/>
      <sheetName val="BAS4"/>
      <sheetName val="BAS5"/>
      <sheetName val="BAS6"/>
      <sheetName val="H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">
          <cell r="B6" t="str">
            <v>Air Bridge di Kantor Pelayanan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2">
          <cell r="D12" t="str">
            <v xml:space="preserve">Pembangunan Trafo tiang sisipan 3 phasa 20 KV </v>
          </cell>
        </row>
      </sheetData>
      <sheetData sheetId="27">
        <row r="14">
          <cell r="D14" t="str">
            <v xml:space="preserve">Pembangunan HUTM AAAC 150 mm2 Penyulang Baru mengurangi beban Penyulang BT.4 GI Brastagi dan pelayanan Khusus Kota Kabanjahe Ranting Kabanjahe </v>
          </cell>
        </row>
      </sheetData>
      <sheetData sheetId="28">
        <row r="17">
          <cell r="D17" t="str">
            <v>Pembangunan  Trafo  tiang sisipan   20 KV dalam rangka perbaikan tegangan (memperpendek JTR)</v>
          </cell>
        </row>
      </sheetData>
      <sheetData sheetId="29">
        <row r="14">
          <cell r="E14" t="str">
            <v>Pembangunan KJTM XLPE 3x300 mm² 20 Kv sepanjang 1.9 Kms, Pembangunan HUTM AAAC 3X150 mm sepanjang 2 Kms dan Pemberatan Kawat HUTM AAAC 3x70 mm menjadi AAAC 3x150 mm sepanjang 1 KmsUntuk memperbaiki tegangan Penyulang SN-1 dan sehubungan Pembangunan GI. K</v>
          </cell>
        </row>
      </sheetData>
      <sheetData sheetId="30">
        <row r="13">
          <cell r="D13" t="str">
            <v xml:space="preserve"> Pembangunan  Trafo sisipan   20 KV akibat drop tegangan</v>
          </cell>
        </row>
      </sheetData>
      <sheetData sheetId="31">
        <row r="14">
          <cell r="D14" t="str">
            <v xml:space="preserve">Pembangunan Trafo Sisipan 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"/>
      <sheetName val="Amandemen-2004"/>
      <sheetName val="List"/>
      <sheetName val="Selisih Prod"/>
      <sheetName val="Sheet1"/>
      <sheetName val="Pembelian"/>
      <sheetName val="Beli"/>
      <sheetName val="Sw&amp;Bl"/>
      <sheetName val="Tap2006"/>
      <sheetName val="Sheet3"/>
      <sheetName val="NEKons"/>
      <sheetName val="NerSubsis"/>
      <sheetName val="Penjualan08"/>
      <sheetName val="Penjualan09"/>
      <sheetName val="Visi Dis 2012"/>
      <sheetName val="rkap2009"/>
      <sheetName val="Uraian"/>
      <sheetName val="Prod01"/>
      <sheetName val="Prod2"/>
      <sheetName val="TaraKalor"/>
      <sheetName val="Catatan"/>
      <sheetName val="Sheet2"/>
      <sheetName val="KSU"/>
      <sheetName val="KSS"/>
      <sheetName val="Kamus"/>
      <sheetName val="Sampul"/>
      <sheetName val="Chek"/>
      <sheetName val="kCal"/>
      <sheetName val="HitBln"/>
      <sheetName val="BBkr"/>
      <sheetName val="Compatibility Report"/>
      <sheetName val="HS"/>
      <sheetName val="FORM A12 BJI"/>
      <sheetName val="FORM A12MED"/>
      <sheetName val="FORM A12PKM"/>
      <sheetName val="FORM A12PMS 2011"/>
      <sheetName val="FORM A12PSP"/>
      <sheetName val="FORM A12 SB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-NAD"/>
      <sheetName val="W-SU"/>
      <sheetName val="W-SB"/>
      <sheetName val="W-R"/>
      <sheetName val="W-SJB"/>
      <sheetName val="W-L"/>
      <sheetName val="W-BB"/>
      <sheetName val="W-KB"/>
      <sheetName val="W-KST"/>
      <sheetName val="W-KT"/>
      <sheetName val="W-SUT"/>
      <sheetName val="W-SSR"/>
      <sheetName val="W-M"/>
      <sheetName val="W-P"/>
      <sheetName val="W-NTB"/>
      <sheetName val="W-NTT"/>
      <sheetName val="D-B"/>
      <sheetName val="D-JTM"/>
      <sheetName val="D-JTG"/>
      <sheetName val="D-JBB"/>
      <sheetName val="D-JRT"/>
      <sheetName val="K-SBU"/>
      <sheetName val="K-SBS"/>
      <sheetName val="P3B-J"/>
      <sheetName val="P3B-S"/>
      <sheetName val="JPP"/>
      <sheetName val="JE"/>
      <sheetName val="JP"/>
      <sheetName val="JMK"/>
      <sheetName val="JS"/>
      <sheetName val="PP"/>
      <sheetName val="KP"/>
      <sheetName val="P-SA"/>
      <sheetName val="P-SSR"/>
      <sheetName val="P-JBN"/>
      <sheetName val="P-S"/>
      <sheetName val="P-K"/>
      <sheetName val="K-TJ"/>
      <sheetName val="K-MTR"/>
      <sheetName val="K-CLG"/>
      <sheetName val="PJB"/>
      <sheetName val="IP"/>
      <sheetName val="BTM"/>
      <sheetName val="ICP"/>
      <sheetName val="PLN E"/>
      <sheetName val="PLN TRK"/>
      <sheetName val="REK WIL"/>
      <sheetName val="REK DIS"/>
      <sheetName val="REK KP"/>
      <sheetName val="REK JP"/>
      <sheetName val="REK PIK"/>
      <sheetName val="REK AP"/>
      <sheetName val="REKAP"/>
      <sheetName val="REKAP UNIT 1"/>
      <sheetName val="RIP 1"/>
      <sheetName val="RKAI 1"/>
      <sheetName val="RISD 1"/>
      <sheetName val="RIP"/>
      <sheetName val="RKAI"/>
      <sheetName val="RISD"/>
      <sheetName val="DAF PROY"/>
      <sheetName val="NerSub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ek Progres F12,13,14"/>
      <sheetName val="REALISASI PER-WIL"/>
      <sheetName val="Per PLTU"/>
      <sheetName val="REALISASI PER-KIT"/>
      <sheetName val="Per pemasok Gas"/>
      <sheetName val="Per Pemasok BBM 2011"/>
      <sheetName val="IPP 2011"/>
      <sheetName val="Rekap PLN+IPP"/>
      <sheetName val="Rekap BBM 2011 Add Mobil 5"/>
      <sheetName val="Rekap BBM 2011 Add Mobil 9.5"/>
      <sheetName val="Rekap BBM 2011 Kapal 5"/>
      <sheetName val="Rekap BBM 2011 Kapal 9.5"/>
      <sheetName val="Lelang"/>
      <sheetName val="HRG GAS"/>
      <sheetName val="Kontrak vs Realisasi Gas"/>
      <sheetName val="Grafik Gas"/>
      <sheetName val="Grafik batubara"/>
      <sheetName val="GWh Per-Jns Kit"/>
      <sheetName val="Stok Fuel"/>
      <sheetName val="Stok Fuel 2011"/>
      <sheetName val="Stok Coal Jawa"/>
      <sheetName val="Stok HSD LJB"/>
      <sheetName val="Stok HSD Jawa"/>
      <sheetName val="Stok MFO LJB"/>
      <sheetName val="Stok MFO Jawa"/>
      <sheetName val="Stok Coal LJB"/>
      <sheetName val="Batubara Ind"/>
      <sheetName val="Rp-kWh"/>
      <sheetName val="HOLDING"/>
      <sheetName val="AP"/>
      <sheetName val="Percepatan"/>
      <sheetName val="IPP"/>
      <sheetName val="SUMMARY SFC"/>
      <sheetName val="SUMMARY SFC (2)"/>
      <sheetName val="SFC"/>
      <sheetName val="Sheet1"/>
      <sheetName val="W-N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nunjang-All"/>
      <sheetName val="SLA-DENDA"/>
      <sheetName val="1.RAB-HAR SUTM-TR"/>
      <sheetName val="PANDUAN"/>
      <sheetName val="RAB_FINAL_OKE"/>
      <sheetName val="1.RAB-HAR SUTM-TR (5)"/>
      <sheetName val="1.RAB-HAR SUTM-TR (4)"/>
      <sheetName val="1.RAB-HAR SUTM-TR (3)"/>
      <sheetName val="RAB-Yantek PDL-sept-awal"/>
      <sheetName val="RAB-YANTEK PDL-sept-rev"/>
      <sheetName val="1.RAB-HAR SUTM-TR (2)"/>
      <sheetName val="2.RAB-HAR GARDU-UKUR (2)"/>
      <sheetName val="3.RAB-HAR GARDU KUBIKEL TRAFO"/>
      <sheetName val="3.RAB-HAR GARDU KUBIKEL TRA (2)"/>
      <sheetName val="E4. BIAYA HAR GARDU Tembok "/>
      <sheetName val="E5. REKAP HS HAR GRD Tembok"/>
      <sheetName val="E6. ANALISA HS HAR GRD Tembok"/>
      <sheetName val="ASET GDT-CUB"/>
      <sheetName val="SKKO.07"/>
      <sheetName val="SLA-denda1"/>
      <sheetName val="Asset00"/>
      <sheetName val="ASSET"/>
      <sheetName val="A. DATA AREA -1-"/>
      <sheetName val="B2. UPAH TENAGA -3-"/>
      <sheetName val="D1. HS INSPEKSI"/>
      <sheetName val="D2. ANALISA HS INSP"/>
      <sheetName val="E. BIAYA HAR -10-"/>
      <sheetName val="D2.Analisa Inspeksi murni"/>
      <sheetName val="E1. ANALISA HS ROW"/>
      <sheetName val="ALAT KERJA"/>
      <sheetName val="C1. HARGA SATUAN SARANA"/>
      <sheetName val="E2.BIAYA HAR TEK SUTM-TR"/>
      <sheetName val="E3. ANALISA HS HAR TEK SUTM"/>
      <sheetName val="E4. BIAYA HAR GARDU Tiang"/>
      <sheetName val="E5. REKAP HS HAR GRD tiang"/>
      <sheetName val="E6. ANALISA HS HAR GRD Tiang"/>
      <sheetName val="E7. HS RESP-RECOVER"/>
      <sheetName val="MAT HAR Gardu"/>
      <sheetName val="UMK"/>
      <sheetName val="ANALISA HAR"/>
      <sheetName val="BLANGKO RAB"/>
      <sheetName val="SKKO.01"/>
      <sheetName val="SKKO.03 batal"/>
      <sheetName val="SKKO.04 batal"/>
      <sheetName val="1.Form INS-SUTM"/>
      <sheetName val="2.Form INS-SUTR"/>
      <sheetName val="3.Form INS-GD"/>
      <sheetName val="4.Form INS-GD-lbr1-2"/>
      <sheetName val="5.Form INS-lbr 1-2"/>
      <sheetName val="6.BA-HAR grd-kubikel"/>
      <sheetName val="Single Line Diagram"/>
      <sheetName val="Linkupkerja-Inspeksi"/>
      <sheetName val="Sheet1"/>
      <sheetName val="Kode Gangguan"/>
      <sheetName val="Rekap Respon PDL"/>
      <sheetName val="Data Respon Time"/>
      <sheetName val="RESPONSE (2)"/>
      <sheetName val="RESPONSE (3)"/>
      <sheetName val="Data Recovery Time"/>
      <sheetName val="RECOVERY"/>
      <sheetName val="RECOVERY (2)"/>
      <sheetName val="RECOVERY (3)"/>
      <sheetName val="Sheet2"/>
      <sheetName val="Kontrak vs Realisasi G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7">
          <cell r="D7">
            <v>390</v>
          </cell>
        </row>
      </sheetData>
      <sheetData sheetId="26"/>
      <sheetData sheetId="27"/>
      <sheetData sheetId="28"/>
      <sheetData sheetId="29"/>
      <sheetData sheetId="30"/>
      <sheetData sheetId="31"/>
      <sheetData sheetId="32">
        <row r="2">
          <cell r="E2">
            <v>390</v>
          </cell>
        </row>
      </sheetData>
      <sheetData sheetId="33"/>
      <sheetData sheetId="34"/>
      <sheetData sheetId="35">
        <row r="2">
          <cell r="D2">
            <v>390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.KEND"/>
      <sheetName val="JTH"/>
      <sheetName val="TLK"/>
      <sheetName val="KLPG"/>
      <sheetName val="BRW"/>
      <sheetName val="UP"/>
      <sheetName val="NGBL"/>
      <sheetName val="SKMR"/>
      <sheetName val="KRN"/>
      <sheetName val="KSN"/>
      <sheetName val="KLP"/>
      <sheetName val="PBN"/>
      <sheetName val="SPT"/>
      <sheetName val="Kwitansi"/>
      <sheetName val="D2. ANALISA HS INSP"/>
      <sheetName val="E3. ANALISA HS HAR TEK SUTM"/>
      <sheetName val="E6. ANALISA HS HAR GRD Tia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22">
          <cell r="C22">
            <v>16500000</v>
          </cell>
        </row>
      </sheetData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SA 2008"/>
      <sheetName val="BARANG"/>
      <sheetName val="RKP"/>
      <sheetName val="KLPG"/>
      <sheetName val="BRW"/>
      <sheetName val="JTH"/>
      <sheetName val="TLK"/>
      <sheetName val="RYN"/>
      <sheetName val="NBL"/>
      <sheetName val="SKM"/>
      <sheetName val="KKN"/>
      <sheetName val="KSN"/>
      <sheetName val="KLP"/>
      <sheetName val="PLB"/>
      <sheetName val="SPT"/>
      <sheetName val="Kwitansi"/>
    </sheetNames>
    <sheetDataSet>
      <sheetData sheetId="0"/>
      <sheetData sheetId="1"/>
      <sheetData sheetId="2"/>
      <sheetData sheetId="3"/>
      <sheetData sheetId="4"/>
      <sheetData sheetId="5"/>
      <sheetData sheetId="6">
        <row r="28">
          <cell r="C28">
            <v>0</v>
          </cell>
        </row>
      </sheetData>
      <sheetData sheetId="7">
        <row r="27">
          <cell r="C27">
            <v>0</v>
          </cell>
        </row>
      </sheetData>
      <sheetData sheetId="8">
        <row r="27">
          <cell r="C27">
            <v>0</v>
          </cell>
        </row>
      </sheetData>
      <sheetData sheetId="9">
        <row r="29">
          <cell r="C29">
            <v>0</v>
          </cell>
        </row>
      </sheetData>
      <sheetData sheetId="10">
        <row r="28">
          <cell r="C28">
            <v>0</v>
          </cell>
        </row>
      </sheetData>
      <sheetData sheetId="11">
        <row r="34">
          <cell r="C34">
            <v>0</v>
          </cell>
        </row>
      </sheetData>
      <sheetData sheetId="12">
        <row r="26">
          <cell r="C26">
            <v>0</v>
          </cell>
        </row>
      </sheetData>
      <sheetData sheetId="13">
        <row r="31">
          <cell r="C31">
            <v>19049225</v>
          </cell>
        </row>
      </sheetData>
      <sheetData sheetId="14"/>
      <sheetData sheetId="15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Hitung BP"/>
      <sheetName val="KOEF"/>
      <sheetName val="Tabel ND(Tb8)"/>
      <sheetName val="Grafik ND(Tb9)"/>
      <sheetName val="Data"/>
      <sheetName val="Panduan"/>
      <sheetName val="HAR"/>
      <sheetName val="GGN"/>
      <sheetName val="TERPASANG"/>
      <sheetName val="V. MUSIM"/>
      <sheetName val="DERATING"/>
      <sheetName val="GRFRencBP"/>
      <sheetName val="BP"/>
      <sheetName val="NerDa"/>
      <sheetName val="Gb.Komposisi Kit"/>
      <sheetName val="Mampu Pasok"/>
      <sheetName val="Gb. Kurva Beban Sept"/>
      <sheetName val="9 Sept 05--1296,8 MW"/>
      <sheetName val="kerja-libur"/>
      <sheetName val="PO (2)"/>
      <sheetName val="PO"/>
      <sheetName val="MO"/>
      <sheetName val="Waduk"/>
      <sheetName val="Per kit"/>
      <sheetName val="Mampu Pasok (2)"/>
      <sheetName val="KKN"/>
      <sheetName val="KLP"/>
      <sheetName val="KSN"/>
      <sheetName val="NBL"/>
      <sheetName val="PLB"/>
      <sheetName val="RYN"/>
      <sheetName val="SKM"/>
      <sheetName val="TL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T03"/>
      <sheetName val="Mutasi"/>
      <sheetName val="SP-Titip"/>
      <sheetName val="SP-Wajib"/>
      <sheetName val="Daftar"/>
      <sheetName val="Tasik"/>
      <sheetName val="Ciamis"/>
      <sheetName val="Banjar"/>
      <sheetName val="Pnd"/>
      <sheetName val="Spa"/>
      <sheetName val="Rjp"/>
      <sheetName val="Pensiun"/>
      <sheetName val="Kary"/>
      <sheetName val="Rekap"/>
      <sheetName val="Sheet1"/>
      <sheetName val="Struck"/>
      <sheetName val="ORDER"/>
      <sheetName val="CETAK-OBU"/>
      <sheetName val="BILANG"/>
      <sheetName val="GAJI"/>
      <sheetName val="AMPLOP"/>
      <sheetName val="UPAH-BARU"/>
      <sheetName val="KARYAWAN"/>
      <sheetName val="CTT-UPAH"/>
      <sheetName val="Lain2"/>
      <sheetName val="Informasi"/>
      <sheetName val="Sheet2"/>
      <sheetName val="AMPLOP (2)"/>
      <sheetName val="AHS - Personel"/>
      <sheetName val="AHS - Non Personel"/>
      <sheetName val="Analisa Struktur Data"/>
      <sheetName val="PETUGAS"/>
      <sheetName val="GABLUARJAWA1 (2)"/>
      <sheetName val="Asumsi"/>
      <sheetName val="PRE"/>
      <sheetName val="HDF"/>
      <sheetName val="Data"/>
      <sheetName val="Tabel ND(Tb8)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5">
          <cell r="B5">
            <v>1</v>
          </cell>
        </row>
      </sheetData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GARDU "/>
      <sheetName val="MUTASI TRAFO"/>
      <sheetName val="PENGUKURAN SIANG"/>
      <sheetName val="PENGUKURAN MALAM"/>
      <sheetName val="REKAP PENGUKURAN TRAFO"/>
      <sheetName val="TRAFO OVERLOAD"/>
      <sheetName val="RENCANA MUTASI"/>
      <sheetName val="TINDAK LANJUT TEMUAN"/>
      <sheetName val="Workpl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000000"/>
      <sheetName val="NERACA"/>
      <sheetName val="10 INDIKATOR"/>
      <sheetName val="VALUE"/>
      <sheetName val="LABA RUGI"/>
      <sheetName val="Hal1"/>
      <sheetName val="Hal2"/>
      <sheetName val="Hal3"/>
      <sheetName val="Hal4"/>
      <sheetName val="Hal5"/>
      <sheetName val="Hal6"/>
      <sheetName val="Hal7_12"/>
      <sheetName val="Hal13"/>
      <sheetName val="PEND-PEG"/>
      <sheetName val="Hal14"/>
      <sheetName val="Hal15"/>
      <sheetName val="aruskas"/>
      <sheetName val="Indikator210"/>
      <sheetName val="Indikator215"/>
      <sheetName val="Kinerja063"/>
      <sheetName val="RATIO-1"/>
      <sheetName val="RATIO-2"/>
      <sheetName val="ISI"/>
      <sheetName val="aruskas (2)"/>
      <sheetName val="KARYAW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5"/>
      <sheetName val="All Year"/>
      <sheetName val="Sheet3"/>
      <sheetName val="PTallYear"/>
      <sheetName val="Listrik Mati 03"/>
      <sheetName val="Listrik Mati 04"/>
      <sheetName val="Listrik Mati 05"/>
      <sheetName val="Listrik Mati 06"/>
      <sheetName val="2007"/>
      <sheetName val="Listrik Mati 07"/>
      <sheetName val="2008"/>
      <sheetName val="Listrik Mati 08"/>
      <sheetName val="Listrik Mati 09"/>
      <sheetName val="PT Mati 09"/>
      <sheetName val="Chart8"/>
      <sheetName val="Rekap"/>
      <sheetName val="PerPenyulang 08"/>
      <sheetName val="PerPenyulang09"/>
      <sheetName val="PerPenyulang (2)"/>
      <sheetName val="Chart_PerPenyulang"/>
      <sheetName val="MostOften"/>
      <sheetName val="Mei08"/>
      <sheetName val="Chart_Often"/>
      <sheetName val="MostOften 2"/>
      <sheetName val="Chart_Often 2"/>
      <sheetName val="LongestDuration08"/>
      <sheetName val="Chart_Duration"/>
      <sheetName val="Tabel Kode"/>
      <sheetName val="GI"/>
      <sheetName val="Konfig"/>
      <sheetName val="Sheet4"/>
      <sheetName val="Chart10Sebab &gt;5"/>
      <sheetName val="Chart10Sebab &gt;5 (2)"/>
      <sheetName val="Chart10Sebab"/>
      <sheetName val="Data Cat10Sebab"/>
      <sheetName val="Graf New"/>
      <sheetName val="new"/>
      <sheetName val="GANGGUAN ST.GOLF"/>
      <sheetName val="Indikator215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AD3" t="str">
            <v>Jan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 refreshError="1"/>
      <sheetData sheetId="20"/>
      <sheetData sheetId="21"/>
      <sheetData sheetId="22" refreshError="1"/>
      <sheetData sheetId="23"/>
      <sheetData sheetId="24" refreshError="1"/>
      <sheetData sheetId="25"/>
      <sheetData sheetId="26" refreshError="1"/>
      <sheetData sheetId="27">
        <row r="3">
          <cell r="D3" t="str">
            <v>Kode</v>
          </cell>
        </row>
      </sheetData>
      <sheetData sheetId="28"/>
      <sheetData sheetId="29"/>
      <sheetData sheetId="30"/>
      <sheetData sheetId="31" refreshError="1"/>
      <sheetData sheetId="32" refreshError="1"/>
      <sheetData sheetId="33" refreshError="1"/>
      <sheetData sheetId="34"/>
      <sheetData sheetId="35" refreshError="1"/>
      <sheetData sheetId="36"/>
      <sheetData sheetId="37"/>
      <sheetData sheetId="38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it TW1"/>
      <sheetName val="ProdSendiri"/>
      <sheetName val="NEB Ringkas"/>
      <sheetName val="NE Bulanan"/>
      <sheetName val="Penjualan"/>
      <sheetName val="SewaBeli"/>
      <sheetName val="PS&amp;Susut TL"/>
      <sheetName val="Transfer"/>
      <sheetName val="ProdB"/>
      <sheetName val="Kit"/>
      <sheetName val="LapMasuk"/>
      <sheetName val="Listing"/>
      <sheetName val="Neraca Triwulanan"/>
      <sheetName val="Kit Triwulanan"/>
      <sheetName val="Neraca"/>
      <sheetName val="Ner TW2"/>
      <sheetName val="Kit TW2"/>
      <sheetName val="BBakar"/>
      <sheetName val="Jawa"/>
      <sheetName val="Terpasang"/>
      <sheetName val="Bahan Bakar"/>
      <sheetName val="LM Lamp X"/>
      <sheetName val="Beli"/>
      <sheetName val="Sheet1"/>
      <sheetName val="Produksi"/>
      <sheetName val="Iner"/>
      <sheetName val="Sheet3"/>
      <sheetName val="Sheet2"/>
      <sheetName val="L_23"/>
      <sheetName val="Tabel Kode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000001"/>
      <sheetName val="W1"/>
      <sheetName val="W2"/>
      <sheetName val="W3"/>
      <sheetName val="W4"/>
      <sheetName val="W5"/>
      <sheetName val="W6"/>
      <sheetName val="W7"/>
      <sheetName val="W8"/>
      <sheetName val="W9"/>
      <sheetName val="W10"/>
      <sheetName val="w11"/>
      <sheetName val="batam"/>
      <sheetName val="kitut"/>
      <sheetName val="kitsel"/>
      <sheetName val="GABWIL"/>
      <sheetName val="JATIM"/>
      <sheetName val="JATENG"/>
      <sheetName val="JABAR"/>
      <sheetName val="dki"/>
      <sheetName val="P3B"/>
      <sheetName val="BENGKEL"/>
      <sheetName val="GABDIS"/>
      <sheetName val="DKP"/>
      <sheetName val="LMK"/>
      <sheetName val="JASDIK"/>
      <sheetName val="PPE"/>
      <sheetName val="pusat"/>
      <sheetName val="PENGUS"/>
      <sheetName val="DAK"/>
      <sheetName val="HOLDING"/>
      <sheetName val="PJB1"/>
      <sheetName val="PJB2"/>
      <sheetName val="ANAK"/>
      <sheetName val="KONSOLIDASI"/>
      <sheetName val="Penjualan"/>
      <sheetName val="ProdSendiri"/>
      <sheetName val="PS&amp;Susut TL"/>
      <sheetName val="SewaBeli"/>
      <sheetName val="Transf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ndukung"/>
      <sheetName val="Kontrol"/>
      <sheetName val="Eliminasi"/>
      <sheetName val="JurnalDKP"/>
      <sheetName val="ReklasH"/>
      <sheetName val="ReklasKons"/>
      <sheetName val="ReklasAnak"/>
      <sheetName val="Utpiut"/>
      <sheetName val="LRUNIT"/>
      <sheetName val="PP"/>
      <sheetName val="Jurnal"/>
      <sheetName val="W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b"/>
      <sheetName val="Index"/>
      <sheetName val="PLN-2"/>
      <sheetName val="PLN-1"/>
      <sheetName val="Invoice U2"/>
      <sheetName val="Invoice U1"/>
      <sheetName val="BA Ind"/>
      <sheetName val="BA Eng"/>
      <sheetName val="BA-1"/>
      <sheetName val="C-1"/>
      <sheetName val="C-2"/>
      <sheetName val="D-1"/>
      <sheetName val="D-2"/>
      <sheetName val="CDO"/>
      <sheetName val="Kontrol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>
        <row r="10">
          <cell r="E10">
            <v>0.99560000000000004</v>
          </cell>
        </row>
      </sheetData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va BA"/>
      <sheetName val="Index web"/>
      <sheetName val="Index"/>
      <sheetName val="PLN"/>
      <sheetName val="Invoice"/>
      <sheetName val="BA2 Ind"/>
      <sheetName val="BA2 Eng"/>
      <sheetName val="BA1"/>
      <sheetName val="C1"/>
      <sheetName val="D1"/>
      <sheetName val="CDO"/>
      <sheetName val="BA-1"/>
      <sheetName val="D-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Ph"/>
      <sheetName val="Surat"/>
      <sheetName val="Kuitansi PT"/>
      <sheetName val="BAST"/>
      <sheetName val="BAP"/>
      <sheetName val="BA Baru"/>
      <sheetName val="DATA"/>
      <sheetName val="#REF"/>
      <sheetName val="BA1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A4">
            <v>1</v>
          </cell>
        </row>
      </sheetData>
      <sheetData sheetId="7" refreshError="1"/>
      <sheetData sheetId="8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UMSI"/>
      <sheetName val="QView"/>
      <sheetName val="Mgmt Rpt"/>
      <sheetName val="Catatan"/>
      <sheetName val="LR"/>
      <sheetName val="KK-LR"/>
      <sheetName val="NRC"/>
      <sheetName val="KK-NRC"/>
      <sheetName val="CF"/>
      <sheetName val="CF Tw"/>
      <sheetName val="KK"/>
      <sheetName val="Formula CICR-WACC"/>
      <sheetName val="KasInv"/>
      <sheetName val="Ren. Inv"/>
      <sheetName val="DCSR"/>
      <sheetName val="CICR"/>
      <sheetName val="WACC"/>
      <sheetName val="BPP"/>
      <sheetName val="Kep 100"/>
      <sheetName val="Butuh PSO"/>
      <sheetName val="kWh Jual"/>
      <sheetName val="KVA &amp; BP"/>
      <sheetName val="Data EP"/>
      <sheetName val="KK EP"/>
      <sheetName val="L5IPP"/>
      <sheetName val="L6Sewa"/>
      <sheetName val="L8NE"/>
      <sheetName val="L7"/>
      <sheetName val="L 9"/>
      <sheetName val="L10Har"/>
      <sheetName val="L11Peg"/>
      <sheetName val="L12Admin"/>
      <sheetName val="L13Depr"/>
      <sheetName val="L20Keu"/>
      <sheetName val="InvOLD"/>
      <sheetName val="T7Penyertaan"/>
      <sheetName val="T14SDPD"/>
      <sheetName val="T15LPE"/>
      <sheetName val="T16PSO"/>
      <sheetName val="T17RISD"/>
      <sheetName val="T18LR AP"/>
      <sheetName val="T19Nrc AP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Neraca Changes"/>
      <sheetName val="Laba Rugi Changes"/>
      <sheetName val="Investasi Changes"/>
      <sheetName val="Cover"/>
      <sheetName val="Daftar Isi"/>
      <sheetName val="Asumsi"/>
      <sheetName val="PTKU"/>
      <sheetName val="LabaRugi Unsur"/>
      <sheetName val="LabaRugi Fungsi"/>
      <sheetName val="Penjelas"/>
      <sheetName val="JualGTarif(11A)"/>
      <sheetName val="PendOpLain(11B)"/>
      <sheetName val="IkhtisarBiop(12.0)"/>
      <sheetName val="PembelianiTL(12A1"/>
      <sheetName val="SewaPemb(12A2)"/>
      <sheetName val="BBMJenis(12B1)"/>
      <sheetName val="ProduksiTL(12B2)"/>
      <sheetName val="HarMat(12C1)"/>
      <sheetName val="HarJabor(12C2)"/>
      <sheetName val="BBaku(12C3)"/>
      <sheetName val="BPeg-F(12D1)"/>
      <sheetName val="Bipeg-U(12D2)"/>
      <sheetName val="BOLain(12E1)"/>
      <sheetName val="BOLain(12E2)"/>
      <sheetName val="PendaLuOp(13)"/>
      <sheetName val="BiLuOp(14)"/>
      <sheetName val="BiPinjamin(15)"/>
      <sheetName val="PenjTL(18)"/>
      <sheetName val="LabaRugi Lainnya 2005(20)"/>
      <sheetName val="LabaRugi Unsur2004(21A)"/>
      <sheetName val="LabaRugi Fungsi2004(21B)"/>
      <sheetName val="000000"/>
      <sheetName val="Menu"/>
      <sheetName val="Periode"/>
      <sheetName val="DaftarIsi"/>
      <sheetName val="Neraca"/>
      <sheetName val="LabaRugi"/>
      <sheetName val="BukuBesar"/>
      <sheetName val="NRC-Unit"/>
      <sheetName val="LRU-Unit"/>
      <sheetName val="Perubahan Baru"/>
      <sheetName val="L-R"/>
      <sheetName val="NRC"/>
      <sheetName val="PerhitunganKinKeu_kit"/>
      <sheetName val="target_penunjang"/>
      <sheetName val="target_kit"/>
      <sheetName val="DAFISI"/>
      <sheetName val="Jelas"/>
      <sheetName val="LR"/>
      <sheetName val="LR_F"/>
      <sheetName val="Arus_Kas"/>
      <sheetName val="RE"/>
      <sheetName val="Cat"/>
      <sheetName val="L1_1"/>
      <sheetName val="L1_2"/>
      <sheetName val="L1_3"/>
      <sheetName val="L1_4"/>
      <sheetName val="L1_5"/>
      <sheetName val="L1_6"/>
      <sheetName val="L1_7"/>
      <sheetName val="L1_8"/>
      <sheetName val="L1_9"/>
      <sheetName val="L2_1"/>
      <sheetName val="L2_2"/>
      <sheetName val="L2_3"/>
      <sheetName val="L2_4"/>
      <sheetName val="L_2_4b"/>
      <sheetName val="L2_5"/>
      <sheetName val="L2_6"/>
      <sheetName val="L3_1"/>
      <sheetName val="L3_2"/>
      <sheetName val="L3_3"/>
      <sheetName val="L3_4"/>
      <sheetName val="L3_5"/>
      <sheetName val="L_4"/>
      <sheetName val="L_4_1"/>
      <sheetName val="L_5"/>
      <sheetName val="L_6"/>
      <sheetName val="L_7"/>
      <sheetName val="L_8a"/>
      <sheetName val="L_8b"/>
      <sheetName val="L_9"/>
      <sheetName val="L_10"/>
      <sheetName val="L_11"/>
      <sheetName val="L_12"/>
      <sheetName val="L_13"/>
      <sheetName val="L_14"/>
      <sheetName val="L_14b"/>
      <sheetName val="L_15"/>
      <sheetName val="L_16"/>
      <sheetName val="L_17"/>
      <sheetName val="L_18"/>
      <sheetName val="L_19"/>
      <sheetName val="L_20_1"/>
      <sheetName val="L_20_2"/>
      <sheetName val="L_21"/>
      <sheetName val="L_22"/>
      <sheetName val="L_23"/>
      <sheetName val="L_24"/>
      <sheetName val="L_25"/>
      <sheetName val="L_26"/>
      <sheetName val="L_27"/>
      <sheetName val="L_27_1"/>
      <sheetName val="L_27_2"/>
      <sheetName val="L_28a"/>
      <sheetName val="L_28b"/>
      <sheetName val="L_28c"/>
      <sheetName val="L_29"/>
      <sheetName val="GABUNGAN"/>
      <sheetName val="Sheet1"/>
      <sheetName val="Sheet2"/>
      <sheetName val="Sheet3"/>
      <sheetName val="000"/>
      <sheetName val="100"/>
      <sheetName val="001"/>
      <sheetName val="BB2000"/>
      <sheetName val="LK2001"/>
      <sheetName val="KK2000"/>
      <sheetName val="CF2000"/>
      <sheetName val="BB2001"/>
      <sheetName val="KK2001"/>
      <sheetName val="CF2001"/>
      <sheetName val="CFAnggaran"/>
      <sheetName val="SPDana"/>
      <sheetName val="CFLK2001"/>
      <sheetName val="UshDebtw101"/>
      <sheetName val="UshDeb00"/>
      <sheetName val="UshDeb03001"/>
      <sheetName val="L"/>
      <sheetName val="TUL III-09"/>
      <sheetName val="FAKTORMWHJUAL (2)"/>
      <sheetName val="FAKTORMWHJUAL"/>
      <sheetName val="Submission Form"/>
      <sheetName val="Feuil2"/>
      <sheetName val="XL4Test5"/>
      <sheetName val="ANALISABBM"/>
      <sheetName val="NR"/>
      <sheetName val="CF"/>
      <sheetName val="PSO2005"/>
      <sheetName val="PENJ2005"/>
      <sheetName val="HPP"/>
      <sheetName val="KOKIN"/>
      <sheetName val="K2004"/>
      <sheetName val="SALDO KAS"/>
      <sheetName val="SBDN"/>
      <sheetName val="PEREK"/>
      <sheetName val="PSO2004"/>
      <sheetName val="INV-T"/>
      <sheetName val="datNR"/>
      <sheetName val="BBM"/>
      <sheetName val="datLR"/>
      <sheetName val="PENJ2004"/>
      <sheetName val="L6"/>
      <sheetName val="L6l"/>
      <sheetName val="IPP VOLUME"/>
      <sheetName val="HPP04"/>
      <sheetName val="STAT"/>
      <sheetName val="PPSUB"/>
      <sheetName val="SUBhpp"/>
      <sheetName val="LRA"/>
      <sheetName val="NRA"/>
      <sheetName val="LRA1"/>
      <sheetName val="LRU05"/>
      <sheetName val="LRU04"/>
      <sheetName val="LRBACEH"/>
      <sheetName val="Lamp"/>
      <sheetName val="LISWAS"/>
      <sheetName val="PenBP"/>
      <sheetName val="PSUSUT"/>
      <sheetName val="BDOP5"/>
      <sheetName val="ad51"/>
      <sheetName val="ad52"/>
      <sheetName val="SewD"/>
      <sheetName val="LMNR"/>
      <sheetName val="JKP"/>
      <sheetName val="AKT"/>
      <sheetName val="LM1NR"/>
      <sheetName val="NRU"/>
      <sheetName val="DRNRU"/>
      <sheetName val="datBAB"/>
      <sheetName val="FUNGSI"/>
      <sheetName val="Rp.kWh"/>
      <sheetName val="L1"/>
      <sheetName val="L2"/>
      <sheetName val="L3"/>
      <sheetName val="Pembelian"/>
      <sheetName val="L5"/>
      <sheetName val="L7"/>
      <sheetName val="L8"/>
      <sheetName val="L9"/>
      <sheetName val="Resume"/>
      <sheetName val="ONK"/>
      <sheetName val="PembelianL"/>
      <sheetName val="SewaDL"/>
      <sheetName val="PENDAPATAN"/>
      <sheetName val="HAR"/>
      <sheetName val="HRT1"/>
      <sheetName val="L11PEG"/>
      <sheetName val="PEG"/>
      <sheetName val="datPEG"/>
      <sheetName val="L12ADM"/>
      <sheetName val="ADM"/>
      <sheetName val="ADM05"/>
      <sheetName val="BDOP"/>
      <sheetName val="BDOP1"/>
      <sheetName val="datBDOP"/>
      <sheetName val="DLOP"/>
      <sheetName val="DLOP1"/>
      <sheetName val="L21"/>
      <sheetName val="INF-UN"/>
      <sheetName val="Piutang"/>
      <sheetName val="datpen"/>
      <sheetName val="L4"/>
      <sheetName val="DATAVARIABEL"/>
      <sheetName val="KINERJA"/>
      <sheetName val="SPDN"/>
      <sheetName val="CASHFLOW"/>
      <sheetName val="PEREQ"/>
      <sheetName val="PPem"/>
      <sheetName val="LRANG"/>
      <sheetName val="NRANG"/>
      <sheetName val="ROE"/>
      <sheetName val="PenTL"/>
      <sheetName val="PenGol"/>
      <sheetName val="SalesUnit"/>
      <sheetName val="KVAGOL"/>
      <sheetName val="PendBP"/>
      <sheetName val="Ongkos Angkut"/>
      <sheetName val="Pendukung"/>
      <sheetName val="OIL"/>
      <sheetName val="AOHAR"/>
      <sheetName val="POLain"/>
      <sheetName val="Dana"/>
      <sheetName val="CFBulanan"/>
      <sheetName val="Inv-SD"/>
      <sheetName val="INVES-F"/>
      <sheetName val="NRCunit2004"/>
      <sheetName val="LRUnit2004"/>
      <sheetName val="BiAdm"/>
      <sheetName val="adm_dat"/>
      <sheetName val="SewaD"/>
      <sheetName val="DEPRES"/>
      <sheetName val="Revaldll"/>
      <sheetName val="BAB Lainnya"/>
      <sheetName val="LISWAS4"/>
      <sheetName val="CashBudget"/>
      <sheetName val="DataLR"/>
      <sheetName val="DataNRC"/>
      <sheetName val="F-KIT"/>
      <sheetName val="F-DIST"/>
      <sheetName val="RISD"/>
      <sheetName val="pelanggan"/>
      <sheetName val="investasi"/>
      <sheetName val="sfc&amp;hrgbbm"/>
      <sheetName val="biayabbm"/>
      <sheetName val="PRODUKSI"/>
      <sheetName val="penjualantl"/>
      <sheetName val="ekuitas"/>
      <sheetName val="neracatlub"/>
      <sheetName val="neracatl"/>
      <sheetName val="lkbiayabbm"/>
      <sheetName val="pinjaman"/>
      <sheetName val="W-NAD"/>
      <sheetName val="W-SU"/>
      <sheetName val="W-SB"/>
      <sheetName val="W-R"/>
      <sheetName val="W-SJB"/>
      <sheetName val="W-L"/>
      <sheetName val="W-BB"/>
      <sheetName val="W-KB"/>
      <sheetName val="W-KST"/>
      <sheetName val="W-KT"/>
      <sheetName val="W-SUT"/>
      <sheetName val="W-SSR"/>
      <sheetName val="W-M"/>
      <sheetName val="W-P"/>
      <sheetName val="W-NTB"/>
      <sheetName val="W-NTT"/>
      <sheetName val="D-B"/>
      <sheetName val="D-JTM"/>
      <sheetName val="D-JTG"/>
      <sheetName val="D-JBB"/>
      <sheetName val="D-JRT"/>
      <sheetName val="K-SBU"/>
      <sheetName val="K-SBS"/>
      <sheetName val="P3B-J"/>
      <sheetName val="P3B-S"/>
      <sheetName val="JPP"/>
      <sheetName val="JE"/>
      <sheetName val="JP"/>
      <sheetName val="JMK"/>
      <sheetName val="JS"/>
      <sheetName val="PP"/>
      <sheetName val="KP"/>
      <sheetName val="P-SA"/>
      <sheetName val="P-SSR"/>
      <sheetName val="P-JBN"/>
      <sheetName val="P-S"/>
      <sheetName val="P-K"/>
      <sheetName val="K-TJ"/>
      <sheetName val="K-MTR"/>
      <sheetName val="K-CLG"/>
      <sheetName val="PJB"/>
      <sheetName val="IP"/>
      <sheetName val="BTM"/>
      <sheetName val="ICP"/>
      <sheetName val="PLN E"/>
      <sheetName val="PLN TRK"/>
      <sheetName val="REK WIL"/>
      <sheetName val="REK DIS"/>
      <sheetName val="REK KP"/>
      <sheetName val="REK JP"/>
      <sheetName val="REK PIK"/>
      <sheetName val="REK AP"/>
      <sheetName val="REKAP"/>
      <sheetName val="REKAP UNIT 1"/>
      <sheetName val="RIP 1"/>
      <sheetName val="RKAI 1"/>
      <sheetName val="RISD 1"/>
      <sheetName val="RIP"/>
      <sheetName val="RKAI"/>
      <sheetName val="DAF PROY"/>
      <sheetName val="Laba Rugi"/>
      <sheetName val="00000000"/>
      <sheetName val="By Non HPP"/>
      <sheetName val="Beban-Usaha"/>
      <sheetName val="LK2004"/>
      <sheetName val="DPN"/>
      <sheetName val="AT 2004"/>
      <sheetName val="Biaya&amp;NrcKWh"/>
      <sheetName val="NE"/>
      <sheetName val="Perhit.HPP"/>
      <sheetName val="GambarB"/>
      <sheetName val="Subsidi"/>
      <sheetName val="Cair Subs"/>
      <sheetName val="000001"/>
      <sheetName val="W1"/>
      <sheetName val="W2"/>
      <sheetName val="W3"/>
      <sheetName val="W4"/>
      <sheetName val="W5"/>
      <sheetName val="W6"/>
      <sheetName val="W7"/>
      <sheetName val="W8"/>
      <sheetName val="W9"/>
      <sheetName val="W10"/>
      <sheetName val="w11"/>
      <sheetName val="batam"/>
      <sheetName val="kitut"/>
      <sheetName val="kitsel"/>
      <sheetName val="GABWIL"/>
      <sheetName val="JATIM"/>
      <sheetName val="JATENG"/>
      <sheetName val="JABAR"/>
      <sheetName val="dki"/>
      <sheetName val="P3B"/>
      <sheetName val="BENGKEL"/>
      <sheetName val="GABDIS"/>
      <sheetName val="DKP"/>
      <sheetName val="LMK"/>
      <sheetName val="JASDIK"/>
      <sheetName val="PPE"/>
      <sheetName val="pusat"/>
      <sheetName val="PENGUS"/>
      <sheetName val="DAK"/>
      <sheetName val="HOLDING"/>
      <sheetName val="PJB1"/>
      <sheetName val="PJB2"/>
      <sheetName val="ANAK"/>
      <sheetName val="KONSOLIDASI"/>
      <sheetName val="a"/>
      <sheetName val="kali-2000"/>
      <sheetName val="kali-2001"/>
      <sheetName val="Sheet4"/>
      <sheetName val="Sheet5"/>
      <sheetName val="Sheet6"/>
      <sheetName val="Sheet7"/>
      <sheetName val="ubay"/>
      <sheetName val="sept 01-07"/>
      <sheetName val="sept"/>
      <sheetName val="NRCPTK01"/>
      <sheetName val="NRCKTP01"/>
      <sheetName val="NRCPTS01"/>
      <sheetName val="NRCSKW01"/>
      <sheetName val="NRCSGU01"/>
      <sheetName val="NRC-STG"/>
      <sheetName val="NRCSBS01"/>
      <sheetName val="Dialog"/>
      <sheetName val="Factor"/>
      <sheetName val="Container"/>
      <sheetName val="GenlistHI"/>
      <sheetName val="Genlist RPTL DES'03"/>
      <sheetName val="GenlistLO"/>
      <sheetName val="Genlist RPTL SEP'03"/>
      <sheetName val="Inv_NAD"/>
      <sheetName val="Inv_SUMUT"/>
      <sheetName val="Inv_RIAU"/>
      <sheetName val="Inv_SUMBAR"/>
      <sheetName val="Inv_S2JB"/>
      <sheetName val="Inv_LAMPUNG"/>
      <sheetName val="Inv_BABEL"/>
      <sheetName val="Inv_KITLUR SUMBAGUT"/>
      <sheetName val="Inv_KITLUR SUMBAGSEL"/>
      <sheetName val="Summary SUMATRA"/>
      <sheetName val="Inv_KALBAR"/>
      <sheetName val="Inv_KALTIM"/>
      <sheetName val="Inv_KALSELTENG"/>
      <sheetName val="Summary KALIMANTAN"/>
      <sheetName val="Inv_SULUTENGGO"/>
      <sheetName val="Inv_SULSELRA"/>
      <sheetName val="Summary SULAWESI"/>
      <sheetName val="Inv_NTB"/>
      <sheetName val="Inv_NTT"/>
      <sheetName val="Inv_MALUKU"/>
      <sheetName val="Module1"/>
      <sheetName val="Module2"/>
      <sheetName val="Module5"/>
      <sheetName val="Inv_PAPUA"/>
      <sheetName val="Inv_OUTSIDE JAVA"/>
      <sheetName val="Summary LUAR JAWA"/>
      <sheetName val="KMS-DIS5"/>
      <sheetName val="Amandemen-2004"/>
      <sheetName val="List"/>
      <sheetName val="Selisih Prod"/>
      <sheetName val="NerSubsis"/>
      <sheetName val="Sw&amp;Bl"/>
      <sheetName val="Tap2006"/>
      <sheetName val="SelCpy"/>
      <sheetName val="rkap2007"/>
      <sheetName val="TaraKalor"/>
      <sheetName val="Catatan"/>
      <sheetName val="Uraian"/>
      <sheetName val="Sampul"/>
      <sheetName val="Chek"/>
      <sheetName val="kCal"/>
      <sheetName val="HitBln"/>
      <sheetName val="BBkr"/>
      <sheetName val="TRANS"/>
      <sheetName val="TABEL"/>
      <sheetName val="GAJI"/>
      <sheetName val="THR "/>
      <sheetName val="CUTI"/>
      <sheetName val="Kontrol"/>
      <sheetName val="Eliminasi"/>
      <sheetName val="JurnalDKP"/>
      <sheetName val="ReklasH"/>
      <sheetName val="ReklasKons"/>
      <sheetName val="ReklasAnak"/>
      <sheetName val="Utpiut"/>
      <sheetName val="LRUNIT"/>
      <sheetName val="Jurnal"/>
      <sheetName val="laba-rugi-pst"/>
      <sheetName val="nrc~ttd"/>
      <sheetName val="lr~trw"/>
      <sheetName val="laba-rugi-pst-PER-TRW"/>
      <sheetName val="LR-1"/>
      <sheetName val="nrctrw"/>
      <sheetName val="LR-5"/>
      <sheetName val="NRC-5"/>
      <sheetName val="KIT"/>
      <sheetName val="prod"/>
      <sheetName val="penjTL"/>
      <sheetName val="pendTL"/>
      <sheetName val="juaL"/>
      <sheetName val="Pend. BP"/>
      <sheetName val="Pend LL"/>
      <sheetName val="ikh"/>
      <sheetName val="sewa"/>
      <sheetName val="bbm1"/>
      <sheetName val="har-Ins"/>
      <sheetName val="har-Sar"/>
      <sheetName val="har-sar1"/>
      <sheetName val="PEG1"/>
      <sheetName val="adm1"/>
      <sheetName val="PENYU"/>
      <sheetName val="pdptn"/>
      <sheetName val="pendby"/>
      <sheetName val="pen-l-usaha"/>
      <sheetName val="kasimp"/>
      <sheetName val="CF-2007"/>
      <sheetName val="V-ADID"/>
      <sheetName val="RASIO"/>
      <sheetName val="EKUITY"/>
      <sheetName val="10 Indikator"/>
      <sheetName val="pelumas"/>
      <sheetName val="mat~har"/>
      <sheetName val="mat~pdp"/>
      <sheetName val="lingkungan"/>
      <sheetName val="lhe"/>
      <sheetName val="ikhfungsi"/>
      <sheetName val="LR-3"/>
      <sheetName val="LK-RINCI"/>
      <sheetName val="NRC-1"/>
      <sheetName val="nrc~rinc"/>
      <sheetName val="NRC-3"/>
      <sheetName val="banding"/>
      <sheetName val="Pend."/>
      <sheetName val="beli"/>
      <sheetName val="ARUSKAS"/>
      <sheetName val="SUMBER-DANA"/>
      <sheetName val="Hit"/>
      <sheetName val="Peny"/>
      <sheetName val="CFAT"/>
      <sheetName val="CASF FLOW"/>
      <sheetName val="KINERJA1"/>
      <sheetName val="kinerja2"/>
      <sheetName val="kinerja3"/>
      <sheetName val="Ket"/>
      <sheetName val="Saldo"/>
      <sheetName val="Receipt"/>
      <sheetName val="Neraca Daya Sis TNT"/>
      <sheetName val="SE.11-BASKET"/>
      <sheetName val="TRANS (GAB)"/>
      <sheetName val="Resume RKAP"/>
      <sheetName val="RESUM-BASKET"/>
      <sheetName val="RESUM  DISBURSE"/>
      <sheetName val="Resum Prioritas"/>
      <sheetName val="RESUM "/>
      <sheetName val="DISBURSE"/>
      <sheetName val="TID"/>
      <sheetName val="TI"/>
      <sheetName val="FAS"/>
      <sheetName val="urgensi-basket 1"/>
      <sheetName val="urgensi-basket 2"/>
      <sheetName val="urgensi-basket 3"/>
      <sheetName val="urgensi-basket 4"/>
      <sheetName val="urgensi-basket 5"/>
      <sheetName val="urgensi-basket 6"/>
      <sheetName val="RESUME-UAI"/>
      <sheetName val="20607"/>
      <sheetName val="RESUME (2)"/>
      <sheetName val="REK. DISB"/>
      <sheetName val="FORM.A3 KIT"/>
      <sheetName val="FORM.A3 TL"/>
      <sheetName val="MURNI"/>
      <sheetName val="TANAH"/>
      <sheetName val="RESUME FORM.A3"/>
      <sheetName val="SKAT"/>
      <sheetName val="DESEMBER"/>
      <sheetName val="mix luncuran 2008Rev (3)"/>
      <sheetName val="Prioritas"/>
      <sheetName val="Acuan SK"/>
      <sheetName val="Data"/>
      <sheetName val="Data-1"/>
      <sheetName val="Hitung Tarif Grade Baru"/>
      <sheetName val="Hitung P1 dan P2 Final"/>
      <sheetName val="Acuan Peg Baru S2-S1-D3-D1"/>
      <sheetName val="Prediksi"/>
      <sheetName val="Cuti Tahunan"/>
      <sheetName val="Cuti Besar"/>
      <sheetName val="2 Windu"/>
      <sheetName val="3 Windu"/>
      <sheetName val="4 Windu"/>
      <sheetName val="Data Pensiun"/>
      <sheetName val="Pens. Normal "/>
      <sheetName val="ACUAN"/>
      <sheetName val="Tarif Grade"/>
      <sheetName val="Tarif Grade Transisi"/>
      <sheetName val="Tj. Posisi"/>
      <sheetName val="Cuti Thn"/>
      <sheetName val="Cuti Bsr"/>
      <sheetName val="Dua Windu"/>
      <sheetName val="Tiga Windu"/>
      <sheetName val="Empat Windu"/>
      <sheetName val="THR 1"/>
      <sheetName val="Iur Pem Kerja"/>
      <sheetName val="Beban Pajak"/>
      <sheetName val="Biaya Psrta &amp; Diklat"/>
      <sheetName val="Pkaian Dinas"/>
      <sheetName val="Perawatan Kesehatan"/>
      <sheetName val="Premi Piket"/>
      <sheetName val="Uang Lmbur"/>
      <sheetName val="Uang Mkn Lmbur"/>
      <sheetName val="BPFP (Utk Peg.yg Mutasi)"/>
      <sheetName val="Biaya Kepeg. Lainnya"/>
      <sheetName val="Data THR"/>
      <sheetName val="Rangkuman Data"/>
      <sheetName val="Angg 2010 Tahunan FINAL"/>
      <sheetName val="Angg 2010 Trw. FINAL"/>
      <sheetName val="Angg 2010 Bulanan FINAL"/>
      <sheetName val="THR Baru"/>
      <sheetName val="Data THR-1"/>
      <sheetName val="REKAP "/>
      <sheetName val="TUL309"/>
      <sheetName val="TSEGARA"/>
      <sheetName val="RANI"/>
      <sheetName val="TAIS"/>
      <sheetName val="MANNA"/>
      <sheetName val="KPH"/>
      <sheetName val="CURUP"/>
      <sheetName val="MAMAN"/>
      <sheetName val="ARMA"/>
      <sheetName val="MUKO"/>
      <sheetName val="BINTUHAN"/>
      <sheetName val="eval "/>
      <sheetName val="kwh"/>
      <sheetName val="REKAP_REKG"/>
      <sheetName val="GAB"/>
      <sheetName val="muko2"/>
      <sheetName val="OMZET "/>
      <sheetName val="MAP PERBULAN"/>
      <sheetName val="TEKNIK"/>
      <sheetName val="NON TEKNIK"/>
      <sheetName val="Evaluasi Teknik"/>
      <sheetName val="Evaluasi Non Teknik"/>
      <sheetName val="Perhitungan Saving"/>
      <sheetName val="POS 62"/>
      <sheetName val="POS 544"/>
      <sheetName val="CabangJambi"/>
      <sheetName val="EstCabangJambi 2005"/>
      <sheetName val="calcJMB2006"/>
      <sheetName val="calcJMB2005"/>
      <sheetName val="bbi2000"/>
      <sheetName val="100000"/>
      <sheetName val="Perubahan"/>
      <sheetName val="BiDitghkan"/>
      <sheetName val="PIUT-JP"/>
      <sheetName val="BDD&amp;UMLain"/>
      <sheetName val="DpsK3bln"/>
      <sheetName val="Dep3-12bln"/>
      <sheetName val="PiutLL"/>
      <sheetName val="Piut-Unsur"/>
      <sheetName val="HapusPiut"/>
      <sheetName val="PiutMacam"/>
      <sheetName val="MatHar"/>
      <sheetName val="BantuanLN"/>
      <sheetName val="AkunPenutup"/>
      <sheetName val="UtPiut-Anak"/>
      <sheetName val="DaftarBP"/>
      <sheetName val="HutBank-3"/>
      <sheetName val="UtBiProy"/>
      <sheetName val="UtangUsh"/>
      <sheetName val="UmurUtang"/>
      <sheetName val="UtangValas"/>
      <sheetName val="IuranPsPK"/>
      <sheetName val="UT-Pajak"/>
      <sheetName val="HutLain"/>
      <sheetName val="UtangBiaya"/>
      <sheetName val="JualGTarif"/>
      <sheetName val="PendOpLain"/>
      <sheetName val="IkhtisarBiop"/>
      <sheetName val="PembelianiTL"/>
      <sheetName val="SewaDis"/>
      <sheetName val="BBMJenis"/>
      <sheetName val="ProduksiTL"/>
      <sheetName val="HarMat"/>
      <sheetName val="HarJabor"/>
      <sheetName val="BPeg-F"/>
      <sheetName val="Bipeg-U"/>
      <sheetName val="BOLain"/>
      <sheetName val="PendaLuOp"/>
      <sheetName val="BiLuOp"/>
      <sheetName val="BiPinjaman"/>
      <sheetName val="SelisihKurs"/>
      <sheetName val="KursNota "/>
      <sheetName val="KursSend"/>
      <sheetName val="NrcKWh"/>
      <sheetName val="KOR-PAJAK"/>
      <sheetName val="KKIN"/>
      <sheetName val="LKIN"/>
      <sheetName val="AktivaTetap"/>
      <sheetName val="AkumAT"/>
      <sheetName val="TambahAT"/>
      <sheetName val="RinciSTP-Ush"/>
      <sheetName val="LawanKorAT"/>
      <sheetName val="PDP"/>
      <sheetName val="PDPKonstruksi"/>
      <sheetName val="PDPMaterial"/>
      <sheetName val="MutasiMaterial"/>
      <sheetName val="PDPPembMuka"/>
      <sheetName val="BiInves-Ikhtisar"/>
      <sheetName val="BiInves-Peg"/>
      <sheetName val="BIinves-OVH"/>
      <sheetName val="STP-PI"/>
      <sheetName val="LawanPDP"/>
      <sheetName val="ATTB"/>
      <sheetName val="AkumATTB"/>
      <sheetName val="RELOK-AT"/>
      <sheetName val="ATBM"/>
      <sheetName val="ReInKit"/>
      <sheetName val="ReInTran"/>
      <sheetName val="ReinDis"/>
      <sheetName val="PokokPJP"/>
      <sheetName val="PPJP-Valas"/>
      <sheetName val="Bikapsir"/>
      <sheetName val="PokokJPJT"/>
      <sheetName val="PokokJPJTValas"/>
      <sheetName val="BikapsirJT"/>
      <sheetName val="HutBunga"/>
      <sheetName val="HutBungaValas"/>
      <sheetName val="Gangguan S.D Juli 10 (2)"/>
      <sheetName val="Gangguan S.D Juli 10 (3)"/>
      <sheetName val="PENJELASAN"/>
      <sheetName val="DISBURSE SIDANG"/>
      <sheetName val="DISBURSE PER BULAN"/>
      <sheetName val="SKI-kontrak (3)"/>
      <sheetName val="SKI-kontrak (2)"/>
      <sheetName val="SKI-kontrak"/>
      <sheetName val="TRS"/>
      <sheetName val="TRS (2)"/>
      <sheetName val="R-BULANAN"/>
      <sheetName val="FORM A2-APLN"/>
      <sheetName val="FORM A1-APLN"/>
      <sheetName val="ANGGARAN (PAGU)"/>
      <sheetName val="ANGGARAN"/>
      <sheetName val="DISBURSE (PAGU)"/>
      <sheetName val="NR BULANAN"/>
      <sheetName val="triwulan"/>
      <sheetName val="FORM A3-APLN"/>
      <sheetName val="LUNCURAN 2009"/>
      <sheetName val="MINTASKI-288"/>
      <sheetName val="FORM-A3 FINAL (sesuai pagu)"/>
      <sheetName val="FORM-A3 FINAL(kebutuhan)"/>
      <sheetName val="SKI-(FINAL M)"/>
      <sheetName val="FORM-A3 FINAL(khusus trans) (2)"/>
      <sheetName val="FORM-A3 FINAL(khusus trans) "/>
      <sheetName val="FORM A3-APLN (PERCEPATAN)"/>
      <sheetName val="FORM A3-APLN "/>
      <sheetName val="FORM A3-APBN"/>
      <sheetName val="FORM-A4-APBN"/>
      <sheetName val="FORM A3-SLA"/>
      <sheetName val="FORM-A4-SLA"/>
      <sheetName val="REKAP RKAP "/>
      <sheetName val="REKAP RKAP  (2)"/>
      <sheetName val="AI (IS1)"/>
      <sheetName val="AI (IS2)(1)"/>
      <sheetName val="UNIT"/>
      <sheetName val="Perhitungan.Kin.Operasi"/>
      <sheetName val="H O P"/>
      <sheetName val="Perhitungan.Kin.Keuangan"/>
      <sheetName val="Perhitungan.Kin.Ads. PUKK"/>
      <sheetName val="Pengusahaan POINT"/>
      <sheetName val="LR-TRGT &amp; REAL _pnusysutanTUL3"/>
      <sheetName val="NRC _Target &amp;real non klp"/>
      <sheetName val="2003cab"/>
      <sheetName val="2003GAB"/>
      <sheetName val="2003ktgjh"/>
      <sheetName val="Rincian By Adminis"/>
      <sheetName val="Rincian Lain lain by Adm"/>
      <sheetName val="LabaRugi Lainnya 2007(20)"/>
      <sheetName val="LabaRugi Unsur2006(21A)"/>
      <sheetName val="LabaRugi Fungsi2006(21B)"/>
      <sheetName val="XXXXXXXX"/>
      <sheetName val="XXXXXXX0"/>
      <sheetName val="XXXXXXX1"/>
      <sheetName val="PRK"/>
      <sheetName val="CUTI TH"/>
      <sheetName val="WINDUAN 2"/>
      <sheetName val="WINDUAN 3"/>
      <sheetName val="WINDUAN 4"/>
      <sheetName val="PENSIUN"/>
      <sheetName val="Pensiun Normal"/>
      <sheetName val="THR"/>
      <sheetName val="Data Peg-Estimasi Angg 2005"/>
      <sheetName val="Gaji Dasar &amp; Index Daerah"/>
      <sheetName val="Tj. Rmh+Tj. Transp."/>
      <sheetName val="Tunj. Jabatan"/>
      <sheetName val="Cuti Tahunan "/>
      <sheetName val="Ct. Besar"/>
      <sheetName val="THR (baru)"/>
      <sheetName val="Iuran Pemb.Kerja"/>
      <sheetName val="Pajak"/>
      <sheetName val="Pakaian Dinas"/>
      <sheetName val="Rupa-rupa"/>
      <sheetName val="Uang Makan Lembur"/>
      <sheetName val="Biaya Diklat"/>
      <sheetName val="Rekap Total"/>
      <sheetName val="Usulan FINAL-1 Tahun"/>
      <sheetName val="TRIW+FUNGSI"/>
      <sheetName val="CASHFLOW-BULANAN"/>
      <sheetName val="MAT VALUE"/>
      <sheetName val="JASA-OS"/>
      <sheetName val="Instalasi"/>
      <sheetName val="TOTAL HAR-UNIT"/>
      <sheetName val="REKAP-MAT"/>
      <sheetName val="REKAP-JASA"/>
      <sheetName val="TOTAL-AO"/>
      <sheetName val="JASA"/>
      <sheetName val="MAT"/>
      <sheetName val="KANWIL"/>
      <sheetName val="BMASIN"/>
      <sheetName val="KBARU"/>
      <sheetName val="BARABAI"/>
      <sheetName val="PRAYA"/>
      <sheetName val="KPUAS"/>
      <sheetName val="SBTO"/>
      <sheetName val="APB"/>
      <sheetName val="S-ASAM2"/>
      <sheetName val="Cara"/>
      <sheetName val="Data Peg. per 1 Jan-2006"/>
      <sheetName val="Gaji Dasar"/>
      <sheetName val="Tj. Daerah"/>
      <sheetName val="Tj. Dasar"/>
      <sheetName val="Ct Th "/>
      <sheetName val="Ct.Bsr "/>
      <sheetName val="Iur Pemb Kerja"/>
      <sheetName val="Pajak "/>
      <sheetName val="Final - 1 Tahun"/>
      <sheetName val="Final - Triwulanan"/>
      <sheetName val="Final - Bulanan"/>
      <sheetName val="AI (IS2) (2)"/>
      <sheetName val="REK TRW (IS3)"/>
      <sheetName val="REK TRW (IS4)"/>
      <sheetName val="GABLUARJAWA1 (2)"/>
      <sheetName val="GABLUARJAWA2 (2)"/>
      <sheetName val="GABJAWA (2)"/>
      <sheetName val="GABUPUSAT (2)"/>
      <sheetName val="GABKONS (2)"/>
      <sheetName val="HOLDINGA (2)"/>
      <sheetName val="KONSOLIDASI (2)"/>
      <sheetName val="PRKAIDIST"/>
      <sheetName val="Tabel Istilah"/>
      <sheetName val="reconductr_SUTM_total"/>
      <sheetName val="BCR"/>
      <sheetName val="Cap Balance"/>
      <sheetName val="Pembebanan"/>
      <sheetName val="justifikasi"/>
      <sheetName val="tabel1"/>
      <sheetName val="tabel2"/>
      <sheetName val="IRR Manna"/>
      <sheetName val="Kamus"/>
      <sheetName val="Rekapitulasi"/>
      <sheetName val="Basket"/>
      <sheetName val="JTM"/>
      <sheetName val="JTR"/>
      <sheetName val="Gardu"/>
      <sheetName val="SR"/>
      <sheetName val="KWhmeter"/>
      <sheetName val="UAI"/>
      <sheetName val="Rekap000"/>
      <sheetName val="Basket000"/>
      <sheetName val="JTM000"/>
      <sheetName val="JTR000"/>
      <sheetName val="Gardu000"/>
      <sheetName val="SR000"/>
      <sheetName val="kWhmeter0"/>
      <sheetName val="UAI000"/>
      <sheetName val="Rincian Lain lain by Adm (2)"/>
      <sheetName val="LabaRugi Lainnya 2006(20)"/>
      <sheetName val="LAPORAN OAF-EAF"/>
      <sheetName val="IKP"/>
      <sheetName val="DATA 1"/>
      <sheetName val=" DATA 2"/>
      <sheetName val="DERATING 1"/>
      <sheetName val="DERATING 2"/>
      <sheetName val="OUTAGE 1"/>
      <sheetName val="OUTAGE2"/>
      <sheetName val="Table APJ"/>
      <sheetName val="Kinerja Unit Cetak"/>
      <sheetName val="PENGUSAHAAN HISTORY"/>
      <sheetName val="DATA PENGUSAHAAN"/>
      <sheetName val="PROYEKSI AO 2009"/>
      <sheetName val="PREDIKSI REALISASI AO 2008"/>
      <sheetName val="PROYEKSI AO 2009 REV"/>
      <sheetName val="PROYEKSI AO 2009 REV (2)"/>
      <sheetName val="PROYEKSI LABA-RUGI 2009"/>
      <sheetName val="PROYEKSI L-R 2009 Versi I"/>
      <sheetName val="PENGUSAHAAN 2009"/>
      <sheetName val="PROY L-R 2009 Ver I - II"/>
      <sheetName val="PROY AO 2009 Ver I-II"/>
      <sheetName val="PROYEKSI L-R 2009 Versi II"/>
      <sheetName val="PROYEKSI AO 2009 Versi I"/>
      <sheetName val="PROYEKSI AO 2009 Versi II"/>
      <sheetName val="MUK APJ"/>
      <sheetName val="MUK GM"/>
      <sheetName val="PENGUSAHAAN 2009 (4)"/>
      <sheetName val="PENGUSAHAAN 2009 (3)"/>
      <sheetName val="PENGUSAHAAN 2009 (2)"/>
      <sheetName val="PENGUSAHAAN 2008"/>
      <sheetName val="PROYEKSI LABA-RUGI 2009 REV"/>
      <sheetName val="AGENDA RAPIMPLUS"/>
      <sheetName val="JADWAL KOORDINASI"/>
      <sheetName val="MUK"/>
      <sheetName val="TATA TERTIB"/>
      <sheetName val="ROAD MAP DISTRIBUSI"/>
      <sheetName val="ROAD MAP NIAGA"/>
      <sheetName val="5.4 NIAGA"/>
      <sheetName val="Pendanaan 04"/>
      <sheetName val="Disclouse_04"/>
      <sheetName val="Draft Pendanaan Baru"/>
      <sheetName val="Piutang Denda Normal PK"/>
      <sheetName val="SKA Bunga Keterlambatan Iuran"/>
      <sheetName val="AlokBagHas"/>
      <sheetName val="lamp.2"/>
      <sheetName val="Piutang NormalPk"/>
      <sheetName val="KA-Normal Pemb.Kerja"/>
      <sheetName val="SKA Selisih Peny Aktuaria"/>
      <sheetName val="Iuran Normal PK Diterima Dim "/>
      <sheetName val="Piutang Normal Psrt"/>
      <sheetName val="KA-Normal Peserta"/>
      <sheetName val="Iuran Normal Pst Diterima Dim "/>
      <sheetName val="Piutang I. Tambahan"/>
      <sheetName val="AJE"/>
      <sheetName val="SKA Pemberi Kerja"/>
      <sheetName val="Iuran Tambahan Diterima Dimuka"/>
      <sheetName val="KA PEMBERI KERJA"/>
      <sheetName val="Bayar Kembali-PK"/>
      <sheetName val="Bayar Kembali-Psrt"/>
      <sheetName val="SKA Percepatan Def Solv"/>
      <sheetName val="Nam_Acc "/>
      <sheetName val="Disc Audit"/>
      <sheetName val="Pemby.Manf. Pens. Dimuka"/>
      <sheetName val="BayarPensiunBulanan"/>
      <sheetName val="BayarPensiun20%"/>
      <sheetName val="BayarPensiunSekaligus"/>
      <sheetName val="Utip Manf Pensiun"/>
      <sheetName val="Profile"/>
      <sheetName val="Chart Account"/>
      <sheetName val="GL_Account"/>
      <sheetName val="JK"/>
      <sheetName val="JB"/>
      <sheetName val="JM"/>
      <sheetName val="GL"/>
      <sheetName val="Notes BS"/>
      <sheetName val="BS"/>
      <sheetName val="PL"/>
      <sheetName val="WS"/>
      <sheetName val="Palopo Bermasalah"/>
      <sheetName val="Pere -Pare  Bermasalah"/>
      <sheetName val="Rekap Ptg"/>
      <sheetName val="Rincian Piutang"/>
      <sheetName val="Rekap Piutang Rincian"/>
      <sheetName val="Kode Nasabah"/>
      <sheetName val="Kumpul"/>
      <sheetName val="Data Sumber"/>
      <sheetName val="Rekap Piutang"/>
      <sheetName val="Rekap %"/>
      <sheetName val="Rekap Perwil"/>
      <sheetName val="Rkap"/>
      <sheetName val="Rekap Piutang Wil"/>
      <sheetName val="D Isi"/>
      <sheetName val="Targer &amp; Realisasi Penjualan"/>
      <sheetName val="Rencan &amp; Realisasi"/>
      <sheetName val="Perbandingan Penjualan"/>
      <sheetName val="Perbandinga Perbulan"/>
      <sheetName val="Realisasi Jual"/>
      <sheetName val="Ren Jual"/>
      <sheetName val="Analisa Cash &amp; Kredit"/>
      <sheetName val="Rekap posisi Piutang"/>
      <sheetName val="Transfer"/>
      <sheetName val="Rencana &amp; Realisasi Cash In"/>
      <sheetName val="Rekap % 1"/>
      <sheetName val="% PaK Hsn"/>
      <sheetName val="Rkap (2)"/>
      <sheetName val="Rekap Piut"/>
      <sheetName val="Rekap2"/>
      <sheetName val="REKAP PEND. NON OP &amp; BIA N AJUS"/>
      <sheetName val="REKAP BIAYA OPERASIONAL AJUST"/>
      <sheetName val="REKAP HPP AJUST"/>
      <sheetName val="REKAP LABA RUGI AJUST"/>
      <sheetName val="LABA RUGI WILAYAH AJUST"/>
      <sheetName val="LABA RUGI CETAK"/>
      <sheetName val="PERBANDINAGN 2001 2002"/>
      <sheetName val="GRAFIK PERCABANG AJUST"/>
      <sheetName val="GRAFIK PERCABANG"/>
      <sheetName val="GRAFIK PERBULAN AJUST"/>
      <sheetName val="GRAFIK PERBULAN"/>
      <sheetName val="REKAP PERBULAN AJUST"/>
      <sheetName val="REKAP PERCABANG AJUST"/>
      <sheetName val="REKAP BULAN BERJALAN AJUST"/>
      <sheetName val="REKAP BAHAN RAPAT KWARTAL I"/>
      <sheetName val="BAHAN RAPAT KWARTAL I"/>
      <sheetName val="SUL SEL KAMAL"/>
      <sheetName val="SUL SEL ARDI"/>
      <sheetName val="KOLAKA"/>
      <sheetName val="KENDARI"/>
      <sheetName val="MANADO"/>
      <sheetName val="GORONTALO"/>
      <sheetName val="SAMARINDA"/>
      <sheetName val="BALIKPAPAN"/>
      <sheetName val="BANYUWANGI"/>
      <sheetName val="SURABAYA setelah di ajust"/>
      <sheetName val="SURABAYA"/>
      <sheetName val="JAKARTA setelah di ajust"/>
      <sheetName val="JAKARTA"/>
      <sheetName val="DENPASAR"/>
      <sheetName val="Target RE 2013"/>
      <sheetName val="Target PELANGGAN PER UNIT 2013"/>
      <sheetName val="PELANGGAN Gab. per Unit 2013"/>
      <sheetName val="PLG KONSOLIDASI PER TARIF "/>
      <sheetName val="PLG Holding Pergolongan Tarif"/>
      <sheetName val="PLG gabungan Ind Barat PER TRF"/>
      <sheetName val="PLG gabungan Ind. Timur Per Trf"/>
      <sheetName val="PLG Gabungan Jawa Bali per TRF"/>
      <sheetName val="pELANGGAN gabungan Anak Pers"/>
      <sheetName val="PELANGAN PER TARIP PER UNIT"/>
      <sheetName val="Basic Price"/>
      <sheetName val="U_PRICE"/>
      <sheetName val="RAB- Embalut-Tgrg"/>
      <sheetName val="RAB"/>
      <sheetName val="REKAP-BQ"/>
      <sheetName val="BQ"/>
      <sheetName val="H. Satuan"/>
      <sheetName val="Persiapan(1)"/>
      <sheetName val="Tanah (2)"/>
      <sheetName val="Pondasi (3)"/>
      <sheetName val="Dinding (4)"/>
      <sheetName val="Plesteran (5)"/>
      <sheetName val="Kayu (6)"/>
      <sheetName val="Beton (7)"/>
      <sheetName val="Atap (8)"/>
      <sheetName val="Langit2 (9)"/>
      <sheetName val="Sanitasi (10)"/>
      <sheetName val="Besi-All (11)"/>
      <sheetName val="Kunci-kaca (12)"/>
      <sheetName val="Lantai-dinding (13)"/>
      <sheetName val="Cat (14)"/>
      <sheetName val="RAB "/>
      <sheetName val="Material"/>
      <sheetName val="Upah"/>
      <sheetName val="Sat. Pek."/>
      <sheetName val="Erection"/>
      <sheetName val="Pengadaan"/>
      <sheetName val="Pondasi"/>
      <sheetName val="B D AA6"/>
      <sheetName val="B D BB6"/>
      <sheetName val="B D CC6"/>
      <sheetName val="B D DD6"/>
      <sheetName val="QView"/>
      <sheetName val="Skenario"/>
      <sheetName val="Mgmt Rpt"/>
      <sheetName val="LR Region"/>
      <sheetName val="KK-LR"/>
      <sheetName val="KK-NRC"/>
      <sheetName val="Gap CF"/>
      <sheetName val="KK"/>
      <sheetName val="BPP Kons"/>
      <sheetName val="BPP Holding"/>
      <sheetName val="BPP Jamali"/>
      <sheetName val="BPP IBB Op"/>
      <sheetName val="BPP IBB"/>
      <sheetName val="BPP IBT Op"/>
      <sheetName val="BPP IBT"/>
      <sheetName val="BPP Btm"/>
      <sheetName val="BPP Trk"/>
      <sheetName val="Formula CICR-WACC"/>
      <sheetName val="Ren. Inv"/>
      <sheetName val="DCSR"/>
      <sheetName val="CICR"/>
      <sheetName val="WACC"/>
      <sheetName val="Kep 100-09"/>
      <sheetName val="Kep 100"/>
      <sheetName val="Butuh PSO"/>
      <sheetName val="Jual Rekap"/>
      <sheetName val="Jual-Unit"/>
      <sheetName val="KK EP"/>
      <sheetName val="Data EP"/>
      <sheetName val="L5IPP"/>
      <sheetName val="L6Sewa"/>
      <sheetName val="L8NE"/>
      <sheetName val="L 9"/>
      <sheetName val="L10Har"/>
      <sheetName val="L12Admin"/>
      <sheetName val="L13Depr"/>
      <sheetName val="L15 Investasi"/>
      <sheetName val="L20Keu"/>
      <sheetName val="KVA &amp; BP"/>
      <sheetName val="T7Penyertaan"/>
      <sheetName val="T14SDPD"/>
      <sheetName val="T15LPE"/>
      <sheetName val="T16PSO"/>
      <sheetName val="T17RISD"/>
      <sheetName val="T18LR AP"/>
      <sheetName val="T19Nrc AP"/>
      <sheetName val="Prognosa AP"/>
      <sheetName val="Rekap FSK TRW07"/>
      <sheetName val="Rekap Fisik MCT"/>
      <sheetName val="UAI_4"/>
      <sheetName val="UAI_2"/>
      <sheetName val="SR_07"/>
      <sheetName val="Target Fisik"/>
      <sheetName val="Raker 9 april"/>
      <sheetName val="REKAP UNIT 2"/>
      <sheetName val="REKAP UNIT 3"/>
      <sheetName val="RIP 3"/>
      <sheetName val="PENYERTAAN"/>
      <sheetName val="DISBURS"/>
      <sheetName val="A RUTIN"/>
      <sheetName val="B RUTIN"/>
      <sheetName val="A NON RUTIN"/>
      <sheetName val="B NON RUTIN"/>
      <sheetName val="1a. POLA OPERASI (Kontrol)"/>
      <sheetName val="1.b Pola Operasi"/>
      <sheetName val="2. ASUMSI &amp; OPERATOR"/>
      <sheetName val="3. Rekap Rinci Bulanan"/>
      <sheetName val="Ikhtisar I"/>
      <sheetName val="Loan B"/>
      <sheetName val="Loan C"/>
      <sheetName val="PEMELIHARAAN"/>
      <sheetName val="ADMINISTRASI"/>
      <sheetName val="PEGAWAI"/>
      <sheetName val=" 4. Sheet L R"/>
      <sheetName val="Neraca 2012"/>
      <sheetName val="Cash Flow 2012"/>
      <sheetName val="Hitungan Rincian"/>
      <sheetName val="ARS"/>
      <sheetName val="XXXXXX"/>
      <sheetName val="data1"/>
      <sheetName val="BTS"/>
      <sheetName val="Fixed"/>
      <sheetName val="Plgn PLN2003"/>
      <sheetName val="DATA PLGN PLN"/>
      <sheetName val="Internet"/>
      <sheetName val="Listrik"/>
      <sheetName val="Invest teleponi"/>
      <sheetName val="Roadmap RJP"/>
      <sheetName val="report"/>
      <sheetName val="NILAI ASET TELKOM PLN"/>
      <sheetName val="DETAIL INVESTASI"/>
      <sheetName val="Capex"/>
      <sheetName val="depr&amp;cicilan"/>
      <sheetName val="Opex"/>
      <sheetName val="Pasar RKAP"/>
      <sheetName val="TarifRKAP"/>
      <sheetName val="RevRKAP"/>
      <sheetName val="Income"/>
      <sheetName val="Chart1"/>
      <sheetName val="Valuasi Perusahaan"/>
      <sheetName val="Sensitivitas"/>
      <sheetName val="value row"/>
      <sheetName val="USAHA"/>
      <sheetName val="BBM-PLMS"/>
      <sheetName val="KOTA"/>
      <sheetName val="LUAR_KOTA"/>
      <sheetName val="SEWA-KWH"/>
      <sheetName val="BELI-KWH"/>
      <sheetName val="BP&amp;UJL"/>
      <sheetName val="Laba-Rugi"/>
      <sheetName val="Value-Added"/>
      <sheetName val="LK-1"/>
      <sheetName val="LK-1.1"/>
      <sheetName val="LK-1.2"/>
      <sheetName val="LK-1.3"/>
      <sheetName val="LK-1.4"/>
      <sheetName val="LK-1.5"/>
      <sheetName val="LK-1.6"/>
      <sheetName val="LK-1.7"/>
      <sheetName val="LK-2"/>
      <sheetName val="Analis. E-gak dipakai"/>
      <sheetName val="scd"/>
      <sheetName val="REK"/>
      <sheetName val="BREKDOWN"/>
      <sheetName val="HARGA Satuan"/>
      <sheetName val="Persiapan"/>
      <sheetName val="Tanah(B)"/>
      <sheetName val="pondasi(C)"/>
      <sheetName val="Beton(G)"/>
      <sheetName val="Tower "/>
      <sheetName val="KOND &amp; ACC (UNBALANCE)"/>
      <sheetName val="RAB INST"/>
      <sheetName val="bang sederhana"/>
      <sheetName val="bang tdk"/>
      <sheetName val="bang sd"/>
      <sheetName val="bang kantor"/>
      <sheetName val="bangun wc"/>
      <sheetName val="analisa hrg sat-gak dipakai"/>
      <sheetName val="analisa hrg sat (2)"/>
      <sheetName val="upah&amp;material-gak dipakai"/>
      <sheetName val="analisa E-blm diprint"/>
      <sheetName val="analisa bahan-gak dipakai"/>
      <sheetName val="rekap E"/>
      <sheetName val="alat"/>
      <sheetName val="rekap alat"/>
      <sheetName val="alat -1-udah"/>
      <sheetName val="alat - 2-UDAH"/>
      <sheetName val="alat - 4-diprint"/>
      <sheetName val="REKAP K"/>
      <sheetName val="K.Pvb"/>
      <sheetName val="K.PvbB"/>
      <sheetName val="k.spl"/>
      <sheetName val="K.035"/>
      <sheetName val="K.040"/>
      <sheetName val="K 110"/>
      <sheetName val="K 111"/>
      <sheetName val="K.210"/>
      <sheetName val="K 211"/>
      <sheetName val="K.224"/>
      <sheetName val="K.310"/>
      <sheetName val="K.310.SPL"/>
      <sheetName val="K.311"/>
      <sheetName val="K.321"/>
      <sheetName val="K.321.SPL.A"/>
      <sheetName val="K.321.SPL.B"/>
      <sheetName val="k 422"/>
      <sheetName val="K510"/>
      <sheetName val="k 510 spl"/>
      <sheetName val="K.516"/>
      <sheetName val="K520"/>
      <sheetName val="K.618"/>
      <sheetName val="K  636"/>
      <sheetName val="K  641"/>
      <sheetName val="K  705"/>
      <sheetName val="K  710"/>
      <sheetName val="K  715"/>
      <sheetName val="K  719"/>
      <sheetName val="K  720"/>
      <sheetName val="K  721"/>
      <sheetName val="K  722"/>
      <sheetName val="K 726"/>
      <sheetName val="K  730"/>
      <sheetName val="K 815 SPL"/>
      <sheetName val="TDL2001"/>
      <sheetName val="TDL2002"/>
      <sheetName val="Sch-1"/>
      <sheetName val="Sch-2"/>
      <sheetName val="Sch-3"/>
      <sheetName val="Sch-4"/>
      <sheetName val="Sch-5"/>
      <sheetName val="NEKons"/>
      <sheetName val="020108"/>
      <sheetName val="030108a"/>
      <sheetName val="030108b"/>
      <sheetName val="170108"/>
      <sheetName val="310108"/>
      <sheetName val="080208"/>
      <sheetName val="270208"/>
      <sheetName val="080208 BBMrendah"/>
      <sheetName val="rkap2008"/>
      <sheetName val="KSU"/>
      <sheetName val="KSS"/>
      <sheetName val="Changes"/>
      <sheetName val="SewaDis(12A2)"/>
      <sheetName val="FORM-B"/>
      <sheetName val="FORM_B"/>
      <sheetName val="Hal-1"/>
      <sheetName val="VALUE"/>
      <sheetName val="Indikator210"/>
      <sheetName val="Indikator215"/>
      <sheetName val="Hal-2"/>
      <sheetName val="Hal-3"/>
      <sheetName val="Hal-4"/>
      <sheetName val="Hal-5"/>
      <sheetName val="Hal-6"/>
      <sheetName val="Hal-7"/>
      <sheetName val="Hal8-13"/>
      <sheetName val="Hal-14"/>
      <sheetName val="Hal-15"/>
      <sheetName val="Hal-16"/>
      <sheetName val="PEND-ARUS"/>
      <sheetName val="PEND-BBM"/>
      <sheetName val="PEND-HAR"/>
      <sheetName val="PEND-PEG"/>
      <sheetName val="PEND-ADM"/>
      <sheetName val="FORMA"/>
      <sheetName val="FORMB"/>
      <sheetName val="SCHEDULE"/>
      <sheetName val="Web"/>
      <sheetName val="KWH FUEL MIX"/>
      <sheetName val="Kwh Tranper"/>
      <sheetName val="KWH masuk BBM bbb gas"/>
      <sheetName val=" OIL  2012 WLH REKAP "/>
      <sheetName val="KWH SENDIRI &amp; SEWA 20112"/>
      <sheetName val=" BB BARA REKAP 2012"/>
      <sheetName val=" BBM 2012 WLH REKAP"/>
      <sheetName val="KWH GABUNGAN 2012"/>
      <sheetName val="TambahAKUM"/>
      <sheetName val="RinciSTP-Prodes"/>
      <sheetName val="Rekap PDP"/>
      <sheetName val="BIinves-Pemeliharaan"/>
      <sheetName val="LPS"/>
      <sheetName val="ATTBTotal"/>
      <sheetName val="ATTBHapus"/>
      <sheetName val="ATTBRelokasi"/>
      <sheetName val="ATTBDiperbaiki"/>
      <sheetName val="AkumATTBTotal"/>
      <sheetName val="AkumATTBHapus"/>
      <sheetName val="AkumATTBRelokasi"/>
      <sheetName val="AkumATTBDiperbaiki"/>
      <sheetName val="Rincian ATTB"/>
      <sheetName val="InvestasiA"/>
      <sheetName val="PendukungInves"/>
      <sheetName val="00000"/>
      <sheetName val="0000"/>
      <sheetName val="00"/>
      <sheetName val="0"/>
      <sheetName val=""/>
      <sheetName val="PANTAUAN"/>
      <sheetName val="D-Usaha"/>
      <sheetName val="LKAO"/>
      <sheetName val="FGTM 01"/>
      <sheetName val="Lampiran I"/>
      <sheetName val="Penyert-anak"/>
      <sheetName val="Penyert-Saham"/>
      <sheetName val="MilikSaham"/>
      <sheetName val="NCI"/>
      <sheetName val="BI.DTGH"/>
      <sheetName val="BDDLainnya"/>
      <sheetName val="Dmk-Pjk"/>
      <sheetName val="RDBDP"/>
      <sheetName val="PUMKPR"/>
      <sheetName val="Kas&amp;Strkas"/>
      <sheetName val="Piut-Umur"/>
      <sheetName val="Piut-Umur BARU"/>
      <sheetName val="Piut-Umur LAMA"/>
      <sheetName val="Piut-umur-bln"/>
      <sheetName val="PiutRR"/>
      <sheetName val="PenyisihanPiutang"/>
      <sheetName val="Persd-Mat"/>
      <sheetName val="KlasPersd"/>
      <sheetName val="PenyisihanMat"/>
      <sheetName val="Rinc-Bl-BBM"/>
      <sheetName val="HutangUsaha"/>
      <sheetName val="HutBiProy"/>
      <sheetName val="FORM REKON DP"/>
      <sheetName val="UtangUsaha"/>
      <sheetName val="IPS-IPK"/>
      <sheetName val="ManfPs"/>
      <sheetName val="SKP"/>
      <sheetName val="UtLainPJ"/>
      <sheetName val="UtLainPD"/>
      <sheetName val="Utg SGU"/>
      <sheetName val="UJL"/>
      <sheetName val="DMKLPB-TARIF"/>
      <sheetName val="DMKLPB-LANGG"/>
      <sheetName val="JualGLangg"/>
      <sheetName val="JUAL LPB-TARIF"/>
      <sheetName val="JUAL LPB-LANGG"/>
      <sheetName val="JUAL&amp;BL-TL"/>
      <sheetName val="PENDOPLN&amp;BEOPLAIN"/>
      <sheetName val="ProduksiTLSendiri"/>
      <sheetName val="BPeg-U"/>
      <sheetName val="Reals-MP"/>
      <sheetName val="BOLain1"/>
      <sheetName val="BOLain2"/>
      <sheetName val="Non Allw Cost"/>
      <sheetName val="BeLuOp"/>
      <sheetName val="BePinjaman"/>
      <sheetName val="PJK-TGH"/>
      <sheetName val="HASIL PERHITUNGAN"/>
      <sheetName val="DATA PENDUKUNG OP."/>
      <sheetName val="PENGISIAN DATA PENDUKUNG OAF"/>
      <sheetName val="PENGISIAN DATA PENDUKUNG CSF"/>
      <sheetName val="PENGISIAN DATA TARA KALOR"/>
      <sheetName val="PENGISIAN DATA PENDUKUNG KEU."/>
      <sheetName val="REAL-LR"/>
      <sheetName val="REAL-NER"/>
      <sheetName val="KOMPLAIN PLG"/>
      <sheetName val="GB-PRY"/>
      <sheetName val="dttr"/>
      <sheetName val="PBUN"/>
      <sheetName val="rekap-pp"/>
      <sheetName val="A2 pri123 (REKAP)"/>
      <sheetName val="A1 pri123 (2)"/>
      <sheetName val="A1 pri123"/>
      <sheetName val="A2 pri123"/>
      <sheetName val="A2 pri1"/>
      <sheetName val="A2 pri2"/>
      <sheetName val="A2 pri3"/>
      <sheetName val="KUMULATIP"/>
      <sheetName val="GRAFIK"/>
      <sheetName val="JAN"/>
      <sheetName val="FEB"/>
      <sheetName val="MAR"/>
      <sheetName val="APR"/>
      <sheetName val="MAY"/>
      <sheetName val="JUNE"/>
      <sheetName val="JULI"/>
      <sheetName val="AGUS"/>
      <sheetName val="SEPT03"/>
      <sheetName val="OKT"/>
      <sheetName val="NOF"/>
      <sheetName val="DES"/>
      <sheetName val="O"/>
      <sheetName val="SGV"/>
      <sheetName val="OPERASI KIT"/>
      <sheetName val="BTN"/>
      <sheetName val="Analisa Tie Line"/>
      <sheetName val="Analisa  Bundaran Mandonga"/>
      <sheetName val="GAMBAR"/>
      <sheetName val="CMKS"/>
      <sheetName val="CWP"/>
      <sheetName val="CPG"/>
      <sheetName val="CPL"/>
      <sheetName val="CPR"/>
      <sheetName val="CBK"/>
      <sheetName val="CKD"/>
      <sheetName val="CBB"/>
      <sheetName val="CMM"/>
      <sheetName val="WILAYAH"/>
      <sheetName val="Rekap_ 01"/>
      <sheetName val="Usulan 10 Juli 2012"/>
      <sheetName val="LKAI NR 2012 _Rev 01"/>
      <sheetName val="Disburse Bulanan (REAL)"/>
      <sheetName val="Perkiraan SD AkhThn"/>
      <sheetName val="Rutin 2012_01 "/>
      <sheetName val="AKB APLN"/>
      <sheetName val="Arus Kas Bulanan_01"/>
      <sheetName val="NOVEMBER"/>
      <sheetName val="OKTOBER"/>
      <sheetName val="SEPTEMBER"/>
      <sheetName val="AGUSTUS"/>
      <sheetName val="TARGET BARU"/>
      <sheetName val="JUNI"/>
      <sheetName val="MEI"/>
      <sheetName val="APRL"/>
      <sheetName val="MART"/>
      <sheetName val="% "/>
      <sheetName val="Rekap Bln"/>
      <sheetName val="Rekap APJ"/>
      <sheetName val="TARGET BLN"/>
      <sheetName val="Des07"/>
      <sheetName val="Des06"/>
      <sheetName val="Des05"/>
      <sheetName val="TW"/>
      <sheetName val="Petunjuk"/>
      <sheetName val="TM1. HarMat(12C1)"/>
      <sheetName val="TM1. HarJabor(12C2)"/>
      <sheetName val="laroux"/>
      <sheetName val="JANUARI "/>
      <sheetName val="NEWFORMATOAJAN09"/>
      <sheetName val="REFERENSI"/>
      <sheetName val="FORM 12A JAN 09"/>
      <sheetName val="JAN09 Ggn Manual"/>
      <sheetName val="JAN09 Hps Manual "/>
      <sheetName val="FEBRUARI"/>
      <sheetName val="NEWFORMATOAFEB09"/>
      <sheetName val="FORM 12A FEB 09"/>
      <sheetName val="FEB09 Ggn Manual"/>
      <sheetName val="FEB09 Hps Manual "/>
      <sheetName val="MARET"/>
      <sheetName val="NEWFORMATOAMAR09"/>
      <sheetName val="FORM 12A MAR 09"/>
      <sheetName val="MAR09 Ggn Manual"/>
      <sheetName val="MAR09 Hps Manual "/>
      <sheetName val="JUN"/>
      <sheetName val="JUL"/>
      <sheetName val="AGT"/>
      <sheetName val="SEP"/>
      <sheetName val="SEP.REV"/>
      <sheetName val="SEP edit"/>
      <sheetName val="NOV"/>
      <sheetName val="ExSummary"/>
      <sheetName val="ExSummary-PI"/>
      <sheetName val="PPJ"/>
      <sheetName val="PPN"/>
      <sheetName val="MATERAI"/>
      <sheetName val="TAGSUS"/>
      <sheetName val="BP"/>
      <sheetName val="TRAFO"/>
      <sheetName val="KTRLAMBATAN"/>
      <sheetName val="INVOICE"/>
      <sheetName val="KLP"/>
      <sheetName val="Bank-Pendp&amp;Pemby"/>
      <sheetName val="Hut-Pajak"/>
      <sheetName val="HutLainPJ"/>
      <sheetName val="HutLainPD"/>
      <sheetName val="Htg SGU"/>
      <sheetName val="HutangBiaya"/>
      <sheetName val="ID"/>
      <sheetName val="Auxilary Tabel 1"/>
      <sheetName val="Laba Rugi All 1"/>
      <sheetName val="Neraca All 1"/>
      <sheetName val="K-amb 1"/>
      <sheetName val="Laba Rugi All 2"/>
      <sheetName val="Neraca All 2"/>
      <sheetName val="Laba Rugi All 3"/>
      <sheetName val="Neraca All 3"/>
      <sheetName val="Laba Rugi All 4"/>
      <sheetName val="Neraca All 4"/>
      <sheetName val="Kit &amp; Dist"/>
      <sheetName val="DSM"/>
      <sheetName val="SAIDI &amp; SAIFI"/>
      <sheetName val="Auxilary Tabel 2"/>
      <sheetName val="Auxilary Tabel 3"/>
      <sheetName val="SDM"/>
      <sheetName val="Target"/>
      <sheetName val="K-Corp-1"/>
      <sheetName val="LM 1"/>
      <sheetName val="K-Corp-2"/>
      <sheetName val="LM 2"/>
      <sheetName val="K-Corp-3"/>
      <sheetName val="LM 3"/>
      <sheetName val="K-Amb-4"/>
      <sheetName val="K-Tnt-4"/>
      <sheetName val="K-Tua-4"/>
      <sheetName val="K-Corp-4"/>
      <sheetName val="LM 4"/>
      <sheetName val="QPR 1"/>
      <sheetName val="QPR 2"/>
      <sheetName val="QPR 3"/>
      <sheetName val="QPR 4"/>
      <sheetName val="Keu 1"/>
      <sheetName val="Auxilary Tabel 4"/>
      <sheetName val="Keu 2"/>
      <sheetName val="Keu 3"/>
      <sheetName val="Keu 4"/>
      <sheetName val="Data BI"/>
      <sheetName val="Lampiran Surat Kalibrasi"/>
      <sheetName val="GANGGUAN"/>
      <sheetName val="SELISIH KURS"/>
      <sheetName val="by. adm"/>
      <sheetName val="biaya pegawai"/>
      <sheetName val="KALIBRASI Peg &amp; SDM"/>
      <sheetName val="ANEV"/>
      <sheetName val="HSD"/>
      <sheetName val="MFO"/>
      <sheetName val="ANEV (2)"/>
      <sheetName val="Minyak Pelumas"/>
      <sheetName val="Teori"/>
      <sheetName val="Lap KIT"/>
      <sheetName val="NEW FORMAT"/>
      <sheetName val="FORM 12A"/>
      <sheetName val="FORM 12B Ggn"/>
      <sheetName val="FORM 12B Hapus"/>
      <sheetName val="MONITORING 2007"/>
      <sheetName val="MONITORING 2008"/>
      <sheetName val="MONITORING 2009"/>
      <sheetName val="rkap2010_latihan"/>
      <sheetName val="TM1Beli"/>
      <sheetName val="Penjualan08"/>
      <sheetName val="Penjualan09"/>
      <sheetName val="Penjualan10"/>
      <sheetName val="Sale10vAGA"/>
      <sheetName val="Gab 2010-2011 Ver1"/>
      <sheetName val="Visi Dis 2012"/>
      <sheetName val="rkap2010"/>
      <sheetName val="Prod01"/>
      <sheetName val="Prod2"/>
      <sheetName val="Compatibility Report"/>
      <sheetName val="20100119 RKAP 2010 - All Region"/>
      <sheetName val="JualPerTarip11"/>
      <sheetName val="20100929"/>
      <sheetName val="NE Prog"/>
      <sheetName val="Roadmap"/>
      <sheetName val="Skenario 1"/>
      <sheetName val="Skenario 2"/>
      <sheetName val="REALISASI PER-WIL"/>
      <sheetName val="REALISASI PER-KIT"/>
      <sheetName val="IPP 2011"/>
      <sheetName val="Rekap PLN+IPP"/>
      <sheetName val="Sumatera"/>
      <sheetName val="P3BJB"/>
      <sheetName val="P3BS"/>
      <sheetName val="Coal"/>
      <sheetName val="Batubara"/>
      <sheetName val="Gas"/>
      <sheetName val="PS LJB"/>
      <sheetName val="PS JB"/>
      <sheetName val="APBN"/>
      <sheetName val="Hydro"/>
      <sheetName val="Geothermal"/>
      <sheetName val="NE 1811"/>
      <sheetName val="sewa LJB"/>
      <sheetName val="IPP"/>
      <sheetName val="10.000 MW"/>
      <sheetName val="IB"/>
      <sheetName val="EP"/>
      <sheetName val="NE 1704"/>
      <sheetName val="Sheet1(QInfo)"/>
      <sheetName val="Sheet1(QData)"/>
      <sheetName val="PRODUKSI 2013"/>
      <sheetName val="NE 2013"/>
      <sheetName val="Fuel Mix"/>
      <sheetName val="FuelMix IPP Sewa"/>
      <sheetName val="(I)"/>
      <sheetName val="(III)"/>
      <sheetName val="(V)"/>
      <sheetName val="(VI)"/>
      <sheetName val="(VII)"/>
      <sheetName val="(IV)"/>
      <sheetName val="4"/>
      <sheetName val="PF"/>
      <sheetName val="Pembangkit"/>
      <sheetName val="GMU Borang Medco"/>
      <sheetName val="CF BORANG JAKABARING"/>
      <sheetName val="FuelUsed (Netto)"/>
      <sheetName val="PS"/>
      <sheetName val="FUEL USED"/>
      <sheetName val="FuelUsed (Brutto)"/>
      <sheetName val="Produksi per Sektor 2010"/>
      <sheetName val="Cek Progres F12,13,14"/>
      <sheetName val="Per pemasok Gas"/>
      <sheetName val="IPP 2009"/>
      <sheetName val="HRG BBM NON PTM"/>
      <sheetName val="HRG BBM PTM Tangki-Tanker"/>
      <sheetName val="HRG PTM PIPA"/>
      <sheetName val="HRG GAS"/>
      <sheetName val="Kontrak vs Realisasi Gas"/>
      <sheetName val="Grafik Gas"/>
      <sheetName val="Grafik batubara2"/>
      <sheetName val="GWh Per-Jns Kit"/>
      <sheetName val="Stok Fuel"/>
      <sheetName val="Stok HSD LJB"/>
      <sheetName val="Stok HSD Jawa"/>
      <sheetName val="Stok MFO LJB"/>
      <sheetName val="Stok MFO Jawa"/>
      <sheetName val="Stok Coal LJB"/>
      <sheetName val="Stok Coal Jawa"/>
      <sheetName val="Batubara Ind"/>
      <sheetName val="Rp-kWh"/>
      <sheetName val="AP"/>
      <sheetName val="Percepatan"/>
      <sheetName val="SUMMARY SFC"/>
      <sheetName val="Trans JB"/>
      <sheetName val="NE 3009"/>
      <sheetName val="KIT SBS"/>
      <sheetName val="Tabel ND"/>
      <sheetName val="Grafik ND"/>
      <sheetName val="Panduan"/>
      <sheetName val="GGN"/>
      <sheetName val="MAMPU NETTO"/>
      <sheetName val="V. MUSIM"/>
      <sheetName val="DERATING"/>
      <sheetName val="Produksi PLTA"/>
      <sheetName val="BESAI"/>
      <sheetName val="BTTGI"/>
      <sheetName val="TESS"/>
      <sheetName val="MUSI"/>
      <sheetName val="B.AGAM"/>
      <sheetName val="MNJAU"/>
      <sheetName val="SNKRK"/>
      <sheetName val="KTPJG"/>
      <sheetName val="MAMPU PASOK"/>
      <sheetName val="NERDA"/>
      <sheetName val="BP TTGI"/>
      <sheetName val="KOMPOS BP"/>
      <sheetName val="BP HK HM"/>
      <sheetName val="Beban Sumatra 2009"/>
      <sheetName val="GRF BP"/>
      <sheetName val="Waduk"/>
      <sheetName val="Grafik ND (2)"/>
      <sheetName val="DMN"/>
      <sheetName val="Grafik ND SBST (Numpang)"/>
      <sheetName val="Comp Subsidi"/>
      <sheetName val="Biaya BBM"/>
      <sheetName val="Neraca TL"/>
      <sheetName val="CF Tw"/>
      <sheetName val="T14-SDPD"/>
      <sheetName val="BPP"/>
      <sheetName val="kWh Jual"/>
      <sheetName val="SDPD-F"/>
      <sheetName val="T15-LPE"/>
      <sheetName val="Bahan Bakar"/>
      <sheetName val="KVA"/>
      <sheetName val="Keb. Subsidi"/>
      <sheetName val="L 8"/>
      <sheetName val="L10-Har"/>
      <sheetName val="KEPMEN 100"/>
      <sheetName val="Sewa Kit"/>
      <sheetName val="L5-IPP"/>
      <sheetName val="L11-Peg"/>
      <sheetName val="L12-Admin"/>
      <sheetName val="L13-Penyusutan"/>
      <sheetName val="L20-Pinjaman"/>
      <sheetName val="T16-PSO"/>
      <sheetName val="T17-RISD"/>
      <sheetName val="T18-LR AP"/>
      <sheetName val="T19-NRC AP"/>
      <sheetName val="T7-Penyertaan"/>
      <sheetName val="PROD JUAL BBR"/>
      <sheetName val="BABEL"/>
      <sheetName val="KALBAR"/>
      <sheetName val="ACEH"/>
      <sheetName val="S2JB"/>
      <sheetName val="SUMUT"/>
      <sheetName val="SUMBAR"/>
      <sheetName val="RIAU"/>
      <sheetName val="KIT SBU"/>
      <sheetName val="Kaltim"/>
      <sheetName val="Kalselteng"/>
      <sheetName val="Suluttenggo"/>
      <sheetName val="Sulselrabar"/>
      <sheetName val="MMU"/>
      <sheetName val="NTB"/>
      <sheetName val="NTT"/>
      <sheetName val="Papua"/>
      <sheetName val="Tarakan"/>
      <sheetName val="Bruto"/>
      <sheetName val="Rekap2013"/>
      <sheetName val="RKAP13"/>
      <sheetName val="NE 2609"/>
      <sheetName val="Kit BBM"/>
      <sheetName val="Energy Mix"/>
      <sheetName val="PLTU L. Jawa (2)"/>
      <sheetName val="PLTU Jawa  "/>
      <sheetName val="Bogor 27-Sep-2012"/>
      <sheetName val="est2013"/>
      <sheetName val="tUnit"/>
      <sheetName val="Cascading"/>
      <sheetName val="rayon"/>
      <sheetName val="sek"/>
      <sheetName val="ul"/>
      <sheetName val="area"/>
      <sheetName val="PkRp"/>
      <sheetName val="Harga BBM Indonesia"/>
      <sheetName val="CashFlow012001Anggaran"/>
      <sheetName val="Ref"/>
      <sheetName val="Penjualan"/>
      <sheetName val="PdptBP"/>
      <sheetName val="PdptLain"/>
      <sheetName val="ProdVolBiaya"/>
      <sheetName val="BPeg"/>
      <sheetName val="Depr"/>
      <sheetName val="BAdmin"/>
      <sheetName val="LuarOperasi"/>
      <sheetName val="ca"/>
      <sheetName val="01 A"/>
      <sheetName val="R-SM-KIN"/>
      <sheetName val="R_SM_KIN"/>
      <sheetName val="R-SM-KIN-PRO-JAWAB (2)"/>
      <sheetName val="R-SM-KIN-PRO-JAWAB"/>
      <sheetName val="forcat-KIN-th"/>
      <sheetName val="forcast-jam-tt "/>
      <sheetName val="forcest th"/>
      <sheetName val="sm-2"/>
      <sheetName val="SM-1"/>
      <sheetName val="MEI "/>
      <sheetName val="jan-april "/>
      <sheetName val="APR "/>
      <sheetName val=" (TW-1) "/>
      <sheetName val="PEB "/>
      <sheetName val="JAN "/>
      <sheetName val="R-SM-BB "/>
      <sheetName val="R-SM-JAM"/>
      <sheetName val="R-SM-KIN-PRO"/>
      <sheetName val="R-SM-JAM-PRO"/>
      <sheetName val="PR-TH"/>
      <sheetName val="KIN-TH"/>
      <sheetName val="pro"/>
      <sheetName val="BiPeg-Fungsi"/>
      <sheetName val="PTKU (2)"/>
      <sheetName val="BPP-BANDUNG"/>
      <sheetName val="PembelianTL(12A1)"/>
      <sheetName val="BiAdmin-U unit non Jasa(12E1.a)"/>
      <sheetName val="BiAdmin-U unit Jasa(12E1.b)"/>
      <sheetName val="BiAdmin-F unit non Jasa(12E2.a)"/>
      <sheetName val="BiAdmin-F unit Jasa(12E2.b)"/>
      <sheetName val="BiPinjaman(15)"/>
      <sheetName val="LabaRugi Lainnya(20)"/>
      <sheetName val="Pos-pos Biaya Kritis (22)"/>
      <sheetName val="BPP PLN"/>
      <sheetName val="KMS-DISHIGH "/>
      <sheetName val="LOGSHEET_RESUME"/>
      <sheetName val="LOGRESUME"/>
      <sheetName val="LOGSHEET_AM"/>
      <sheetName val="LOGSHEET_PM"/>
      <sheetName val="mesin"/>
      <sheetName val="mesin_dispatch"/>
      <sheetName val="EREV_PLAN"/>
      <sheetName val="Price"/>
      <sheetName val="TRADING_EVA"/>
      <sheetName val="Alokasi-06"/>
      <sheetName val="MASTER 2"/>
      <sheetName val="Growth 6 % - P3B (PLTGU + BBM)"/>
      <sheetName val="Break Down Produksi"/>
      <sheetName val="Break Down Biaya Kimia,Air"/>
      <sheetName val="Break Down Biaya M.Plmas "/>
      <sheetName val="Break Down Vol. M.Plmas"/>
      <sheetName val="Break Down Biaya BBM "/>
      <sheetName val="Break Down Volume BBM"/>
      <sheetName val="Break Down Ppenjualan"/>
      <sheetName val="Eff.Thermal"/>
      <sheetName val="RKA 2010"/>
      <sheetName val="TW Periodik"/>
      <sheetName val="TW Khusus"/>
      <sheetName val="TW Rutin"/>
      <sheetName val="PLTGU_rut"/>
      <sheetName val="PLTGU_per"/>
      <sheetName val="PLTGU_khu"/>
      <sheetName val="PLTU_rut"/>
      <sheetName val="PLTU_per"/>
      <sheetName val="PLTU_khu"/>
      <sheetName val="PLTG_rut"/>
      <sheetName val="PLTG_per"/>
      <sheetName val="PLTG_khu"/>
      <sheetName val="PLTD_rut"/>
      <sheetName val="PLTD_per"/>
      <sheetName val="PLTD_khu"/>
      <sheetName val="Fungsi Clearing_Rut"/>
      <sheetName val="Fungsi Clearing_khu"/>
      <sheetName val="Har-TGP_BA"/>
      <sheetName val="APK&amp;K3"/>
      <sheetName val="mo_pel"/>
      <sheetName val="mo_filt"/>
      <sheetName val="Pek"/>
      <sheetName val="mo_umum"/>
      <sheetName val="Kimia Lab"/>
      <sheetName val="LabaRugi Fungsi "/>
      <sheetName val="LabaRugi Unsur th(t-1)(21A)"/>
      <sheetName val="LabaRugi Fungsi th (t-1)(21B)"/>
      <sheetName val="PLB (2)"/>
      <sheetName val="LHT (2)"/>
      <sheetName val="G. W_Cab"/>
      <sheetName val="Target (2)"/>
      <sheetName val="MONITOR-SUSUT"/>
      <sheetName val="PLB"/>
      <sheetName val="LHT"/>
      <sheetName val="JBI"/>
      <sheetName val="BKL"/>
      <sheetName val="WS2JB_KIRIM"/>
      <sheetName val="Rek_WS2JB"/>
      <sheetName val="Rek_PLB"/>
      <sheetName val="Rek_LHT "/>
      <sheetName val="Rek_JBI "/>
      <sheetName val="Rek_BKL "/>
      <sheetName val="Mon_kWh Lur"/>
      <sheetName val="Data_KPUB"/>
      <sheetName val="Index"/>
      <sheetName val="PLN-2"/>
      <sheetName val="PLN-1"/>
      <sheetName val="Invoice U2"/>
      <sheetName val="Invoice U1"/>
      <sheetName val="BA Ind"/>
      <sheetName val="BA Eng"/>
      <sheetName val="BA-1"/>
      <sheetName val="C-1"/>
      <sheetName val="C-2"/>
      <sheetName val="D-1"/>
      <sheetName val="D-2"/>
      <sheetName val="CDO"/>
      <sheetName val="B"/>
      <sheetName val="C"/>
      <sheetName val="I"/>
      <sheetName val="RL-BPP"/>
      <sheetName val="Asumsi "/>
      <sheetName val="Harga BBM"/>
      <sheetName val="SubLis-07"/>
      <sheetName val="Rekap Sublis"/>
      <sheetName val="Rekap BPP"/>
      <sheetName val="D"/>
      <sheetName val="E"/>
      <sheetName val="F"/>
      <sheetName val="G"/>
      <sheetName val="H"/>
      <sheetName val="J"/>
      <sheetName val="K"/>
      <sheetName val="M"/>
      <sheetName val="By Non BPP-06"/>
      <sheetName val="LRAnak"/>
      <sheetName val="KWHJUAL"/>
      <sheetName val="Indk"/>
      <sheetName val="Debcap"/>
      <sheetName val="asumsi-org"/>
      <sheetName val="RAB pnw"/>
      <sheetName val="Mobilisasi-pnw"/>
      <sheetName val="Land Clearing-pnw"/>
      <sheetName val="Cut &amp; Fill-pnw"/>
      <sheetName val="Peralatan-pnw"/>
      <sheetName val="BA Hasil Evaluasi"/>
      <sheetName val="UMUM"/>
      <sheetName val="PENGALAM PERUS"/>
      <sheetName val="PENGALAMAN TA(A3)"/>
      <sheetName val="PENGALAMAN TA(A4)"/>
      <sheetName val="Beltra  (7)"/>
      <sheetName val="ARchimedia"/>
      <sheetName val="Multi struktur"/>
      <sheetName val="Ariman"/>
      <sheetName val="Latimojong"/>
      <sheetName val="Cipta Bina Tirta"/>
      <sheetName val="Kharisma Cipta Utama"/>
      <sheetName val="penyulang"/>
      <sheetName val="TOTAL"/>
      <sheetName val="har 70"/>
      <sheetName val="har 150"/>
      <sheetName val="GGN TRANS 150"/>
      <sheetName val="GGN TRANS 70"/>
      <sheetName val="GGN-PENYULANG"/>
      <sheetName val="GGN-TRANSMISI-07"/>
      <sheetName val="GGN-KIT-07"/>
      <sheetName val="KINERJA KIT"/>
      <sheetName val="GGN TRANS"/>
      <sheetName val="DATA-BASE SUTT"/>
      <sheetName val="TRF-07"/>
      <sheetName val="ALT II (CABANG)"/>
      <sheetName val="ALT I (CABANG)"/>
      <sheetName val="Simulasi"/>
      <sheetName val="beban"/>
      <sheetName val="ALT I"/>
      <sheetName val="ALT II"/>
      <sheetName val="ALT III"/>
      <sheetName val="REkap awal"/>
      <sheetName val="REKAP GAB "/>
      <sheetName val="REKAP BJM"/>
      <sheetName val="FORM A1 BJM"/>
      <sheetName val="REKAP PRY"/>
      <sheetName val="REKAP BRB"/>
      <sheetName val="FORM A1 BRB"/>
      <sheetName val="REKAP KLP"/>
      <sheetName val="FORM A1 KLP"/>
      <sheetName val="REKAP KTB"/>
      <sheetName val="AI 1 CAB KTB 2007 "/>
      <sheetName val="sum PRY"/>
      <sheetName val="A1 PRY"/>
      <sheetName val="BLKRAB"/>
      <sheetName val="hps mo"/>
      <sheetName val="MTDANA"/>
      <sheetName val="RAB MO"/>
      <sheetName val="ANALISA BARANG"/>
      <sheetName val="ANALISA JASA"/>
      <sheetName val="BARANG"/>
      <sheetName val="MATERIAL3"/>
      <sheetName val="Parameter"/>
      <sheetName val="DataBaru"/>
      <sheetName val="Cek Per Pegawai"/>
      <sheetName val="CUTI (Rp)"/>
      <sheetName val="CUTI BESAR (Rp)"/>
      <sheetName val="BULAN WINDUAN"/>
      <sheetName val="WINDUAN 2 (Rp)"/>
      <sheetName val="WINDUAN 3 (Rp)"/>
      <sheetName val="WINDUAN 4 (Rp)"/>
      <sheetName val="MASA KERJA"/>
      <sheetName val="THR (Rp)"/>
      <sheetName val="THRBaru"/>
      <sheetName val="THRBaru (Rp) "/>
      <sheetName val="ACUANBARU"/>
      <sheetName val="Tunj. Jabatan (TKJ)"/>
      <sheetName val="Cuti Tahunan &amp; Cuti Besar"/>
      <sheetName val="2 WINDU, 3 WINDU, 4 WINDU"/>
      <sheetName val="THR (2)"/>
      <sheetName val="AO + AI"/>
      <sheetName val="FINAL"/>
      <sheetName val="PRA"/>
      <sheetName val="KIN2001"/>
      <sheetName val="UB"/>
      <sheetName val="BBRT"/>
      <sheetName val="BBJM"/>
      <sheetName val="BBRB"/>
      <sheetName val="BKTB"/>
      <sheetName val="BKPS"/>
      <sheetName val="BPRY"/>
      <sheetName val="BMHK"/>
      <sheetName val="BSMD"/>
      <sheetName val="BBPP"/>
      <sheetName val="BTRK"/>
      <sheetName val="RANK"/>
      <sheetName val="PRA (2)"/>
      <sheetName val="UPB (2)"/>
      <sheetName val="BJM(2)"/>
      <sheetName val="UPB (3)"/>
      <sheetName val="BRT (3)"/>
      <sheetName val="BJM (3)"/>
      <sheetName val="PRA (3)"/>
      <sheetName val="UPB"/>
      <sheetName val="SAA"/>
      <sheetName val="BRT"/>
      <sheetName val="BJM"/>
      <sheetName val="BRB"/>
      <sheetName val="KTB"/>
      <sheetName val="PRY"/>
      <sheetName val="WTRK"/>
      <sheetName val="WKT"/>
      <sheetName val="UBKSTT"/>
      <sheetName val="Lembur"/>
      <sheetName val="Final - 1 Tahun (Format Baru)"/>
      <sheetName val="Final-Triwulanan (Format Baru)"/>
      <sheetName val="3"/>
      <sheetName val="Rekap lap Th 2008"/>
      <sheetName val="Lap"/>
      <sheetName val="Eva"/>
      <sheetName val="Ana"/>
      <sheetName val="Devi"/>
      <sheetName val="Rkp"/>
      <sheetName val="Dt Asmandis"/>
      <sheetName val="Monitor Laporan"/>
      <sheetName val="1"/>
      <sheetName val="2"/>
      <sheetName val="5"/>
      <sheetName val="6"/>
      <sheetName val="7"/>
      <sheetName val="8"/>
      <sheetName val="9"/>
      <sheetName val="10"/>
      <sheetName val="11"/>
      <sheetName val="12"/>
      <sheetName val="MCB"/>
      <sheetName val="Kur CT-DC"/>
      <sheetName val="RAB CT-DC"/>
      <sheetName val="Kur DC-CT"/>
      <sheetName val="RAB DC-CT"/>
      <sheetName val="Op CT TR"/>
      <sheetName val="RAB OPS CT TR"/>
      <sheetName val="Ops CT TM"/>
      <sheetName val="RAB OPS CT TM"/>
      <sheetName val="SISTEM SUMBAGSEL"/>
      <sheetName val="DSCR"/>
      <sheetName val="CF Akt"/>
      <sheetName val="An Cash Invest"/>
      <sheetName val="Analisa CF"/>
      <sheetName val="L2IPP"/>
      <sheetName val="L2IPP-konsep"/>
      <sheetName val="L4Sewa"/>
      <sheetName val="L6AngEP"/>
      <sheetName val="L7NE"/>
      <sheetName val="L8Prod"/>
      <sheetName val="L9Har"/>
      <sheetName val="L10Peg"/>
      <sheetName val="L11Depr"/>
      <sheetName val="L31BPPHolding"/>
      <sheetName val="L27Keu"/>
      <sheetName val="L29ISAK8"/>
      <sheetName val="2013"/>
      <sheetName val="L30LRRegion"/>
      <sheetName val="L31ButuhPSO"/>
      <sheetName val="T8LPE"/>
      <sheetName val="T9KompPSO"/>
      <sheetName val="T10SDPD"/>
      <sheetName val="Pendanaan Investasi"/>
      <sheetName val="T12LRAP"/>
      <sheetName val="T13NRCAP"/>
      <sheetName val="BPP JB"/>
      <sheetName val="BPP IB"/>
      <sheetName val="BPP IT"/>
      <sheetName val="LR Presentasi"/>
      <sheetName val="Pendapatan&amp;Penjualan"/>
      <sheetName val="L4-BP"/>
      <sheetName val="T-Prod Vol dan Biaya"/>
      <sheetName val="rkap2009"/>
      <sheetName val="Eva BA"/>
      <sheetName val="Index web"/>
      <sheetName val="PLN"/>
      <sheetName val="BA2 Ind"/>
      <sheetName val="BA2 Eng"/>
      <sheetName val="BA1"/>
      <sheetName val="C1"/>
      <sheetName val="D1"/>
      <sheetName val="BA Transaction"/>
      <sheetName val="Download_Cover"/>
      <sheetName val="Download_Data"/>
      <sheetName val="Dispitute Oct-04_Jan-05"/>
      <sheetName val="Dispute Record Units 1-3"/>
      <sheetName val="Input GENERATION-DATA"/>
      <sheetName val="Monthly BA-2 Units 1-3"/>
      <sheetName val="Monthly BA-2 Units 1-3 Oct-04"/>
      <sheetName val="Monthly BA-2 Units 1-3 Nov-04"/>
      <sheetName val="Monthly BA-2 Units 1-3 Dec-04"/>
      <sheetName val="Monthly BA-2 Units 1-3 Jan-05"/>
      <sheetName val="Monthly BA-2 Units 4-6"/>
      <sheetName val="CoMU1-3 "/>
      <sheetName val="CoMU4-6"/>
      <sheetName val="PLNMU 1-3"/>
      <sheetName val="PLNMU 4-6"/>
      <sheetName val="Summary BA-2 Units 1-3"/>
      <sheetName val="SAYS"/>
      <sheetName val="REVENUE_SUMMARY"/>
      <sheetName val="Summary BA-2 Units 4-6"/>
      <sheetName val="KasInv"/>
      <sheetName val="InvOLD"/>
      <sheetName val="Sudah Berjalan"/>
      <sheetName val="Rencana Penambahan"/>
      <sheetName val="CMK"/>
      <sheetName val="Rekap Cetak"/>
      <sheetName val="Form Target"/>
      <sheetName val="form_realisasi TW II"/>
      <sheetName val="1 SUSUT"/>
      <sheetName val="2-3 saidi saifi"/>
      <sheetName val="4 Trafo rusak"/>
      <sheetName val="5 FGTM"/>
      <sheetName val="6. PPTL "/>
      <sheetName val="7. ASET"/>
      <sheetName val="8. B. HAR"/>
      <sheetName val="9. B. ADMIN "/>
      <sheetName val="FGTM 03"/>
      <sheetName val="BPP PLN (22)"/>
      <sheetName val="LKAI-DIST"/>
      <sheetName val="Usulan RKAP 2014"/>
      <sheetName val="LKAI-DIST (VOL)"/>
      <sheetName val="Usulan RKAP 2014-Area"/>
      <sheetName val="RAB-Gardu"/>
      <sheetName val="RAB-Gardu (2)"/>
      <sheetName val="RAB-JTM"/>
      <sheetName val="RAB-JTR"/>
      <sheetName val="RAB-ALAT"/>
      <sheetName val="RAB-APP"/>
      <sheetName val="RAB-RECONECTING"/>
      <sheetName val="Cat-agust 08"/>
      <sheetName val="KPI MANSEK"/>
      <sheetName val="kin.seklom"/>
      <sheetName val="Target 2010"/>
      <sheetName val="BIAYA"/>
      <sheetName val="Target 2010 (Breakdown)"/>
      <sheetName val="Target_2009 (Breakdown Bulanan)"/>
      <sheetName val="Breakdown KIN.2010 "/>
      <sheetName val="Breakdown KIN.2007"/>
      <sheetName val="SAVING MFO 2010 (SEKLOM)"/>
      <sheetName val="EFOR real"/>
      <sheetName val="EFOR-target"/>
      <sheetName val="Jam Derating-ren"/>
      <sheetName val="Cat-okt 08"/>
      <sheetName val="Summary OPS KIT 2010"/>
      <sheetName val="EAF"/>
      <sheetName val="OAF"/>
      <sheetName val="Grafik OAF"/>
      <sheetName val="Tara Kalor-format WIL"/>
      <sheetName val="BPP HITUNG"/>
      <sheetName val="HARGA BB"/>
      <sheetName val="Konstribusi Sub Unit 2010"/>
      <sheetName val="Grafik EAF"/>
      <sheetName val="Grafik % BBM "/>
      <sheetName val="Grafik % BBM AMP"/>
      <sheetName val="Grafik Tara Kalor"/>
      <sheetName val="Grafik TK AMP"/>
      <sheetName val="Grafik SFC Kit Sendiri"/>
      <sheetName val="Grafik SFC Sewa"/>
      <sheetName val="Grafik kWh prod kit sendiri"/>
      <sheetName val="Grafik Kwh prod total"/>
      <sheetName val="Gafik kWh MFO HSD Sendiri"/>
      <sheetName val="Grafik kWh Sewa"/>
      <sheetName val="Grafik SLC"/>
      <sheetName val="Grafik PS"/>
      <sheetName val="Grafik PS PLTD"/>
      <sheetName val="Grafik SFC PLTD"/>
      <sheetName val="Grafik TK PLTD"/>
      <sheetName val="EFOR"/>
      <sheetName val="FOF"/>
      <sheetName val="Gangg. Rata2"/>
      <sheetName val="Grafik BPP"/>
      <sheetName val="Grafik Harga BBM"/>
      <sheetName val="Biaya Peg"/>
      <sheetName val="Biaya ADM"/>
      <sheetName val="OAT"/>
      <sheetName val="ITO"/>
      <sheetName val="HOP"/>
      <sheetName val="Grafik Saving MFO 2010"/>
      <sheetName val="SAVING MFO 07 (SEKLOM)"/>
      <sheetName val="SAVING MFO 08 (SEKLOM)"/>
      <sheetName val="TARGET MFO SEKLOM 2009"/>
      <sheetName val="Saving&amp;Target MFO"/>
      <sheetName val="Komposisi By Har 08"/>
      <sheetName val="Grafik Uji coba MFO PMT"/>
      <sheetName val="Rencana MFO PMT"/>
      <sheetName val="April"/>
      <sheetName val="NOP"/>
      <sheetName val="DES (2)"/>
      <sheetName val="JAN10"/>
      <sheetName val="FEB10"/>
      <sheetName val="MAR10"/>
      <sheetName val="APR10"/>
      <sheetName val="MEI10"/>
      <sheetName val="JUNI10 "/>
      <sheetName val="JULI10"/>
      <sheetName val="AGS10"/>
      <sheetName val="SEP10"/>
      <sheetName val="OKT10"/>
      <sheetName val="NOV10"/>
      <sheetName val="DES10"/>
      <sheetName val="Juni 10"/>
      <sheetName val="Juli 10"/>
      <sheetName val="Ags 10"/>
      <sheetName val="Sep 10"/>
      <sheetName val="Okt 10"/>
      <sheetName val="Nov 10"/>
      <sheetName val="3.KINERJA"/>
      <sheetName val="KINERJA-2009"/>
      <sheetName val="KINERJA-2010"/>
      <sheetName val="kin.mat"/>
      <sheetName val="kin.sbw"/>
      <sheetName val="kin.bima"/>
      <sheetName val="KPI"/>
      <sheetName val="1.LABA-RUGI"/>
      <sheetName val="Neraca_Unit"/>
      <sheetName val="1A.NERACA"/>
      <sheetName val="1.1PROD-JUAL"/>
      <sheetName val="1.2PENDAPATAN"/>
      <sheetName val="1.8ADM"/>
      <sheetName val="1.6har"/>
      <sheetName val="AKTIVA"/>
      <sheetName val="1.7PEG"/>
      <sheetName val="1.9PENYUSUTAN"/>
      <sheetName val="1.10B.Beban-Diluar Usaha"/>
      <sheetName val="1.10A.Pedp-dliluar Usaha"/>
      <sheetName val="Bunga Pinjaman"/>
      <sheetName val="1.3SEWA"/>
      <sheetName val="1.5A.BBM"/>
      <sheetName val="1.5B.ongkut"/>
      <sheetName val="1.5C.OLI"/>
      <sheetName val="DAYAMAMPU"/>
      <sheetName val="NERACA ENERGI (perUnit)"/>
      <sheetName val="RASIO BBM"/>
      <sheetName val="acc"/>
      <sheetName val="least"/>
      <sheetName val="urgen"/>
      <sheetName val="CM BAG TIMUR"/>
      <sheetName val="prod03"/>
      <sheetName val="Uang Lembur"/>
      <sheetName val="Final - 1 Tahun (Format Lama)"/>
      <sheetName val="Final-Triwulanan (Format Lama)"/>
      <sheetName val="Final Bulanan (Format Lama)"/>
      <sheetName val="Anggaran 3P (Format Baru)"/>
      <sheetName val="Angg RKAP 2009 Tahunan FINAL"/>
      <sheetName val="Angg  2009 Trw. FINAL"/>
      <sheetName val="Angg  2009 Bulanan FINAL"/>
      <sheetName val="Data Tbhn"/>
      <sheetName val="JAN 11"/>
      <sheetName val="FEB 11"/>
      <sheetName val="MAR 11"/>
      <sheetName val="APR 11"/>
      <sheetName val="MEI 11"/>
      <sheetName val="JUN 11"/>
      <sheetName val="JUL 11"/>
      <sheetName val="AGS 11"/>
      <sheetName val="SEP 11"/>
      <sheetName val="OKT 11"/>
      <sheetName val="NOV 11"/>
      <sheetName val="DES 11"/>
      <sheetName val="Lamp 1-6"/>
      <sheetName val="Lamp. 3 (Diagram Alir)"/>
      <sheetName val="Grafik Susut"/>
      <sheetName val="Kinerja bulanan (2)"/>
      <sheetName val="Kinerja bulanan"/>
      <sheetName val="data bbm &amp;produksi"/>
      <sheetName val="gang-kit"/>
      <sheetName val="#REF"/>
      <sheetName val="24JAM OPERASI PLTG"/>
      <sheetName val="4 JAM OPERASI PLTG"/>
      <sheetName val="4 JAM OPERASI 15 hari"/>
      <sheetName val="24JAM OPR 2 UNIT PLTG"/>
      <sheetName val="REA LABA"/>
      <sheetName val="pltg 24 jam op"/>
      <sheetName val="FULL NOP"/>
      <sheetName val="PLTG 4 jam op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KWH (2)"/>
      <sheetName val="SWITCH PEK (2)"/>
      <sheetName val="Kurva Beban"/>
      <sheetName val="BEBAN 2"/>
      <sheetName val="BEBAN 1"/>
      <sheetName val="SWITCH KIT"/>
      <sheetName val="SWITCH PEK"/>
      <sheetName val="Isi disini kit"/>
      <sheetName val="DAYA MAMPU"/>
      <sheetName val="DAYA SEDIA"/>
      <sheetName val="KIT1"/>
      <sheetName val="KIT2"/>
      <sheetName val="Entry LF Siang"/>
      <sheetName val="Entry LF Malam"/>
      <sheetName val="GI Tertinggi"/>
      <sheetName val="Cetak LF1"/>
      <sheetName val="Cetak LF2"/>
      <sheetName val="Cetak LF3"/>
      <sheetName val="Cetak LF4"/>
      <sheetName val="AktivaTetap(1A1)"/>
      <sheetName val="AktivaTetap(1A2)"/>
      <sheetName val="AkumAT(1B1)"/>
      <sheetName val="AkumAT(1B2)"/>
      <sheetName val="Aktiva Tetap (1C)"/>
      <sheetName val="PDPKonstruksi(2A1)"/>
      <sheetName val="PDPKonstruksi(2A2)"/>
      <sheetName val="PDPMaterial(2B1)"/>
      <sheetName val="PDPMaterial(2B2)"/>
      <sheetName val="PDP (2C)"/>
      <sheetName val="PDPDimuka(2D)"/>
      <sheetName val="Penyertaan(3)"/>
      <sheetName val="ATTB(4A1)"/>
      <sheetName val="ATTB(4A2)"/>
      <sheetName val="AkumATTB(4B1)"/>
      <sheetName val="AkumATTB(4B2)"/>
      <sheetName val="MatHapus(4C)"/>
      <sheetName val="ATBM (4D1)"/>
      <sheetName val="ATBM (4D2)"/>
      <sheetName val="PiutangLL(4E)"/>
      <sheetName val="BiDitghkan(4F)"/>
      <sheetName val="BDD&amp;UM(4G)"/>
      <sheetName val="BDD&amp;UMLain(4G1)"/>
      <sheetName val="AktivaLLJP(4H)"/>
      <sheetName val="Cash&amp;Bank(5A)"/>
      <sheetName val="DpsK3bln(5A1)"/>
      <sheetName val="InvestasiSementara(5A2)"/>
      <sheetName val="PiutangUsahaNetto(5B)"/>
      <sheetName val="PiutLangg-U(5B1)"/>
      <sheetName val="MatHar(5D)"/>
      <sheetName val="PembayDPajak(5E)"/>
      <sheetName val="PiutangLLLancar(5F)"/>
      <sheetName val="AktivaLLLancar(5G)"/>
      <sheetName val="Ekuitas(6A)"/>
      <sheetName val="BantuanLN(6B)"/>
      <sheetName val="AkunPenutup(7A)"/>
      <sheetName val="PendBP(8A)"/>
      <sheetName val="DaftarBP(8B)"/>
      <sheetName val="KewajibanJP(9A)"/>
      <sheetName val="PkRp(9A1)"/>
      <sheetName val="PkVal(9A2)"/>
      <sheetName val="ByDkpRp(9B)"/>
      <sheetName val="HutBank-3(9C)"/>
      <sheetName val="UtBiProy(9D)"/>
      <sheetName val="UtangUsh(10A1)"/>
      <sheetName val="Pensiun(10B1)"/>
      <sheetName val="UT-Pajak(10C)"/>
      <sheetName val="UT-LLJP(10D)"/>
      <sheetName val="UtangBiaya(10E)"/>
      <sheetName val="UtangBiaya(10E1)"/>
      <sheetName val="PinjamanJKPJTempo(10F)"/>
      <sheetName val="PkJtRp(10F1)"/>
      <sheetName val="PkJtVal(10F2)"/>
      <sheetName val="ByDkpJtRp(10G)"/>
      <sheetName val="RKAP2004"/>
      <sheetName val="Pen.Non Pjk"/>
      <sheetName val="Penerimaan"/>
      <sheetName val="Bayar"/>
      <sheetName val="RAB (2)"/>
      <sheetName val="COMMISONING"/>
      <sheetName val="RUMUS"/>
      <sheetName val="KINsd2004"/>
      <sheetName val="bara"/>
      <sheetName val="FAC "/>
      <sheetName val="DI "/>
      <sheetName val="MANUAL"/>
      <sheetName val="Ind_kit_BLN"/>
      <sheetName val="Ind_Eff_kit_bln"/>
      <sheetName val="FORM 13 2"/>
      <sheetName val="FJK-pltg 8"/>
      <sheetName val="Form 14 3"/>
      <sheetName val="FAKTOR_KIT 6"/>
      <sheetName val="data pgsh pltu-g 5"/>
      <sheetName val="GG"/>
      <sheetName val="GangU1"/>
      <sheetName val="GangU2"/>
      <sheetName val="gangG1"/>
      <sheetName val="gangG2"/>
      <sheetName val="gangG3"/>
      <sheetName val="surat"/>
      <sheetName val="Kinerja thn"/>
      <sheetName val="Kinerja trw"/>
      <sheetName val="BA"/>
      <sheetName val="DATA-KWH UPT"/>
      <sheetName val="DATA-KWH KIT"/>
      <sheetName val="Digital"/>
      <sheetName val="BAjan"/>
      <sheetName val="BAfeb"/>
      <sheetName val="BAmar"/>
      <sheetName val="BAapril"/>
      <sheetName val="BA mei"/>
      <sheetName val="BAjuni"/>
      <sheetName val="BA JULI"/>
      <sheetName val="BA AGT"/>
      <sheetName val="FJK-pltu 7"/>
      <sheetName val="JAM"/>
      <sheetName val="12 RB"/>
      <sheetName val="DATA-KWH UPT ANALOG"/>
      <sheetName val="GRAFIK1"/>
      <sheetName val="CEK PS"/>
      <sheetName val="SOMB"/>
      <sheetName val="pengu gajah (2)"/>
      <sheetName val="TE '05"/>
      <sheetName val="KIN -2005 BLN"/>
      <sheetName val="L-R TW III PERBULAN"/>
      <sheetName val="TARGET L-R 3 TW"/>
      <sheetName val="REAL PERBULAN"/>
      <sheetName val="TE '04"/>
      <sheetName val="KIN -2005 BLN "/>
      <sheetName val="KIN -2004 3 BLN"/>
      <sheetName val="NRC PERBULAN"/>
      <sheetName val="SAIFI"/>
      <sheetName val="SAIDI  (2)"/>
      <sheetName val="Losses _form_baru (2)"/>
      <sheetName val="Saidi-saifi-2003"/>
      <sheetName val="Cab.T.krg"/>
      <sheetName val="Cab.Mtr"/>
      <sheetName val="Cab.Ktb"/>
      <sheetName val="Grafik Cab.T.krg"/>
      <sheetName val="Grafik Mtr"/>
      <sheetName val="Grafik ktb"/>
      <sheetName val="Grafik Wil"/>
      <sheetName val="WIL Trgt 293,4"/>
      <sheetName val="Saidi-saifi WIL2004"/>
      <sheetName val="coverPS"/>
      <sheetName val="RENDIK 08"/>
      <sheetName val="Rendik07"/>
      <sheetName val="RekapPS"/>
      <sheetName val="TinPS#1"/>
      <sheetName val="TinPS#2"/>
      <sheetName val="TinPS#4"/>
      <sheetName val="TinPS#5"/>
      <sheetName val="TinPS#6"/>
      <sheetName val="TinPS#7"/>
      <sheetName val="Tin#ksg7-Niigata"/>
      <sheetName val="DikMO#1"/>
      <sheetName val="DikTO#2"/>
      <sheetName val="DikMO#7"/>
      <sheetName val="SUSps"/>
      <sheetName val="AI-PS"/>
      <sheetName val="coverSJ"/>
      <sheetName val="RekapSJ"/>
      <sheetName val="Rendik-SJ"/>
      <sheetName val="matrutinsj#1"/>
      <sheetName val="matrutinsj#2"/>
      <sheetName val="SO1"/>
      <sheetName val="TO2"/>
      <sheetName val="ATK"/>
      <sheetName val="SUSsj "/>
      <sheetName val="AI-SJ"/>
      <sheetName val="RKAPHAR 05"/>
      <sheetName val="JADWAL"/>
      <sheetName val="HARDIKMUSKM"/>
      <sheetName val="HARDIKMOSKM"/>
      <sheetName val="RUTINSKM"/>
      <sheetName val="KHUSUSSKM"/>
      <sheetName val="MUTOSULI"/>
      <sheetName val="SPPTOSUL1"/>
      <sheetName val="SPPTOSWD"/>
      <sheetName val="MUTOSWD"/>
      <sheetName val="SPPMOSUL2"/>
      <sheetName val="MUMOSUL2"/>
      <sheetName val="RUTINPB"/>
      <sheetName val="KHUSUSPB"/>
      <sheetName val="MUAISFAC"/>
      <sheetName val="MUAIHYA"/>
      <sheetName val="SPPAITES"/>
      <sheetName val="RUTIN TES"/>
      <sheetName val="KHUSUS TES"/>
      <sheetName val="ANGINVKIT2005"/>
      <sheetName val="Fungsi Sarana"/>
      <sheetName val="Harsus PLTA "/>
      <sheetName val="Harsus PLTD"/>
      <sheetName val="RUTIN- PLTD"/>
      <sheetName val="RUTIN-PLTA"/>
      <sheetName val="UKL-UPL SKMD"/>
      <sheetName val="UKL-UPL BAAI"/>
      <sheetName val="Rekap_PLTD SKM"/>
      <sheetName val="Rekap_PLTD BAAI "/>
      <sheetName val="Rekap_PLTA"/>
      <sheetName val="Hydro Art"/>
      <sheetName val="SFAC_Tes"/>
      <sheetName val="SWD_PBAAI "/>
      <sheetName val="Mirrless_PBAAI"/>
      <sheetName val="Sulzer_PBAAI"/>
      <sheetName val="Cockerill_SKM"/>
      <sheetName val="Mirrless_SKM"/>
      <sheetName val="CASHFLOW-TRIWULAN"/>
      <sheetName val="Tragi"/>
      <sheetName val="Har_Sus"/>
      <sheetName val="REN.HAR"/>
      <sheetName val="REN.OP"/>
      <sheetName val="RUTIN.TU"/>
      <sheetName val="KHUSUS"/>
      <sheetName val="RUTIN PLTA (2007)"/>
      <sheetName val="rutin-pltd (2007)"/>
      <sheetName val="REKAP-PLTA+PLTD"/>
      <sheetName val="PERIODIK_PLTA"/>
      <sheetName val="PERIODIK_PLTD"/>
      <sheetName val="INVESTASI DISETUJUI"/>
      <sheetName val="AO"/>
      <sheetName val="M utama GI Hydro Art 1,3,4"/>
      <sheetName val="Hydro GI M kecil 1,3,4 "/>
      <sheetName val="M utama MO Hydro Art 2"/>
      <sheetName val="M kecil Hydro MO 2"/>
      <sheetName val="Rutin PLTA TES (2007)"/>
      <sheetName val="Non Rutin PLTA Tes 2007"/>
      <sheetName val="RUTIN PLTA MUSI 2007"/>
      <sheetName val="NON RUTIN MUSI 2007"/>
      <sheetName val="Rutin SKM (2007)"/>
      <sheetName val="Non Rutin SKM2007"/>
      <sheetName val="Priodik Mirrless2B p baai"/>
      <sheetName val="Priodik Mirrless p baai"/>
      <sheetName val="Rutin Baai  (2007)"/>
      <sheetName val="Non Rutin Baai 2007"/>
      <sheetName val="REN PRIODIK"/>
      <sheetName val="JADHARDIKKIT2006"/>
      <sheetName val="JADHARTINKIT"/>
      <sheetName val="PB06 baru "/>
      <sheetName val="SKM06 baru "/>
      <sheetName val="TA06 baru"/>
      <sheetName val="RRD"/>
      <sheetName val="REKAP RUTIN"/>
      <sheetName val="RUTIN MUSI"/>
      <sheetName val="NON RUTIN MUSI"/>
      <sheetName val="Non Rutin TES"/>
      <sheetName val="Rutin SKM"/>
      <sheetName val="Non Rutin SKM"/>
      <sheetName val="Rutin Baai"/>
      <sheetName val="Non Rutin Baai"/>
      <sheetName val="Priodik Sulzer 2 Baai"/>
      <sheetName val="INVESTASI TU"/>
      <sheetName val="INVESTASI-KIT"/>
      <sheetName val="Priodik Hydro Art 1,2&amp;3"/>
      <sheetName val="Priodik PLTA TES"/>
      <sheetName val="Rutin PLTA TES"/>
      <sheetName val="Non Rutin PLTA Tes"/>
      <sheetName val="Priodik Mirrless2 SKM"/>
      <sheetName val="Priodik Mirrless2B SKM (2)"/>
      <sheetName val="Pri Mir 3 TO"/>
      <sheetName val="Priodik SWD BAAI"/>
      <sheetName val="PRIODIK SWD_B BAAI"/>
      <sheetName val="Priodik Sulzer 2B Baai"/>
      <sheetName val="Rutin Baai "/>
      <sheetName val="JADHARDIKKIT"/>
      <sheetName val="JADHARDIK-RKAP (2)"/>
      <sheetName val="JADHARDIK-RKAP"/>
      <sheetName val="POINT12"/>
      <sheetName val="PB06"/>
      <sheetName val="SKM06 (2)"/>
      <sheetName val="TA06 "/>
      <sheetName val="Rekap Har"/>
      <sheetName val="rutin-pltd"/>
      <sheetName val="REKAP-PLTA (2)"/>
      <sheetName val="renhardik"/>
      <sheetName val="REKAP-PLTD"/>
      <sheetName val="REKAP-PLTA"/>
      <sheetName val="omb09"/>
      <sheetName val="Target Kinerja010bln"/>
      <sheetName val="MASTER BLN SD"/>
      <sheetName val="MASTER BLN"/>
      <sheetName val="JAM KIT"/>
      <sheetName val="MASTER"/>
      <sheetName val="MASTERTRIWULAN"/>
      <sheetName val="Target Kinerja"/>
      <sheetName val="LABA-RUGI (2)"/>
      <sheetName val="BUKU HIJAU SOMB-AO09"/>
      <sheetName val="Target Kinerja10"/>
      <sheetName val="Target TW"/>
      <sheetName val="Target Kinerja09 (2)"/>
      <sheetName val="KinTW"/>
      <sheetName val="surat REVISI"/>
      <sheetName val="bkl (SK099)"/>
      <sheetName val="KinTW (2)"/>
      <sheetName val="LR 21"/>
      <sheetName val="LR (2)"/>
      <sheetName val="DATA_akuntansi"/>
      <sheetName val="DATA_kwh (sk099)"/>
      <sheetName val="DATA_kwh"/>
      <sheetName val="DATA_BB"/>
      <sheetName val="DATA_pelumas"/>
      <sheetName val="Susut Trafo KIT"/>
      <sheetName val="Juni_2010 KITSBS utk LM"/>
      <sheetName val="Juni_2010 KITSBS"/>
      <sheetName val="Juni_2010 SKRM"/>
      <sheetName val="Juni_2010 SJMB"/>
      <sheetName val="Juni_2010 SBAM"/>
      <sheetName val="Juni_2010 SBKL"/>
      <sheetName val="Juni_2010 SOMB"/>
      <sheetName val="Juni_2010 SBKT"/>
      <sheetName val="Juni_2010 SBDL"/>
      <sheetName val="Juni_2010 STAR"/>
      <sheetName val="PENILAIAN KINERJA"/>
      <sheetName val="TARGET KINERJA 2010"/>
      <sheetName val="PENCAPAIAN KINERJA"/>
      <sheetName val="12 RB (2)"/>
      <sheetName val="DATA-KWH UPT baru"/>
      <sheetName val="BA baru"/>
      <sheetName val="DATA-KWH UPT ZUARMAN"/>
      <sheetName val="JANUARI"/>
      <sheetName val="NOPEMBER"/>
      <sheetName val="JUDUL"/>
      <sheetName val="KIN-2010 PER bln"/>
      <sheetName val="KONTRAK"/>
      <sheetName val="KIN -2010 PRINT"/>
      <sheetName val="KIN -2010 BLN"/>
      <sheetName val="GAB ()"/>
      <sheetName val="PS per Fungsi"/>
      <sheetName val="BB"/>
      <sheetName val="Rasio Energi"/>
      <sheetName val="Terpasang"/>
      <sheetName val="Mampu"/>
      <sheetName val="j-period"/>
      <sheetName val="j-kerja"/>
      <sheetName val="j-har"/>
      <sheetName val="j-gangg"/>
      <sheetName val="SdOF"/>
      <sheetName val="j-Drtg EFDH"/>
      <sheetName val="HarxDM"/>
      <sheetName val="PrdxDM"/>
      <sheetName val="SOF"/>
      <sheetName val="HR-KIT"/>
      <sheetName val="HEAT RATE"/>
      <sheetName val="Tara Kalor Sektor"/>
      <sheetName val="tarakalor-sumary"/>
      <sheetName val="SFC"/>
      <sheetName val="SLC"/>
      <sheetName val="j-stdby"/>
      <sheetName val="POF"/>
      <sheetName val="INPUT QPR"/>
      <sheetName val="LPTK"/>
      <sheetName val="FOR"/>
      <sheetName val="Kin Keu TW"/>
      <sheetName val="NrcTW"/>
      <sheetName val="LRTW"/>
      <sheetName val="Oli"/>
      <sheetName val="KIN KEU"/>
      <sheetName val="Oli "/>
      <sheetName val="SLOC"/>
      <sheetName val="FDH"/>
      <sheetName val="DFDH"/>
      <sheetName val="PDH"/>
      <sheetName val="DPDH"/>
      <sheetName val="EPDH"/>
      <sheetName val="EFDHRS"/>
      <sheetName val="jst,jkXdmn"/>
      <sheetName val="jpXdmn"/>
      <sheetName val="jggn,efdhxdmn"/>
      <sheetName val="jk,jggnxdmn"/>
      <sheetName val="Energi-12 utk RKAP"/>
      <sheetName val="Energi-12 banding dengan 11"/>
      <sheetName val="dd ep"/>
      <sheetName val="12rbkum"/>
      <sheetName val="12rbtw1"/>
      <sheetName val="12rbtw2"/>
      <sheetName val="12rbtw3"/>
      <sheetName val="VolumBBM-12"/>
      <sheetName val="VolumBBM-12 tw1"/>
      <sheetName val="VolumBBM-12 tw2"/>
      <sheetName val="VolumBBM-12 tw3"/>
      <sheetName val="BiayaBBM-12"/>
      <sheetName val="BiayaBBM-12 tw1"/>
      <sheetName val="BiayaBBM-12 tw2"/>
      <sheetName val="BiayaBBM-12 tw3"/>
      <sheetName val="air"/>
      <sheetName val="kimia"/>
      <sheetName val="Energi-12"/>
      <sheetName val="Resum-12"/>
      <sheetName val="Resum-12 tw1"/>
      <sheetName val="Resum-12 tw2"/>
      <sheetName val="Resum-12 tw3"/>
      <sheetName val="asumsi kwh"/>
      <sheetName val="Draft_rkap2012_RugiLaba"/>
      <sheetName val="Draft_rkap2012_RugiLaba (2)"/>
      <sheetName val="2012"/>
      <sheetName val="2012 REV"/>
      <sheetName val="LAMP_1"/>
      <sheetName val="LAMP_2"/>
      <sheetName val="LAMP_3"/>
      <sheetName val="LAMP_4"/>
      <sheetName val="LAMP_5"/>
      <sheetName val="LAMP_7"/>
      <sheetName val="BALANCING"/>
      <sheetName val="TO 5000"/>
      <sheetName val="SO10000"/>
      <sheetName val="SO10000 (2)"/>
      <sheetName val="MO"/>
      <sheetName val="MO (2)"/>
      <sheetName val="WKSKT"/>
      <sheetName val="Instalasi-Pembangkit"/>
      <sheetName val="Instalasi-Transmisi"/>
      <sheetName val="Instalasi-Telekomunikasi"/>
      <sheetName val="Instalasi-TID"/>
      <sheetName val="Sarana"/>
      <sheetName val="Daftar Kegiatan"/>
      <sheetName val="Skor"/>
      <sheetName val="PRINT"/>
      <sheetName val="WBS"/>
      <sheetName val="WPL"/>
      <sheetName val="Aje&amp;Rje"/>
      <sheetName val="E1"/>
      <sheetName val="G1"/>
      <sheetName val="H1-A"/>
      <sheetName val="H1-B"/>
      <sheetName val="H1-C"/>
      <sheetName val="I1-A"/>
      <sheetName val="I1-B"/>
      <sheetName val="J1"/>
      <sheetName val="K1"/>
      <sheetName val="L1-A1"/>
      <sheetName val="L1-A2"/>
      <sheetName val="L1-B"/>
      <sheetName val="L1-C"/>
      <sheetName val="M1"/>
      <sheetName val="N1"/>
      <sheetName val="P1"/>
      <sheetName val="R1"/>
      <sheetName val="CIT"/>
      <sheetName val="COGS Segment"/>
      <sheetName val="COGS"/>
      <sheetName val="TBDEC03"/>
      <sheetName val="TBOCT03"/>
      <sheetName val="TBDEC02"/>
      <sheetName val="COA"/>
      <sheetName val="AP-PLANNING"/>
      <sheetName val="Materiality"/>
      <sheetName val="GT_Custom"/>
      <sheetName val="Related Party Transaction"/>
      <sheetName val="Penj ~ bpp "/>
      <sheetName val="TB SAMP"/>
      <sheetName val="TB Consol"/>
      <sheetName val="Lap Keu"/>
      <sheetName val="Details per area"/>
      <sheetName val="Saldo Persd "/>
      <sheetName val="Detail tambahan"/>
      <sheetName val="Koreksi fiskal"/>
      <sheetName val="Aktiva Tetap"/>
      <sheetName val="Depresiasi"/>
      <sheetName val="Transaksi Hubungan Istimewa"/>
      <sheetName val="rokok promosi"/>
      <sheetName val="rokok rusak"/>
      <sheetName val="coa(input saldo awal)"/>
      <sheetName val="input jurnal"/>
      <sheetName val="tRIAL bALANCE"/>
      <sheetName val="cek akun"/>
      <sheetName val="Rekonsel"/>
      <sheetName val="TB SPRP"/>
      <sheetName val="BS-Rupiah"/>
      <sheetName val="BS-USD"/>
      <sheetName val="PL-IDR"/>
      <sheetName val="PL-USD"/>
      <sheetName val="Ex-Rate"/>
      <sheetName val="Cash &amp; cash equivalent"/>
      <sheetName val="Trade Receivable"/>
      <sheetName val="Other Receivable"/>
      <sheetName val="Inventories"/>
      <sheetName val="Tax Recoverable"/>
      <sheetName val="Deffered Expenditure"/>
      <sheetName val="Plasma Investment"/>
      <sheetName val="koreksi plasma"/>
      <sheetName val="Developmen Cost of Plt."/>
      <sheetName val="Fixed Asset"/>
      <sheetName val="Construction In Progress"/>
      <sheetName val="Creditors"/>
      <sheetName val="Acrual "/>
      <sheetName val="Advances from customers"/>
      <sheetName val="Borrowing"/>
      <sheetName val="Tax Payable"/>
      <sheetName val="Bank Loan &amp; Other Loan"/>
      <sheetName val="Capital"/>
      <sheetName val="Forex"/>
      <sheetName val="Other Forex"/>
      <sheetName val="Interest"/>
      <sheetName val="Finance exp."/>
      <sheetName val="loan wilmar 1"/>
      <sheetName val="loan wilmar 2"/>
      <sheetName val="loan u sap 1"/>
      <sheetName val="loan u sap 2"/>
      <sheetName val="loan wilmar"/>
      <sheetName val="loan u sap"/>
      <sheetName val="Tes Bs"/>
      <sheetName val="Tes Pl"/>
      <sheetName val="Idr This Month"/>
      <sheetName val="Idr Todate"/>
      <sheetName val="Usd This Month"/>
      <sheetName val="Usd Todate"/>
      <sheetName val="Forex 1"/>
      <sheetName val="ITEM-BALANCE"/>
      <sheetName val="NMI-Tax Recoverable &amp; Payable"/>
      <sheetName val="NMI-Acrual"/>
      <sheetName val="2-asi-00"/>
      <sheetName val="Sheet1 (2)"/>
      <sheetName val="Daftar Hutang"/>
      <sheetName val="Daftar Piutang"/>
      <sheetName val="SALES BUDGET NOV"/>
      <sheetName val="SCHEDULE NOV"/>
      <sheetName val="A.T. Bali"/>
      <sheetName val="Kas"/>
      <sheetName val="BAG"/>
      <sheetName val="Eksekutif"/>
      <sheetName val="Niaga"/>
      <sheetName val="BII SG"/>
      <sheetName val="Mandiri"/>
      <sheetName val="BCA Giro"/>
      <sheetName val="giro kerluar"/>
      <sheetName val="j. umum"/>
      <sheetName val="DETAIL"/>
      <sheetName val="RKP KDR"/>
      <sheetName val="LAP KDR"/>
      <sheetName val="RKP MOST"/>
      <sheetName val="PNGM"/>
      <sheetName val="LAP CODE"/>
      <sheetName val="ALL"/>
      <sheetName val="DBF"/>
      <sheetName val="LUNAS"/>
      <sheetName val="TUNAI"/>
      <sheetName val="BON"/>
      <sheetName val="PIUT"/>
      <sheetName val="PER.LIVER"/>
      <sheetName val="PER.LIVER (2)"/>
      <sheetName val="NOTA LIVER MJK"/>
      <sheetName val="NOTA LIVER JMB"/>
      <sheetName val="DO"/>
      <sheetName val="NOTA KVS"/>
      <sheetName val="KANVAS"/>
      <sheetName val="REKAP.LIVER"/>
      <sheetName val="OMZT"/>
      <sheetName val="MUTASI"/>
      <sheetName val="ASURANSI"/>
      <sheetName val="Sumber Sinar"/>
      <sheetName val="PER.PIUT"/>
      <sheetName val="PEMASARAN"/>
      <sheetName val="PENJ SA"/>
      <sheetName val="LABA KVS"/>
      <sheetName val="SETOR"/>
      <sheetName val="SELLING OUT"/>
      <sheetName val="MASTER SA (2)"/>
      <sheetName val="MASTER SA"/>
      <sheetName val="MASTER HARGA"/>
      <sheetName val="LAMPUNG"/>
      <sheetName val="P PINANG"/>
      <sheetName val="TJ PANDAN"/>
      <sheetName val="BENGKULU"/>
      <sheetName val="PALEMBANG"/>
      <sheetName val="JAMBI"/>
      <sheetName val="REGIONAL SUMBAGSEL"/>
      <sheetName val="MEDAN"/>
      <sheetName val="REGIONAL SUMBAGUT"/>
      <sheetName val="PEKANBARU"/>
      <sheetName val="SELAT PANJANG"/>
      <sheetName val="DUMAI"/>
      <sheetName val="RENGAT"/>
      <sheetName val="TEMBILAHAN"/>
      <sheetName val="TJ PINANG"/>
      <sheetName val="TJ BALAI KARIMUN"/>
      <sheetName val="TJ BATU"/>
      <sheetName val="PADANG"/>
      <sheetName val="REGIONAL SUMBAGTENG"/>
      <sheetName val="MAKASAR"/>
      <sheetName val="LUWUK"/>
      <sheetName val="BAU2"/>
      <sheetName val="PALU"/>
      <sheetName val="AMBON"/>
      <sheetName val="TOLI2"/>
      <sheetName val="JAYAPURA"/>
      <sheetName val="SORONG"/>
      <sheetName val="BIAK"/>
      <sheetName val="MERAUKE"/>
      <sheetName val="MANOKWARI"/>
      <sheetName val="FAK2"/>
      <sheetName val="SERUI"/>
      <sheetName val="NABIRE"/>
      <sheetName val="REGIONAL INDONESIA TIMUR"/>
      <sheetName val="KUPANG"/>
      <sheetName val="BANJARMASIN"/>
      <sheetName val="MATARAM"/>
      <sheetName val="ENDE"/>
      <sheetName val="BIMA"/>
      <sheetName val="WAINGAPU"/>
      <sheetName val="MAUMERE"/>
      <sheetName val="REGIONAL BALIKA"/>
      <sheetName val="PONTIANAK"/>
      <sheetName val="SMA"/>
      <sheetName val="dn"/>
      <sheetName val="LPPU Sales Senin"/>
      <sheetName val="JKT1"/>
      <sheetName val="JKT2"/>
      <sheetName val="JKT3"/>
      <sheetName val="TGR"/>
      <sheetName val="SRG"/>
      <sheetName val="BGR"/>
      <sheetName val="KRW"/>
      <sheetName val="BKS"/>
      <sheetName val="REGIONAL JAKARTA"/>
      <sheetName val="SKB"/>
      <sheetName val="CJR"/>
      <sheetName val="SKB+CJR"/>
      <sheetName val="SMD"/>
      <sheetName val="SBG"/>
      <sheetName val="SMD+SBG"/>
      <sheetName val="GRT"/>
      <sheetName val="TSK"/>
      <sheetName val="GRT+TSK"/>
      <sheetName val="BDG"/>
      <sheetName val="REGIONAL JABAR"/>
      <sheetName val="TEGAL"/>
      <sheetName val="CIREBON"/>
      <sheetName val="PURWOKERTO"/>
      <sheetName val="REGIONAL TEGAL"/>
      <sheetName val="YOGYA"/>
      <sheetName val="MAGELANG"/>
      <sheetName val="SURAKARTA"/>
      <sheetName val="SEMARANG"/>
      <sheetName val="PATI"/>
      <sheetName val="REGIONAL JATENG"/>
      <sheetName val="SBY"/>
      <sheetName val="MJKT"/>
      <sheetName val="BJN"/>
      <sheetName val="MDR"/>
      <sheetName val="KEDIRI"/>
      <sheetName val="MADIUN"/>
      <sheetName val="MALANG"/>
      <sheetName val="PROBOLINGGO"/>
      <sheetName val="ADC MALANG"/>
      <sheetName val="JEMBER"/>
      <sheetName val="SITUBONDO"/>
      <sheetName val="LUMAJANG"/>
      <sheetName val="ADC JEMBER"/>
      <sheetName val="REGIONAL JATIM"/>
      <sheetName val="BALI"/>
      <sheetName val="SM"/>
      <sheetName val="KONSOL SM"/>
      <sheetName val=" SPR Standar"/>
      <sheetName val="Omset"/>
      <sheetName val="R.KIRIM"/>
      <sheetName val="R.JUAL"/>
      <sheetName val="TITIPAN"/>
      <sheetName val="STOCK AWAL -3"/>
      <sheetName val="STOCK AWAL-2"/>
      <sheetName val="STOCK AWAL FISIK"/>
      <sheetName val="Rokok rusak SPRP"/>
      <sheetName val="Contoh isi rokok rusak"/>
      <sheetName val="tb"/>
      <sheetName val="KOTABUMI"/>
      <sheetName val="PANGKAL_PINANG"/>
      <sheetName val="TJ_PANDAN"/>
      <sheetName val="MUARA_BUNGO"/>
      <sheetName val="SIANTAR"/>
      <sheetName val="KISARAN"/>
      <sheetName val="B_ACEH"/>
      <sheetName val="LHOKSEUMAWE"/>
      <sheetName val="SELAT_PANJANG"/>
      <sheetName val="ADC PEKANBARU"/>
      <sheetName val="TJ_PINANG"/>
      <sheetName val="TJ_BALAI_KARIMUN"/>
      <sheetName val="ADC TJ_PINANG"/>
      <sheetName val="BUKIT_TINGGI"/>
      <sheetName val="PADANG+BUKIT_TINGGI"/>
      <sheetName val="ADC MAKASAR"/>
      <sheetName val="TERNATE"/>
      <sheetName val="ADC SORONG"/>
      <sheetName val="ADC MERAUKE"/>
      <sheetName val="ADC BIAK"/>
      <sheetName val="Indikator"/>
      <sheetName val="PADANG+BUKIT_TINGGI "/>
      <sheetName val="TJ_BATU"/>
      <sheetName val="muara bungo"/>
      <sheetName val="SDS"/>
      <sheetName val="SAEC"/>
      <sheetName val="SEVAL"/>
      <sheetName val="SSTRAT"/>
      <sheetName val="16B-SBIN345"/>
      <sheetName val="STKBB"/>
      <sheetName val="SRO"/>
      <sheetName val="SSEWA"/>
      <sheetName val="16A-SBIN345"/>
      <sheetName val="SPORSI"/>
      <sheetName val="SNEW"/>
      <sheetName val="SAUDIT"/>
      <sheetName val="SKEY"/>
      <sheetName val="Sdeal"/>
      <sheetName val="14A-SOBIN"/>
      <sheetName val="14B-SOBIN"/>
      <sheetName val="SPARET"/>
      <sheetName val="14C-SOBIN"/>
      <sheetName val="SPARETSPM"/>
      <sheetName val="SOICI-IN"/>
      <sheetName val="SOICI-OUT"/>
      <sheetName val="SROSPM"/>
      <sheetName val="DA-V"/>
      <sheetName val="Grup-V"/>
      <sheetName val="StatusLoadDepo"/>
      <sheetName val="14B-SOBI_x0000_"/>
      <sheetName val="SO "/>
      <sheetName val="SS"/>
      <sheetName val="Nilai Rupiah"/>
      <sheetName val="SPR (GG)"/>
      <sheetName val="SPR (SS)"/>
      <sheetName val="D2"/>
      <sheetName val="CR"/>
      <sheetName val="BD"/>
      <sheetName val="SL"/>
      <sheetName val="SB"/>
      <sheetName val="ML"/>
      <sheetName val="DP"/>
      <sheetName val="NT"/>
      <sheetName val="MD"/>
      <sheetName val="PB"/>
      <sheetName val="LG"/>
      <sheetName val="MK"/>
      <sheetName val="MN"/>
      <sheetName val="BM"/>
      <sheetName val="PT"/>
      <sheetName val="TOTAL DP"/>
      <sheetName val="TOTAL LP"/>
      <sheetName val="NAS"/>
      <sheetName val="Item"/>
      <sheetName val="Hrg 28 Sept &amp; 30 Nov"/>
      <sheetName val="Harga rokok 25Jan10"/>
      <sheetName val="Harga 15Mar10 "/>
      <sheetName val="Hrg 12Apr10"/>
      <sheetName val="Hrg 10Mei10"/>
      <sheetName val="Harga 24Mei10"/>
      <sheetName val="Harga 28Jun10"/>
      <sheetName val="Harga 12Jul10"/>
      <sheetName val="Harga 6Sept10"/>
      <sheetName val="Harga 25Okt10"/>
      <sheetName val="NAV000"/>
      <sheetName val="10000"/>
      <sheetName val="Materiality and TE"/>
      <sheetName val="PAJE '04"/>
      <sheetName val="PRJE '04"/>
      <sheetName val="CAJE-04"/>
      <sheetName val="PYJE '04"/>
      <sheetName val="WP-PBM-04"/>
      <sheetName val="WBS2005"/>
      <sheetName val="Rincian BS"/>
      <sheetName val="IS"/>
      <sheetName val="CC "/>
      <sheetName val="G-1"/>
      <sheetName val="K Movement"/>
      <sheetName val="K-1"/>
      <sheetName val="M-4"/>
      <sheetName val="N-1"/>
      <sheetName val="N-2"/>
      <sheetName val="NN "/>
      <sheetName val="FISKAL"/>
      <sheetName val="O-1_PPh 21"/>
      <sheetName val="O-1.1 Rekap gaji"/>
      <sheetName val="O-2_PPh 23"/>
      <sheetName val="O-3_PPh 25"/>
      <sheetName val="O-5_PPN"/>
      <sheetName val="P"/>
      <sheetName val="P-1"/>
      <sheetName val="Q"/>
      <sheetName val="Q-3"/>
      <sheetName val="Q-3.1"/>
      <sheetName val="QQ"/>
      <sheetName val="R"/>
      <sheetName val="R-1 Perhitungan def. tax"/>
      <sheetName val="T"/>
      <sheetName val="T-1"/>
      <sheetName val="TT"/>
      <sheetName val="U-3"/>
      <sheetName val="U-4"/>
      <sheetName val="U-5"/>
      <sheetName val="Kep-150"/>
      <sheetName val="Def tax FA"/>
      <sheetName val="Mutation FA"/>
      <sheetName val="Aktiva 0909"/>
      <sheetName val="Total Balance 2008 012"/>
      <sheetName val="Q Lead"/>
      <sheetName val="Q Memo"/>
      <sheetName val="Q-1 Loan Mutation"/>
      <sheetName val="Q-2 Detail ST Loan"/>
      <sheetName val="Q-2-1 Detail Repayment ST Loan"/>
      <sheetName val="Q-2-1-1 Payment to T.Petchem"/>
      <sheetName val="Q-3 Detail Subordinated Loan"/>
      <sheetName val="Q-4 Detail Loan Interest Exp"/>
      <sheetName val="Q-4-1 Payment Loan Interest Exp"/>
      <sheetName val="Q-4-1 Loan Interest Calc"/>
      <sheetName val="Flow Int Exp CF"/>
      <sheetName val="QQ - Loan Confirmation"/>
      <sheetName val="K-Lead"/>
      <sheetName val="K-2"/>
      <sheetName val="Reclassification vehicle"/>
      <sheetName val="Vehicle"/>
      <sheetName val="Building"/>
      <sheetName val="Machinery and equipment"/>
      <sheetName val="Plant"/>
      <sheetName val="Furniture"/>
      <sheetName val="CIP-2008 to 2009"/>
      <sheetName val="Point discuss"/>
      <sheetName val="C.1"/>
      <sheetName val="C.2"/>
      <sheetName val="C.2.1"/>
      <sheetName val="C.3"/>
      <sheetName val="C.4"/>
      <sheetName val="CC"/>
      <sheetName val="D.1"/>
      <sheetName val="E-1"/>
      <sheetName val="E-1.2"/>
      <sheetName val="EE"/>
      <sheetName val="E-2"/>
      <sheetName val="F.1"/>
      <sheetName val="F.2"/>
      <sheetName val="F.5"/>
      <sheetName val="F.6"/>
      <sheetName val="G-1.3"/>
      <sheetName val="K.1"/>
      <sheetName val="K.2"/>
      <sheetName val="K.2.1"/>
      <sheetName val="K.2.2"/>
      <sheetName val="K.3"/>
      <sheetName val="K.4"/>
      <sheetName val="J.1"/>
      <sheetName val="J.2"/>
      <sheetName val="N"/>
      <sheetName val="N.1"/>
      <sheetName val="N.2"/>
      <sheetName val="N.3"/>
      <sheetName val="NN"/>
      <sheetName val="Pe"/>
      <sheetName val="Pen"/>
      <sheetName val="O.4"/>
      <sheetName val="U-1"/>
      <sheetName val="U.1.1"/>
      <sheetName val="U.1.2"/>
      <sheetName val="U.1.3"/>
      <sheetName val="U-2"/>
      <sheetName val="U.2.1"/>
      <sheetName val="U-3.1"/>
      <sheetName val="U.3.2"/>
      <sheetName val="Rekap SKP"/>
      <sheetName val="U-5.1"/>
      <sheetName val="Cross Check"/>
      <sheetName val="Cash on hand and in banks"/>
      <sheetName val="Short-term investment"/>
      <sheetName val="Accounts receivable"/>
      <sheetName val="Other receivable (payable)"/>
      <sheetName val="Prepaid exp, tax and advance"/>
      <sheetName val="Fixed Assets"/>
      <sheetName val="Other Assets"/>
      <sheetName val="Notes Payable"/>
      <sheetName val="AP trade"/>
      <sheetName val="Accrued expense"/>
      <sheetName val="Taxes payable"/>
      <sheetName val="Advance from customer"/>
      <sheetName val="Pension Fund"/>
      <sheetName val="Deferred tax liabilities"/>
      <sheetName val="Unrealized Gain on MF"/>
      <sheetName val="Sales"/>
      <sheetName val="Other charges (income)"/>
      <sheetName val="Induk+Nothit"/>
      <sheetName val=" Penjualan "/>
      <sheetName val="Rekap Ekspor"/>
      <sheetName val="Pelunasan Piutang"/>
      <sheetName val="Bahan Baku Lokal"/>
      <sheetName val="Bahan Baku Impor "/>
      <sheetName val="PPB"/>
      <sheetName val="Laba (Rugi) Kurs"/>
      <sheetName val="Hasil Lain"/>
      <sheetName val="Kredit Pajak"/>
      <sheetName val="----00000----"/>
      <sheetName val="KKP SUSUT "/>
      <sheetName val="Pendapatan Lain"/>
      <sheetName val="LHP"/>
      <sheetName val="PHP-1"/>
      <sheetName val="PHP-2"/>
      <sheetName val="PPh Ps. 22"/>
      <sheetName val="Alket"/>
      <sheetName val=" Sales "/>
      <sheetName val="Rekap Ekspor (KMK)"/>
      <sheetName val="EKSPOR (BI)"/>
      <sheetName val="Bahan Baku Impor (BI)"/>
      <sheetName val="Bahan Baku Impor (KMK) "/>
      <sheetName val="Bhn Baku-Lokal.1"/>
      <sheetName val="Bhn Baku-Lokal.2"/>
      <sheetName val="KKP SUSUT -AKHIR"/>
      <sheetName val="PM&amp;TE"/>
      <sheetName val="A-3.1"/>
      <sheetName val="detail_A-3.1"/>
      <sheetName val="A-3.2"/>
      <sheetName val="detail_A-3.2"/>
      <sheetName val="A-3.3"/>
      <sheetName val="detail_A-3.3"/>
      <sheetName val="A-4"/>
      <sheetName val="T account"/>
      <sheetName val="Cf Indirect"/>
      <sheetName val="Cf06"/>
      <sheetName val="DIT"/>
      <sheetName val="Machinery"/>
      <sheetName val="SPT 21"/>
      <sheetName val="CutOff Bank"/>
      <sheetName val="C-17 Test of Forex"/>
      <sheetName val="AR analysis"/>
      <sheetName val="F-1"/>
      <sheetName val="F-2"/>
      <sheetName val="F-3"/>
      <sheetName val="F-4"/>
      <sheetName val="G-2"/>
      <sheetName val="HH"/>
      <sheetName val="I Lead"/>
      <sheetName val="I-1"/>
      <sheetName val="I-2"/>
      <sheetName val="II"/>
      <sheetName val="K-2.1"/>
      <sheetName val="K-2.1.1"/>
      <sheetName val="K-2.1.2"/>
      <sheetName val="K-2.1.3"/>
      <sheetName val="K-2.1.4"/>
      <sheetName val="K-2.1.5"/>
      <sheetName val="K-2.1.6"/>
      <sheetName val="M Lead"/>
      <sheetName val="M-1"/>
      <sheetName val="M-2"/>
      <sheetName val="MM"/>
      <sheetName val="Loan Analysis"/>
      <sheetName val="N-3"/>
      <sheetName val="O.1 VAT"/>
      <sheetName val="O-2"/>
      <sheetName val="O-2.1"/>
      <sheetName val="O-3"/>
      <sheetName val="O-3.1 Art 4(2)"/>
      <sheetName val="P Lead"/>
      <sheetName val="P-2"/>
      <sheetName val="T Lead"/>
      <sheetName val="T.1"/>
      <sheetName val="T.2"/>
      <sheetName val="U-1.1.1"/>
      <sheetName val="U-1.2.1"/>
      <sheetName val="U-1.3 Test price sales"/>
      <sheetName val="U-1.4 Predictive exp sales"/>
      <sheetName val="GP analist"/>
      <sheetName val="U-2.1.1"/>
      <sheetName val="Test Pricing"/>
      <sheetName val="U-3 Lead"/>
      <sheetName val="U-3.2"/>
      <sheetName val="U-4.1"/>
      <sheetName val="U-4.2"/>
      <sheetName val="U-4.3"/>
      <sheetName val="U-4.4"/>
      <sheetName val="TOC Sales-Local"/>
      <sheetName val="TOC Sales- Export"/>
      <sheetName val="TOC Purchase"/>
      <sheetName val="U.1.3.1 Sales Cutoff (Ex)"/>
      <sheetName val="U.1.3.1 Sales Cutoff"/>
      <sheetName val="Purchase cut off"/>
      <sheetName val="Inv Analysis"/>
      <sheetName val="F-4 Inv Val"/>
      <sheetName val="SDE"/>
      <sheetName val="BLE"/>
      <sheetName val="KYE"/>
      <sheetName val="KCE"/>
      <sheetName val="SDF"/>
      <sheetName val="BLF"/>
      <sheetName val="KYF"/>
      <sheetName val="induk (2)"/>
      <sheetName val="Deferred tax assets"/>
      <sheetName val="Macro5"/>
      <sheetName val="M T S"/>
      <sheetName val="FP-FIKTIF"/>
      <sheetName val="KOREKSI-PM"/>
      <sheetName val="CONF-EKST"/>
      <sheetName val="CONF-INT"/>
      <sheetName val="JASA-LN"/>
      <sheetName val="Macro2"/>
      <sheetName val="Macro1"/>
      <sheetName val="Macro3"/>
      <sheetName val="Macro4"/>
      <sheetName val="CENTRAL"/>
      <sheetName val="CENTRAL-1"/>
      <sheetName val="NOT-HIT"/>
      <sheetName val="PHP"/>
      <sheetName val="SP-PET"/>
      <sheetName val="Predictive FA Fiscal"/>
      <sheetName val="lre"/>
      <sheetName val="bre"/>
      <sheetName val="lrf"/>
      <sheetName val="Pending Confirmation"/>
      <sheetName val="CC-Confirmation Bank"/>
      <sheetName val="EE_COnfirmation AR"/>
      <sheetName val="II_Confirmation Inter Co."/>
      <sheetName val="Letter to Lawyer"/>
      <sheetName val="NN_Confirmation AP"/>
      <sheetName val="QQ_Confirmation Loan"/>
      <sheetName val="TT_Confirmation SHE"/>
      <sheetName val="PM"/>
      <sheetName val="TMP1"/>
      <sheetName val="WORKS"/>
      <sheetName val="PAJE"/>
      <sheetName val="PRJE"/>
      <sheetName val="CAJE"/>
      <sheetName val="Elim"/>
      <sheetName val="F Lead"/>
      <sheetName val="Purchase Cutoff"/>
      <sheetName val="DNR_Sep"/>
      <sheetName val="Other_Sep"/>
      <sheetName val="Analytical Review"/>
      <sheetName val="NOT"/>
      <sheetName val="Cash Flow"/>
      <sheetName val="mutasiCF"/>
      <sheetName val="CF suppl."/>
      <sheetName val="Memo cash"/>
      <sheetName val="C Lead"/>
      <sheetName val="C2"/>
      <sheetName val="Memo AR"/>
      <sheetName val="E Lead"/>
      <sheetName val="E 1"/>
      <sheetName val="E 2"/>
      <sheetName val="Memo F"/>
      <sheetName val="Memo G"/>
      <sheetName val="G Lead"/>
      <sheetName val="G 1"/>
      <sheetName val="G 2"/>
      <sheetName val="Memo H"/>
      <sheetName val="H1"/>
      <sheetName val="Memo I"/>
      <sheetName val="I 1"/>
      <sheetName val="I 2"/>
      <sheetName val="I 3"/>
      <sheetName val="I 4"/>
      <sheetName val="Memo J"/>
      <sheetName val="J Lead"/>
      <sheetName val="J 1"/>
      <sheetName val="Memo K"/>
      <sheetName val="K Lead"/>
      <sheetName val="K 1"/>
      <sheetName val="K 2"/>
      <sheetName val="K 2.1"/>
      <sheetName val="K 2.2"/>
      <sheetName val="K 2.3"/>
      <sheetName val="K 3"/>
      <sheetName val="K 4 FA combined"/>
      <sheetName val="N Memo"/>
      <sheetName val="N Lead"/>
      <sheetName val="N 1"/>
      <sheetName val="N 2"/>
      <sheetName val="N 3"/>
      <sheetName val="O Memo"/>
      <sheetName val="O Lead"/>
      <sheetName val="O1"/>
      <sheetName val="O 2"/>
      <sheetName val="P Memo"/>
      <sheetName val="P 1"/>
      <sheetName val="P 2"/>
      <sheetName val="P 2.1"/>
      <sheetName val="P 3"/>
      <sheetName val="P 3.1"/>
      <sheetName val="U 1"/>
      <sheetName val="U 1.1"/>
      <sheetName val="U 1.2"/>
      <sheetName val="U 1.3"/>
      <sheetName val="U 1.4"/>
      <sheetName val="U 1.5"/>
      <sheetName val="U 2"/>
      <sheetName val="U 3"/>
      <sheetName val="U 3.1"/>
      <sheetName val="U 4"/>
      <sheetName val="U 4.1"/>
      <sheetName val="U 5"/>
      <sheetName val="K 2_1"/>
      <sheetName val="K 2.4"/>
      <sheetName val="PP-05"/>
      <sheetName val="FA"/>
      <sheetName val="SD"/>
      <sheetName val="aktiva lain"/>
      <sheetName val="C Cash and Bank "/>
      <sheetName val="Cash and Bank Register"/>
      <sheetName val="Pakanbaru"/>
      <sheetName val="fiscal CSA 04"/>
      <sheetName val="fiscal WITM 04 "/>
      <sheetName val="NDE Deposito"/>
      <sheetName val="Ellim&amp;Deff.tax unaudited"/>
      <sheetName val="PER SHM WITM  (3)"/>
      <sheetName val="fiscal WITM"/>
      <sheetName val="fiscal WICM 04"/>
      <sheetName val="fiscal WICM"/>
      <sheetName val="fiscal CSA"/>
      <sheetName val="by sewa summ"/>
      <sheetName val="WITM def tax"/>
      <sheetName val="WICM DEFTAX"/>
      <sheetName val="CSA DEFTAX"/>
      <sheetName val="tax csa"/>
      <sheetName val="anlyt konsol"/>
      <sheetName val="REkon IMSI-WITM (2)"/>
      <sheetName val="REkon IMSI-WITM"/>
      <sheetName val="analisa"/>
      <sheetName val="summary"/>
      <sheetName val="claim for tax"/>
      <sheetName val="anlyt witm"/>
      <sheetName val="anlyt wicm"/>
      <sheetName val="anlyt csa"/>
      <sheetName val="00 received in 01"/>
      <sheetName val="J a n"/>
      <sheetName val="F e b"/>
      <sheetName val="M a r"/>
      <sheetName val="A p r"/>
      <sheetName val="M a y"/>
      <sheetName val="J u n"/>
      <sheetName val="J u l"/>
      <sheetName val="A u g"/>
      <sheetName val="S e p"/>
      <sheetName val="O c t"/>
      <sheetName val="N o v"/>
      <sheetName val="Per GL J a n"/>
      <sheetName val="Marshal"/>
      <sheetName val="Monthly Data"/>
      <sheetName val="Permanent info"/>
      <sheetName val="GeneralInfo"/>
      <sheetName val="Family"/>
      <sheetName val="Biaya PIR"/>
      <sheetName val="Hsl-Pen"/>
      <sheetName val="sat-baru"/>
      <sheetName val="infras"/>
      <sheetName val="BMP"/>
      <sheetName val="Angsuran"/>
      <sheetName val="sensitivity"/>
      <sheetName val="Cash-print"/>
      <sheetName val="BOT"/>
      <sheetName val="tt-biaya"/>
      <sheetName val="SUD"/>
      <sheetName val="STB"/>
      <sheetName val="23"/>
      <sheetName val="JKK"/>
      <sheetName val="TBM-OP97 660 HA"/>
      <sheetName val="TBM-OP'96 211 HA"/>
      <sheetName val="TBM-OP96 236 HA"/>
      <sheetName val="TBM-OP96 287 HA"/>
      <sheetName val="TBM-OP96 246 HA"/>
      <sheetName val="TBM-OP97 281 HA"/>
      <sheetName val="TBM-OP95 304 HA"/>
      <sheetName val="TBM-OP98 200 HA"/>
      <sheetName val="127 Ha Out of HGU"/>
      <sheetName val="TBM"/>
      <sheetName val="NERKON "/>
      <sheetName val="DAF.ISI"/>
      <sheetName val="P&amp;L"/>
      <sheetName val="KB"/>
      <sheetName val="P-Kebun-XX "/>
      <sheetName val="P-DGN"/>
      <sheetName val="PPEG"/>
      <sheetName val="BYRM-XX"/>
      <sheetName val="PLL "/>
      <sheetName val="REKAP-AT"/>
      <sheetName val="Depre-TM"/>
      <sheetName val="BT-XX"/>
      <sheetName val="Ak_pro-XX"/>
      <sheetName val="HUT"/>
      <sheetName val="BTH"/>
      <sheetName val="HK-XX"/>
      <sheetName val="HR"/>
      <sheetName val="HS"/>
      <sheetName val="HLL"/>
      <sheetName val="pph"/>
      <sheetName val="HB"/>
      <sheetName val="AL-BTL KK"/>
      <sheetName val="BTL-PT'S"/>
      <sheetName val="BTL-RO"/>
      <sheetName val="K-B"/>
      <sheetName val="REKON P-KEBUN"/>
      <sheetName val="P-DGG"/>
      <sheetName val="PERS-DP"/>
      <sheetName val="BYRM"/>
      <sheetName val="PJR-PEM"/>
      <sheetName val="PINJ-PEG"/>
      <sheetName val="PJR-LL"/>
      <sheetName val="P-LL "/>
      <sheetName val="PPN-MASUKAN"/>
      <sheetName val="BIBIT"/>
      <sheetName val="AK-PRS"/>
      <sheetName val="BTGH"/>
      <sheetName val="H-DGG"/>
      <sheetName val="H-GJ"/>
      <sheetName val="H-KONT"/>
      <sheetName val="H-PJK"/>
      <sheetName val="PPN KELUARAN"/>
      <sheetName val="H-LL"/>
      <sheetName val="H-B"/>
      <sheetName val="H-PMG-SHM"/>
      <sheetName val="MODAL"/>
      <sheetName val="LABA-DTHN"/>
      <sheetName val="AL-Peny-BTL-Fin"/>
      <sheetName val="HAL"/>
      <sheetName val="MEMO"/>
      <sheetName val="P-KebunXX"/>
      <sheetName val="PsDiPj"/>
      <sheetName val="PPEGxx"/>
      <sheetName val="BYRMXX"/>
      <sheetName val="AL-BTL KK (2)"/>
      <sheetName val="XXXX"/>
      <sheetName val="BTL  "/>
      <sheetName val="XXX"/>
      <sheetName val="BTXX"/>
      <sheetName val="Ak_pro"/>
      <sheetName val="HUT "/>
      <sheetName val="HK"/>
      <sheetName val="pph "/>
      <sheetName val="HB "/>
      <sheetName val="HBJP"/>
      <sheetName val="COVER "/>
      <sheetName val="Capex Sum"/>
      <sheetName val="AAL"/>
      <sheetName val="IIS"/>
      <sheetName val="AARJ"/>
      <sheetName val="AKTIVA1TB"/>
      <sheetName val="AKTIVA2TB"/>
      <sheetName val="AKTIVAMDN"/>
      <sheetName val="OoR-AKTIVA1TB"/>
      <sheetName val="OoR-AKTIVA3TB"/>
      <sheetName val="OoR-AKTIVA4TB"/>
      <sheetName val="F-05"/>
      <sheetName val="F-07 "/>
      <sheetName val="F-07 A"/>
      <sheetName val="F-07.01"/>
      <sheetName val="F-07.02"/>
      <sheetName val="F-07.03"/>
      <sheetName val="F-07.04"/>
      <sheetName val="F-07.06"/>
      <sheetName val="F-07.06 A"/>
      <sheetName val="F-07.07"/>
      <sheetName val="F-07.07 A"/>
      <sheetName val="Ytd"/>
      <sheetName val="LMA 7 Peb"/>
      <sheetName val=" LMA 14 Peb"/>
      <sheetName val="LMA 21 Peb"/>
      <sheetName val="LMA 28 Peb"/>
      <sheetName val="Tax"/>
      <sheetName val="Marshall-JSS"/>
      <sheetName val="F1771"/>
      <sheetName val="Marshall-CMA"/>
      <sheetName val="F1771-I"/>
      <sheetName val="F1771-II"/>
      <sheetName val="F1771-III"/>
      <sheetName val="F1771-IV"/>
      <sheetName val="F1771-V"/>
      <sheetName val="F1771-VI"/>
      <sheetName val="Depreciation  schedule"/>
      <sheetName val="Peny-JSS"/>
      <sheetName val="Peny-CMA"/>
      <sheetName val="Attachment"/>
      <sheetName val="Lampiran"/>
      <sheetName val="TaxCMA"/>
      <sheetName val="TaxJSS"/>
      <sheetName val="PLconsold"/>
      <sheetName val="pph-25"/>
      <sheetName val="25installment"/>
      <sheetName val="Reasonableness test"/>
      <sheetName val="TB YTD"/>
      <sheetName val="TB Current"/>
      <sheetName val="VATO"/>
      <sheetName val="BSD"/>
      <sheetName val="Table"/>
      <sheetName val="COA Definition"/>
      <sheetName val="To Do"/>
      <sheetName val="Note"/>
      <sheetName val="Calender"/>
      <sheetName val="Info"/>
      <sheetName val="Knowledge Index"/>
      <sheetName val="3800 mapping"/>
      <sheetName val="PMU"/>
      <sheetName val="TB 31.12.02"/>
      <sheetName val="3800 2001"/>
      <sheetName val="TNG-GDG1"/>
      <sheetName val="MESIN1"/>
      <sheetName val="PABRIK1"/>
      <sheetName val="TNG-GDG1 disp Nov"/>
      <sheetName val="MESIN1 disp Nov"/>
      <sheetName val="PABRIK1 disp Nov"/>
      <sheetName val="IS disp Nov"/>
      <sheetName val="TNG-GDG1 disp Mei"/>
      <sheetName val="MESIN1 disp Mei"/>
      <sheetName val="WORKSHOP disp Mei"/>
      <sheetName val="PABRIK1 disp Mei"/>
      <sheetName val="LAB disp Mei"/>
      <sheetName val="I-KANTOR disp Mei"/>
      <sheetName val="instalasi disp Mei"/>
      <sheetName val="2001GeneralInfo"/>
      <sheetName val="identitas (2)"/>
      <sheetName val="2001Marshal"/>
      <sheetName val="2001profit - loss"/>
      <sheetName val="2000biaya lain-lain"/>
      <sheetName val="2001neraca"/>
      <sheetName val="2001REC-FISCAL"/>
      <sheetName val="2001FA-DEPR"/>
      <sheetName val="2001depr-fisc"/>
      <sheetName val="2001PPh ps 22"/>
      <sheetName val="2001Exit fiscal"/>
      <sheetName val="2001PPh 25"/>
      <sheetName val="2001Art 23(prepaid)"/>
      <sheetName val="2001Pengurus"/>
      <sheetName val="2000dftlamp"/>
      <sheetName val="2002Art25 calc"/>
      <sheetName val="FI-1771$.P1"/>
      <sheetName val="FE-1771$.P1"/>
      <sheetName val="FI-1771$.P2"/>
      <sheetName val="FE-1771$.P2"/>
      <sheetName val="FI-1771-I$"/>
      <sheetName val="FE-1771-I$"/>
      <sheetName val="FI-1771-II$"/>
      <sheetName val="FE-1771-II$"/>
      <sheetName val="FI-1771-III$"/>
      <sheetName val="FE-1771-III$"/>
      <sheetName val="FI-1771-IV"/>
      <sheetName val="FE-1771-IV"/>
      <sheetName val="FI-1771-V"/>
      <sheetName val="FE-1771-V"/>
      <sheetName val="FI-1771-VI $"/>
      <sheetName val="FE-1771-VI$"/>
      <sheetName val="Inventory Lead "/>
      <sheetName val="COGS Lead"/>
      <sheetName val="Detail COGS"/>
      <sheetName val="Gross Margin"/>
      <sheetName val="Penyusutan"/>
      <sheetName val="Unearned premiums"/>
      <sheetName val="Cadangan premi"/>
      <sheetName val="List of Doc Received"/>
      <sheetName val="Attachement"/>
      <sheetName val="FisLoss95"/>
      <sheetName val="IntrVSLoan"/>
      <sheetName val="OperLease95"/>
      <sheetName val="SP-Semarang"/>
      <sheetName val="Reklas"/>
      <sheetName val="akumulasi kerugian"/>
      <sheetName val="Marshal 2nd draft"/>
      <sheetName val="Marshal 1st draft"/>
      <sheetName val="Art. 23"/>
      <sheetName val="PPh 23"/>
      <sheetName val="PUBLISINDO"/>
      <sheetName val="Art. 25 calc"/>
      <sheetName val="Angsuran PPh 25"/>
      <sheetName val="FI-1771.P1"/>
      <sheetName val="FE-1771.P1"/>
      <sheetName val="FI-1771.P2"/>
      <sheetName val="FE-1771.P2"/>
      <sheetName val="FI-1771-I"/>
      <sheetName val="FE-1771-I"/>
      <sheetName val="FI-1771-II"/>
      <sheetName val="FE-1771-II"/>
      <sheetName val="FI-1771-III"/>
      <sheetName val="FE-1771-III"/>
      <sheetName val="FI-1771-VI"/>
      <sheetName val="FE-1771-VI"/>
      <sheetName val="Balance Sheet"/>
      <sheetName val="Rugi Laba"/>
      <sheetName val="Income Statm"/>
      <sheetName val="Rek Fiskal"/>
      <sheetName val="Fiscal Rec"/>
      <sheetName val="Rek Fiskal-detail"/>
      <sheetName val="PPh 25"/>
      <sheetName val="Art.25"/>
      <sheetName val="PPh 22"/>
      <sheetName val="Art 22"/>
      <sheetName val="PPh 25 calc."/>
      <sheetName val="Art 25 calc"/>
      <sheetName val="Daftar Pengurus"/>
      <sheetName val="Comm. List"/>
      <sheetName val="Daftar Pemegang Saham"/>
      <sheetName val="Shareholder List"/>
      <sheetName val="Entertainment"/>
      <sheetName val="FE-1770.P1"/>
      <sheetName val="FE-1770.P2"/>
      <sheetName val="FE-1770-I"/>
      <sheetName val="FE-1770-II"/>
      <sheetName val="FE-1770-III"/>
      <sheetName val="FI-177O.P1"/>
      <sheetName val="FI-1770.P2"/>
      <sheetName val="FI-1770-I"/>
      <sheetName val="FI-1770-II"/>
      <sheetName val="FI-1770-III"/>
      <sheetName val="PPh25-Installment"/>
      <sheetName val="TaxPaidAbroad"/>
      <sheetName val="Irregular Income"/>
      <sheetName val="tax calculation"/>
      <sheetName val="data wp"/>
      <sheetName val="Marshal-KSO"/>
      <sheetName val="Marshal-MGTI"/>
      <sheetName val="Fiscal adj"/>
      <sheetName val="Penyusutan5.1"/>
      <sheetName val="Penyusutan5.2"/>
      <sheetName val="Depr Schedule"/>
      <sheetName val="CIP2000"/>
      <sheetName val="Pemegang saham"/>
      <sheetName val="shareholder"/>
      <sheetName val="Bank Rec"/>
      <sheetName val="Op HU"/>
      <sheetName val="1001 Op"/>
      <sheetName val="1002 Cap"/>
      <sheetName val="BNI HU"/>
      <sheetName val="1003 BNI"/>
      <sheetName val="1005 Amro"/>
      <sheetName val="1007 Kas"/>
      <sheetName val="1009 VICO"/>
      <sheetName val="1102 PU"/>
      <sheetName val="IC"/>
      <sheetName val="IC kurs"/>
      <sheetName val="Depr Eng"/>
      <sheetName val="Depr Ind"/>
      <sheetName val="Fa disposal-fiscal"/>
      <sheetName val="Fa disposal-fiscal Ind"/>
      <sheetName val="Fa disposal-commerce"/>
      <sheetName val="Exit Tax"/>
      <sheetName val="Entertainment Eng"/>
      <sheetName val="Installments"/>
      <sheetName val="Installments (2)"/>
      <sheetName val="Attachments"/>
      <sheetName val="Depresiasi total"/>
      <sheetName val="Daftar depresiasi"/>
      <sheetName val="Rekonsiliasi aktiva tetap"/>
      <sheetName val="daftar"/>
      <sheetName val="gol1"/>
      <sheetName val="gol2"/>
      <sheetName val="Attachment-Version 2"/>
      <sheetName val="Marshal (2)"/>
      <sheetName val="Marshal (1)"/>
      <sheetName val="List of attachments"/>
      <sheetName val="Attachment-Version 1 "/>
      <sheetName val="FA Addition (Revised)"/>
      <sheetName val="FA Addition (1)"/>
      <sheetName val="Reconciliation"/>
      <sheetName val="Fiscal Exit Tax"/>
      <sheetName val="Taxcomput"/>
      <sheetName val="Biaya lain2"/>
      <sheetName val="taxcorrection"/>
      <sheetName val="Art 25 Paid"/>
      <sheetName val="Art 21 recon"/>
      <sheetName val="penyusutan-eng"/>
      <sheetName val="Penyusutan (2)"/>
      <sheetName val="pph25"/>
      <sheetName val="pph21"/>
      <sheetName val="1771-Y I"/>
      <sheetName val="1771-Y E"/>
      <sheetName val="Lampiran (E)"/>
      <sheetName val="Depresiasi (E)"/>
      <sheetName val="B8"/>
      <sheetName val="H1.A"/>
      <sheetName val="H1.B"/>
      <sheetName val="H1.C"/>
      <sheetName val="I1.A"/>
      <sheetName val="I1.B"/>
      <sheetName val="L1.A"/>
      <sheetName val="L1.B"/>
      <sheetName val="L1.C"/>
      <sheetName val="Q1"/>
      <sheetName val="R1.B"/>
      <sheetName val="R1.A"/>
      <sheetName val="ARPPL"/>
      <sheetName val="ARPBS"/>
      <sheetName val="DT2005"/>
      <sheetName val="W-CF"/>
      <sheetName val="ARP"/>
      <sheetName val="C10"/>
      <sheetName val="T3.1"/>
      <sheetName val="WBS (T3)"/>
      <sheetName val="T3"/>
      <sheetName val="Ratio(Int)"/>
      <sheetName val="Ratio(YE)"/>
      <sheetName val="Inc. Stat"/>
      <sheetName val="BS 2006"/>
      <sheetName val="AJE-2006-interim (2)"/>
      <sheetName val="List of Pending"/>
      <sheetName val="ratio analysis"/>
      <sheetName val="tb (excell) dec 2005"/>
      <sheetName val="tb 2004 (2)"/>
      <sheetName val="Ratio analysis SA"/>
      <sheetName val="BS&amp;IS"/>
      <sheetName val="SAD-Dec"/>
      <sheetName val="SUAD"/>
      <sheetName val="Client AJE"/>
      <sheetName val="SAD-SEpt(2)"/>
      <sheetName val="SAD-June "/>
      <sheetName val="Omission and error"/>
      <sheetName val="Cash Flows Workpapers Indirect"/>
      <sheetName val="Notes"/>
      <sheetName val="Input"/>
      <sheetName val="AI-1"/>
      <sheetName val="AI-2"/>
      <sheetName val="AII-1"/>
      <sheetName val="AII-2"/>
      <sheetName val="AII-3"/>
      <sheetName val="AII-4"/>
      <sheetName val="AII-5"/>
      <sheetName val="AII-6"/>
      <sheetName val="AII-7"/>
      <sheetName val="AIV-1"/>
      <sheetName val="S-A"/>
      <sheetName val="SA-1"/>
      <sheetName val="S-B"/>
      <sheetName val="S-B2"/>
      <sheetName val="S-C"/>
      <sheetName val="S-C1"/>
      <sheetName val="S-F"/>
      <sheetName val="S-E"/>
      <sheetName val="S-F1"/>
      <sheetName val="S-G"/>
      <sheetName val="S-H"/>
      <sheetName val="S-I"/>
      <sheetName val="S-I1"/>
      <sheetName val="S-I2"/>
      <sheetName val="S-I3"/>
      <sheetName val="S-J"/>
      <sheetName val="S-K"/>
      <sheetName val="S-P"/>
      <sheetName val="S-P1"/>
      <sheetName val="S-P2"/>
      <sheetName val="S-P3"/>
      <sheetName val="S-P4"/>
      <sheetName val="M-2a Local"/>
      <sheetName val="M-2a Export"/>
      <sheetName val="M-3"/>
      <sheetName val="M-3a"/>
      <sheetName val="M-3b"/>
      <sheetName val="M-5 (Type)"/>
      <sheetName val="M-5 (Brand)"/>
      <sheetName val="M-5a"/>
      <sheetName val="M-5b"/>
      <sheetName val="M-6"/>
      <sheetName val="M-7"/>
      <sheetName val="M-8"/>
      <sheetName val="M-9"/>
      <sheetName val="M-10"/>
      <sheetName val="M-10a"/>
      <sheetName val="M-10b"/>
      <sheetName val="M-11"/>
      <sheetName val="M-12"/>
      <sheetName val="M-13"/>
      <sheetName val="M-14"/>
      <sheetName val="M-15"/>
      <sheetName val="1771"/>
      <sheetName val="1771.2"/>
      <sheetName val="1771-I"/>
      <sheetName val="1771-II"/>
      <sheetName val="1771-III"/>
      <sheetName val="1771-IV"/>
      <sheetName val="1771-V"/>
      <sheetName val="1771-VI"/>
      <sheetName val="1771(E)"/>
      <sheetName val="1771.2(E)"/>
      <sheetName val="1771-I(E)"/>
      <sheetName val="1771-II(E)"/>
      <sheetName val="1771-III(E)"/>
      <sheetName val="1771-IV(E)"/>
      <sheetName val="1771-V(E)"/>
      <sheetName val="1771-VI(E)"/>
      <sheetName val="Marshal (3)"/>
      <sheetName val="Marshal (4)"/>
      <sheetName val="4th of 2001"/>
      <sheetName val="provision"/>
      <sheetName val="pengurus"/>
      <sheetName val="director"/>
      <sheetName val="FA-gainloss"/>
      <sheetName val="Laba-rugi aktiva"/>
      <sheetName val="peny-2001"/>
      <sheetName val="Depr-2001"/>
      <sheetName val="1770-Y"/>
      <sheetName val="1771 (E)"/>
      <sheetName val="1771.2 (E)"/>
      <sheetName val="1771-I (E)"/>
      <sheetName val="1771-II (E)"/>
      <sheetName val="1771-III (E)"/>
      <sheetName val="1771-IV (E)"/>
      <sheetName val="1771-V (E)"/>
      <sheetName val="1771-VI (E)"/>
      <sheetName val="4200"/>
      <sheetName val="4300"/>
      <sheetName val="6700"/>
      <sheetName val="6400"/>
      <sheetName val="6300"/>
      <sheetName val="6120"/>
      <sheetName val="6110"/>
      <sheetName val="Depr fiskal2006"/>
      <sheetName val="CIT 2006"/>
      <sheetName val="CIT 2005"/>
      <sheetName val="FA Fiscal 2005"/>
      <sheetName val="Tax BTJ 2006"/>
      <sheetName val="CITR Cal"/>
      <sheetName val="ERWIN"/>
      <sheetName val="Depreciation "/>
      <sheetName val="Dep-detailed"/>
      <sheetName val="Gain "/>
      <sheetName val="PPh 21"/>
      <sheetName val="Prepaid"/>
      <sheetName val="Att. 9"/>
      <sheetName val="F1771-1"/>
      <sheetName val="F1771-2"/>
      <sheetName val="F1771-3"/>
      <sheetName val="F1771-4"/>
      <sheetName val="F1771-5"/>
      <sheetName val="F1771-6"/>
      <sheetName val="Attachment (2)"/>
      <sheetName val="disposal"/>
      <sheetName val="Detail-A"/>
      <sheetName val="summary-1"/>
      <sheetName val="summary-2"/>
      <sheetName val="summary-3"/>
      <sheetName val="summary-4"/>
      <sheetName val="summary-5"/>
      <sheetName val="summary-6"/>
      <sheetName val="nov01"/>
      <sheetName val="jan 2001"/>
      <sheetName val="Detail-B"/>
      <sheetName val="ANALYZE"/>
      <sheetName val="car"/>
      <sheetName val="GL 01 report 00"/>
      <sheetName val="2001 per GL (2)"/>
      <sheetName val="2001 per month (2)"/>
      <sheetName val="2001 per GL (1)"/>
      <sheetName val=" 2001 per month (1)"/>
      <sheetName val="Dec"/>
      <sheetName val="2001 per month (1)"/>
      <sheetName val="D e c"/>
      <sheetName val="Life- QBR"/>
      <sheetName val="Life-data"/>
      <sheetName val="Life - Guidelines"/>
      <sheetName val="P&amp;C- QBR"/>
      <sheetName val="P&amp;C -data"/>
      <sheetName val="P&amp;C - Guidelines"/>
      <sheetName val="Reinsurance - QBR"/>
      <sheetName val="Reinsurance - data"/>
      <sheetName val="Reinsurance -Guidelines"/>
      <sheetName val="Asset management -QBR"/>
      <sheetName val="asset management -data"/>
      <sheetName val="Asset managment - Guidelines"/>
      <sheetName val="Bank - QBR"/>
      <sheetName val="Bank - data"/>
      <sheetName val="Bank - Guidelines"/>
      <sheetName val="Global risks - QBR"/>
      <sheetName val="Global risks- data"/>
      <sheetName val="Lifedata"/>
      <sheetName val="Health-QBR"/>
      <sheetName val="HEALTH DATA"/>
      <sheetName val="Q-PC1"/>
      <sheetName val="Q-PC2"/>
      <sheetName val="NCQ-EXP"/>
      <sheetName val="QBR - P&amp;C"/>
      <sheetName val="P&amp;C data"/>
      <sheetName val="P&amp;C guidelines"/>
      <sheetName val="UPR"/>
      <sheetName val="IBNR"/>
      <sheetName val="List att."/>
      <sheetName val="Depreciation - Mulyo"/>
      <sheetName val="Neraca - Auidt"/>
      <sheetName val="Perhitungan PPh 25"/>
      <sheetName val="Fiscal Corr."/>
      <sheetName val="Depreciation &amp; Peny."/>
      <sheetName val="Art. 23 reconciliation"/>
      <sheetName val="Corporate Reporter"/>
      <sheetName val="FX Exposure"/>
      <sheetName val="Trial Bal"/>
      <sheetName val="Sept02"/>
      <sheetName val="Aug 02"/>
      <sheetName val="June 02"/>
      <sheetName val="May 02"/>
      <sheetName val="April 02"/>
      <sheetName val="Mar 02"/>
      <sheetName val="Feb02"/>
      <sheetName val="Jan02"/>
      <sheetName val="Dec01"/>
      <sheetName val="1771-1"/>
      <sheetName val="1771-2"/>
      <sheetName val="1771-3"/>
      <sheetName val="1771-4"/>
      <sheetName val="1771-5"/>
      <sheetName val="1771-6"/>
      <sheetName val="Dftlamp"/>
      <sheetName val="Depr-fiskal"/>
      <sheetName val="fiscal depr"/>
      <sheetName val="Rekon-FA"/>
      <sheetName val="Additional-FA"/>
      <sheetName val="Int-exp"/>
      <sheetName val="positivecorr"/>
      <sheetName val="korfis"/>
      <sheetName val="Breakdown Fiscal Correction"/>
      <sheetName val="Revised wht slips"/>
      <sheetName val="Attachmentx"/>
      <sheetName val="Lampiranx"/>
      <sheetName val="Entertainmentx"/>
      <sheetName val="Revised Depr"/>
      <sheetName val="Depreciationx"/>
      <sheetName val="Art25 installx"/>
      <sheetName val="Depr 2001"/>
      <sheetName val="1771-Y"/>
      <sheetName val="ARt 2223 prepaid"/>
      <sheetName val="Journal Req'd"/>
      <sheetName val="Template "/>
      <sheetName val="TRanscations-Prov"/>
      <sheetName val="1. Provision m'ment"/>
      <sheetName val="2. Depr 00"/>
      <sheetName val="4. FA Addition"/>
      <sheetName val="3. Amort 00"/>
      <sheetName val="5. Expln-Dev"/>
      <sheetName val="TRans-Expln"/>
      <sheetName val="6. P&amp;L Listing ex sun"/>
      <sheetName val="7. Losses"/>
      <sheetName val="CCOA-BAl"/>
      <sheetName val="Trans 1. - 97040"/>
      <sheetName val="43060"/>
      <sheetName val="Trans 2. 97165"/>
      <sheetName val="Trans 3. 97345"/>
      <sheetName val="Trans 4.97850, 97860 "/>
      <sheetName val="Trans 5 - 97515, 97835 , 97840"/>
      <sheetName val="Trans 6 43060, 98017,11831 "/>
      <sheetName val="Trans 7 98075"/>
      <sheetName val="Schedule 4"/>
      <sheetName val="Tangerang Site"/>
      <sheetName val="I-10"/>
      <sheetName val="EBIT-97"/>
      <sheetName val="301198 Prov"/>
      <sheetName val="DIB"/>
      <sheetName val="126 &amp; 127"/>
      <sheetName val="bpcs-rep"/>
      <sheetName val="depr-1998"/>
      <sheetName val="611alloc"/>
      <sheetName val="AI-95"/>
      <sheetName val="Prov Obsolete"/>
      <sheetName val="Structuring"/>
      <sheetName val="AR-conf"/>
      <sheetName val="AP-english"/>
      <sheetName val="AP-conf "/>
      <sheetName val="125 &amp; 128"/>
      <sheetName val="Remarks B14-2 "/>
      <sheetName val="FX-96.97.1098"/>
      <sheetName val="Royalties"/>
      <sheetName val="30614"/>
      <sheetName val="30912"/>
      <sheetName val="AR &amp; Inv WOff "/>
      <sheetName val="MB Country"/>
      <sheetName val="cc-129-98"/>
      <sheetName val="AGING"/>
      <sheetName val="Balance end 2002"/>
      <sheetName val="Balance 30-06-03"/>
      <sheetName val="Ecr"/>
      <sheetName val="2003"/>
      <sheetName val="2004"/>
      <sheetName val="2005"/>
      <sheetName val="2006"/>
      <sheetName val="Awalna"/>
      <sheetName val="Format Ngitung  "/>
      <sheetName val="Rul,m"/>
      <sheetName val="Rul,s"/>
      <sheetName val="NOTA"/>
      <sheetName val="INPUT "/>
      <sheetName val="ANAK HAYAM"/>
      <sheetName val="Parab Hayam 2003"/>
      <sheetName val="H.KONTRAK"/>
      <sheetName val="DOC"/>
      <sheetName val="FARM "/>
      <sheetName val="SUPPLIER"/>
      <sheetName val="Exchange Rate"/>
      <sheetName val="Compta X - 2"/>
      <sheetName val="aug"/>
      <sheetName val="HP Bangunan"/>
      <sheetName val="HP Inventaris"/>
      <sheetName val="HP Kendaraan"/>
      <sheetName val="Ak. Peny. Bangunan"/>
      <sheetName val="Ak. Peny. Inventaris"/>
      <sheetName val="Ak. Peny. Kendaraan"/>
      <sheetName val="Analytical"/>
      <sheetName val="RENTABILITAS"/>
      <sheetName val="CashFL"/>
      <sheetName val="PPAP"/>
      <sheetName val="KAP 4 Report"/>
      <sheetName val="Maturity ++"/>
      <sheetName val="BMPK"/>
      <sheetName val="Konsen-1"/>
      <sheetName val="Konsentrasi"/>
      <sheetName val="PDN ++"/>
      <sheetName val="PDN"/>
      <sheetName val="CAR Versi BI"/>
      <sheetName val="EQ"/>
      <sheetName val="DEFFERED TAX"/>
      <sheetName val="AYD"/>
      <sheetName val="KYD Terkait"/>
      <sheetName val="RJE"/>
      <sheetName val="CCJE"/>
      <sheetName val="Passed"/>
      <sheetName val="Ratio PPAP Audited"/>
      <sheetName val="Trading Bonds (Rp) 2003"/>
      <sheetName val="Trading Bonds (USD) 2003"/>
      <sheetName val="Held to Maturity Bonds(Rp) 2003"/>
      <sheetName val="REPORT and DISCLOSURES"/>
      <sheetName val="Pack"/>
      <sheetName val="Lainnya"/>
      <sheetName val="Roaster"/>
      <sheetName val="F.Drying"/>
      <sheetName val="Molen"/>
      <sheetName val="hitung"/>
      <sheetName val="Selisih"/>
      <sheetName val="Grafik mesin"/>
      <sheetName val="Dapur"/>
      <sheetName val="Tiris"/>
      <sheetName val="Packing"/>
      <sheetName val="mixer kanji"/>
      <sheetName val="Oven"/>
      <sheetName val="Juice bawang"/>
      <sheetName val="Bucket"/>
      <sheetName val="Roasting"/>
      <sheetName val="Mesin Ayak"/>
      <sheetName val="Colloid mill"/>
      <sheetName val="Gotrok"/>
      <sheetName val="H_KONTRAK"/>
      <sheetName val="DAT_1"/>
      <sheetName val="Present"/>
      <sheetName val="Assumption"/>
      <sheetName val="Insurance"/>
      <sheetName val="Throughput"/>
      <sheetName val="Revenue Trend"/>
      <sheetName val="Revenue"/>
      <sheetName val="FA-PELINDO"/>
      <sheetName val="FA-HTP"/>
      <sheetName val="Ass-Fiscal"/>
      <sheetName val="FA-HTP (Fiskal) (2)"/>
      <sheetName val="FA-HTP (Fiskal)"/>
      <sheetName val="Depr - HTP (inl. cap interest)"/>
      <sheetName val="Depr Forex"/>
      <sheetName val="Salary"/>
      <sheetName val="Material @"/>
      <sheetName val="Maintenance"/>
      <sheetName val="Rent"/>
      <sheetName val="Royalty"/>
      <sheetName val="Fin Stat"/>
      <sheetName val="Fin Pro 1"/>
      <sheetName val="Loan"/>
      <sheetName val="Fin Pro - HTP"/>
      <sheetName val="harga"/>
      <sheetName val="_43_9_1"/>
      <sheetName val="P-Kebun "/>
      <sheetName val="PPEMxx"/>
      <sheetName val="Ak_pro (2)"/>
      <sheetName val="HLLXX"/>
      <sheetName val="PJR.PENJ "/>
      <sheetName val="JASAGIRO"/>
      <sheetName val="DAT-1"/>
      <sheetName val="DAT-2"/>
      <sheetName val="DAT-3"/>
      <sheetName val="DAT-4"/>
      <sheetName val="DAT-5"/>
      <sheetName val="40 Memo"/>
      <sheetName val="40 Lead"/>
      <sheetName val="40.1Freight Expense"/>
      <sheetName val="Biaya Air (2)"/>
      <sheetName val="40.2Biaya Listrik"/>
      <sheetName val="40.3 ARP"/>
      <sheetName val="Revenue Trend (XXX)"/>
      <sheetName val="FA-PELINDO (Koja)"/>
      <sheetName val="FA-HTP (Fiskal) "/>
      <sheetName val="Total Fiskal"/>
      <sheetName val="FA-HTP (Koja)"/>
      <sheetName val="FA-HTP (Komersial)"/>
      <sheetName val="FA-HTP (Komersial) (2)"/>
      <sheetName val="Total Komersial"/>
      <sheetName val="Perbandingan FA (XXX)"/>
      <sheetName val="Depr-Int (XXX)"/>
      <sheetName val="Material @ (XXX)"/>
      <sheetName val="Fin Pro 1 (XXX)"/>
      <sheetName val="Loan Schedule"/>
      <sheetName val="Income Tax "/>
      <sheetName val="Graph (XXX)"/>
      <sheetName val="Rescheduling"/>
      <sheetName val="Ak_pro "/>
      <sheetName val="PJR.PENJ"/>
      <sheetName val="CRA-Detail"/>
      <sheetName val="Control Risk Aspects"/>
      <sheetName val="tm-02"/>
      <sheetName val="jln-02"/>
      <sheetName val="tm-03"/>
      <sheetName val="jln-03"/>
      <sheetName val="tm-04"/>
      <sheetName val="jln-04"/>
      <sheetName val="tm-all"/>
      <sheetName val="tmb-05"/>
      <sheetName val="tbm-06"/>
      <sheetName val="tbm-07"/>
      <sheetName val="tbm-all"/>
      <sheetName val="vp-tmball-2007"/>
      <sheetName val="Vp-tmall-2007"/>
      <sheetName val="vp-bbt-2007"/>
      <sheetName val="vp-pn 2007"/>
      <sheetName val="Panen-all"/>
      <sheetName val="bbt-08"/>
      <sheetName val="8500"/>
      <sheetName val="8500.1"/>
      <sheetName val="8500.1.2"/>
      <sheetName val="BIO DIESEL"/>
      <sheetName val="8500.2"/>
      <sheetName val="8500.3"/>
      <sheetName val="8500.2.1 TOD"/>
      <sheetName val=" ARA"/>
      <sheetName val="Perincian HPP"/>
      <sheetName val="8500.1.3 JURNAL"/>
      <sheetName val="C2.1"/>
      <sheetName val="C2.2"/>
      <sheetName val="C2.3"/>
      <sheetName val="C3"/>
      <sheetName val="C4"/>
      <sheetName val="C5"/>
      <sheetName val="C5.1"/>
      <sheetName val="C6"/>
      <sheetName val="C7"/>
      <sheetName val="C8"/>
      <sheetName val="C.tod"/>
      <sheetName val="C.ARA"/>
      <sheetName val="HARGA_BKS"/>
      <sheetName val="AKHIR BKS"/>
      <sheetName val="HPP_JULI"/>
      <sheetName val="STOCK_AWAL"/>
      <sheetName val="BELI AGST"/>
      <sheetName val="HPP_NON_OPEN"/>
      <sheetName val="HPP_CPN"/>
      <sheetName val="HPP_SRG"/>
      <sheetName val="HPP_TGR_NEW"/>
      <sheetName val="HPP_BKS_NEW"/>
      <sheetName val="REFRES"/>
      <sheetName val="HPP_0803"/>
      <sheetName val="non"/>
      <sheetName val="cpn"/>
      <sheetName val="HPP_JUNI"/>
      <sheetName val="BELI JULI"/>
      <sheetName val="HAP"/>
      <sheetName val="Qunion_Penjualan_PerBULAN_JULI"/>
      <sheetName val="HPP PER UNIT"/>
      <sheetName val="Stock Akhir"/>
      <sheetName val="Jual per unit"/>
      <sheetName val="Beli &amp; Retur"/>
      <sheetName val="HPP PER UNIT CPN"/>
      <sheetName val="Stock Akhir CIPINANG"/>
      <sheetName val="Beli &amp; Retur CPN"/>
      <sheetName val="HPP_0503"/>
      <sheetName val="HPP_0503 CPN"/>
      <sheetName val="M_BARANG"/>
      <sheetName val="SALGO GS"/>
      <sheetName val="SALDO_GS_CPN"/>
      <sheetName val="BELI0503"/>
      <sheetName val="SLD AWAL"/>
      <sheetName val="KD_BELI WITH NPN"/>
      <sheetName val="HG_BEL"/>
      <sheetName val="DATAIL"/>
      <sheetName val="HPP_AGUSTUS"/>
      <sheetName val="BELI _SEPTEMBER"/>
      <sheetName val="COPY"/>
      <sheetName val="Qunion_penjualan"/>
      <sheetName val="PIVOT"/>
      <sheetName val="JL_BEL"/>
      <sheetName val="DATA_JUALAN"/>
      <sheetName val="HPPNON"/>
      <sheetName val="HPPCPN"/>
      <sheetName val="HPPSRG"/>
      <sheetName val="HPPTGR"/>
      <sheetName val="HPPBKS"/>
      <sheetName val="REKAP_JUALAN"/>
      <sheetName val="PIVOT'TE"/>
      <sheetName val="HPP_0703"/>
      <sheetName val="DATA2"/>
      <sheetName val="JUALLAN"/>
      <sheetName val="MAS"/>
      <sheetName val="JBR"/>
      <sheetName val="KDR"/>
      <sheetName val="MDN"/>
      <sheetName val="MLG"/>
      <sheetName val="PRB"/>
      <sheetName val="NGELOM"/>
      <sheetName val="LK"/>
      <sheetName val="GLOBAL"/>
      <sheetName val="S_AWAL-hpp"/>
      <sheetName val="S_AKHIR"/>
      <sheetName val="JUAL@RETUR"/>
      <sheetName val="DATA AWAL"/>
      <sheetName val="PABRIK"/>
      <sheetName val="SAMPEL"/>
      <sheetName val="BONUS"/>
      <sheetName val="BAD STOCK"/>
      <sheetName val="OPNAME GOOD STOCK"/>
      <sheetName val="OPNAME SALES"/>
      <sheetName val="OPNAME BAD STOCK"/>
      <sheetName val="SALDO GOOD STOCK"/>
      <sheetName val="SALDO BAD STOCK"/>
      <sheetName val="SheetGMP"/>
      <sheetName val="SheetGMT"/>
      <sheetName val="KKP13 50 Deb tentiv"/>
      <sheetName val="AA.6 Star Eastern"/>
      <sheetName val="AA.5.1"/>
      <sheetName val="AA.5 Artha Graha"/>
      <sheetName val="bunga Inv"/>
      <sheetName val="Bunga BKP (2)"/>
      <sheetName val="Bunga BKP"/>
      <sheetName val="AA.4.1 Bukopin"/>
      <sheetName val="AA.4 Bukopin"/>
      <sheetName val="bunga kmk"/>
      <sheetName val="AA.3.1.1"/>
      <sheetName val="AA.3.1"/>
      <sheetName val="AA.3 Bumiputera"/>
      <sheetName val="AA.2.1 Bukopin"/>
      <sheetName val="AA.2 Bukopin"/>
      <sheetName val="AA.1.1.1 BNI"/>
      <sheetName val="AA.1.1 BNI"/>
      <sheetName val="AA.1 BNI"/>
      <sheetName val="AA"/>
      <sheetName val="AA_1_1 BNI"/>
      <sheetName val="TCM"/>
      <sheetName val="Ranges"/>
      <sheetName val="Lamp 11"/>
      <sheetName val="Lamp-II.2.2.3"/>
      <sheetName val="KKP-II.2.2.1.2"/>
      <sheetName val="KKP-II.2.2.2.1"/>
      <sheetName val="KKP-II.2.2.2.2"/>
      <sheetName val="KKP-II.2.2.2.3"/>
      <sheetName val="KKP-II.2.2.2.4"/>
      <sheetName val="KKP-II.2.2.2.5"/>
      <sheetName val="KKP-II.2.2.4.1"/>
      <sheetName val="KKP-II.2.2.3.1"/>
      <sheetName val="KKP-II.2.2.5.1"/>
      <sheetName val="KKP-II.2.2.6.1"/>
      <sheetName val="KKP-II.2.2.7.1"/>
      <sheetName val="KKP-II.2.2.8.1"/>
      <sheetName val="KKP-II.2.2.9.1"/>
      <sheetName val="KKP-II.2.2.10.1"/>
      <sheetName val="KKP-II.2.2.11.1"/>
      <sheetName val="Lamp 13"/>
      <sheetName val="Tabel-LHP"/>
      <sheetName val="Combined Report_EUR"/>
      <sheetName val="Report ID523 ADA_EUR"/>
      <sheetName val="Report ID524 C Ost_EUR"/>
      <sheetName val="Report ID525 C Deu_EUR"/>
      <sheetName val="Data ID523 ADA"/>
      <sheetName val="Data ID524 C OSt"/>
      <sheetName val="Data ID525 C Deu"/>
      <sheetName val="Cash Transfer"/>
      <sheetName val="Combined Report_USD"/>
      <sheetName val="Report ID523 ADA_USD"/>
      <sheetName val="Report ID524 C Ost_USD"/>
      <sheetName val="Report ID525 C Deu_USD"/>
      <sheetName val="EAR"/>
      <sheetName val="Adj In ID523"/>
      <sheetName val="Adj Out ID523"/>
      <sheetName val="Adj In ID524"/>
      <sheetName val="Adj Out ID524"/>
      <sheetName val="Adj Out ID525"/>
      <sheetName val="Adj In ID525"/>
      <sheetName val="Main Menu"/>
      <sheetName val="Proj Summ"/>
      <sheetName val="Team"/>
      <sheetName val="Effort.P"/>
      <sheetName val="Effort.A"/>
      <sheetName val="Subcontracted"/>
      <sheetName val="Expense.P"/>
      <sheetName val="Expense.A"/>
      <sheetName val="Asset"/>
      <sheetName val="Tracker"/>
      <sheetName val="Time Report"/>
      <sheetName val="Rates"/>
      <sheetName val="Analysis"/>
      <sheetName val="Help"/>
      <sheetName val="Codestable"/>
      <sheetName val="worksheet Actual"/>
      <sheetName val="worksheet Budget"/>
      <sheetName val="8_1 Bill_Collect Monthly"/>
      <sheetName val="1. Budget PL ASCO 2010"/>
      <sheetName val="2. Budget PL OPCO"/>
      <sheetName val="3. PL ASCO"/>
      <sheetName val="4. PL OPCO"/>
      <sheetName val="5.PL ASCO+OPCO"/>
      <sheetName val="6. PL LMIRT YTD"/>
      <sheetName val="6a.PL LMIRT-Current"/>
      <sheetName val="7a. BS"/>
      <sheetName val="7. BS LMIRT "/>
      <sheetName val="8a. Notes to BS"/>
      <sheetName val="Actual P&amp;L (Rp penuh)"/>
      <sheetName val="Actual Note to BS (Rp penuh)"/>
      <sheetName val="Actual BS  (Rp penuh)"/>
      <sheetName val="8. Notes to BS LMIRT "/>
      <sheetName val="9.Budget CF Asco+Opco"/>
      <sheetName val="9a.Budget CF Asco"/>
      <sheetName val="9b.Budget Opco"/>
      <sheetName val="10. CF Monhy"/>
      <sheetName val="11.CF YTD"/>
      <sheetName val="12. SecDep"/>
      <sheetName val="13. Interest SH"/>
      <sheetName val="14.Unrealised Exchg Diff"/>
      <sheetName val="15.Other Inc."/>
      <sheetName val="16. Int.Inc"/>
      <sheetName val="17.Misc exp."/>
      <sheetName val="18.Legal Exp"/>
      <sheetName val="19. Cash held"/>
      <sheetName val="20. Interest Remit"/>
      <sheetName val="1001"/>
      <sheetName val="1002"/>
      <sheetName val="1003"/>
      <sheetName val="1004"/>
      <sheetName val="1005"/>
      <sheetName val="1006"/>
      <sheetName val="1007"/>
      <sheetName val="1008"/>
      <sheetName val="1009"/>
      <sheetName val="1010"/>
      <sheetName val="NLPAWAL"/>
      <sheetName val="INDIKATOR (3)"/>
      <sheetName val="KOMP.INDKTR.KEU (3)"/>
      <sheetName val="BUNGA"/>
      <sheetName val="JUAL AT"/>
      <sheetName val="BELI AT "/>
      <sheetName val="HP AT"/>
      <sheetName val="NLP "/>
      <sheetName val="RLP "/>
      <sheetName val="WS CF"/>
      <sheetName val="equity"/>
      <sheetName val="BUA"/>
      <sheetName val="PLL"/>
      <sheetName val="BLL"/>
      <sheetName val="DI"/>
      <sheetName val="PRW.05(10)"/>
      <sheetName val="PRW.06(21)"/>
      <sheetName val="PRW.07(15)"/>
      <sheetName val="EW.01A"/>
      <sheetName val="EW.01A(Rkp)"/>
      <sheetName val="EW.01B"/>
      <sheetName val="EW.01B(Rkp)"/>
      <sheetName val="EW.02"/>
      <sheetName val="Estm-HU"/>
      <sheetName val="Estm-Progres"/>
      <sheetName val="EW.02 (Rkp)"/>
      <sheetName val="EW.03"/>
      <sheetName val="DATA_2009"/>
      <sheetName val="RWD-02"/>
      <sheetName val="RWD-04"/>
      <sheetName val="tw 1"/>
      <sheetName val="tw 2"/>
      <sheetName val="tw 3"/>
      <sheetName val="tw 4"/>
      <sheetName val="barat"/>
      <sheetName val="tengah"/>
      <sheetName val="timur"/>
      <sheetName val="LN"/>
      <sheetName val="gedung"/>
      <sheetName val="sipil"/>
      <sheetName val="(Pusat TW1)"/>
      <sheetName val="(Pusat TW2)"/>
      <sheetName val="(Pusat TW3)"/>
      <sheetName val="(Pusat TW4)"/>
      <sheetName val="(Realisasi TW1)"/>
      <sheetName val="(proyekTW2)"/>
      <sheetName val="(proyekTW3)"/>
      <sheetName val="(proyekTW4"/>
      <sheetName val="tw1"/>
      <sheetName val="tw2"/>
      <sheetName val="tw3"/>
      <sheetName val="tw4"/>
      <sheetName val="tw4 (revisi)"/>
      <sheetName val="8500.05"/>
      <sheetName val="8510.05"/>
      <sheetName val="Tickmark"/>
      <sheetName val="AP Aging"/>
      <sheetName val="Trade creditors"/>
      <sheetName val="Details third party"/>
      <sheetName val="Details Related Party"/>
      <sheetName val="GRIR inventory"/>
      <sheetName val="GRIR non inventory"/>
      <sheetName val="NN Confirmation"/>
      <sheetName val="BS_IDR"/>
      <sheetName val="BS_USD"/>
      <sheetName val="PLBLN_IDR"/>
      <sheetName val="PLBLN_USD"/>
      <sheetName val="DETAIL EXP"/>
      <sheetName val="Def.Tax"/>
      <sheetName val="DIFF IN CONV"/>
      <sheetName val="DEF.CHARGES"/>
      <sheetName val="INVENTORY"/>
      <sheetName val="CIP"/>
      <sheetName val="Detail CIP"/>
      <sheetName val="INTERCO"/>
      <sheetName val="Ex_Rate"/>
      <sheetName val="ALLOWANCE"/>
      <sheetName val="ALLOWANCE-FINAL"/>
      <sheetName val="CRJ-01"/>
      <sheetName val="OM"/>
      <sheetName val="T5"/>
      <sheetName val="T4"/>
      <sheetName val="VROON"/>
      <sheetName val="L107"/>
      <sheetName val="ISMY"/>
      <sheetName val="TO"/>
      <sheetName val="OD"/>
      <sheetName val="AKUM-TB (2)"/>
      <sheetName val="AKUM-TB"/>
      <sheetName val="BTL"/>
      <sheetName val="Schedule Loan"/>
      <sheetName val="5200.15 Loan"/>
      <sheetName val="NSP-ANP"/>
      <sheetName val="Report Tax"/>
      <sheetName val="TPSF"/>
      <sheetName val="RJE TPSF"/>
      <sheetName val="PAJE TPSF "/>
      <sheetName val="WS2005"/>
      <sheetName val="TB 1205&amp;1206"/>
      <sheetName val="WS Konsolidasi"/>
      <sheetName val="TPS"/>
      <sheetName val="Tax-TPS Solo"/>
      <sheetName val="CAJE TPS"/>
      <sheetName val="PAJE TPS"/>
      <sheetName val="RJE TPS"/>
      <sheetName val="5300.85 Foreign. AP"/>
      <sheetName val="WS2006 PBC"/>
      <sheetName val="LC"/>
      <sheetName val="MTN "/>
      <sheetName val="Reclass "/>
      <sheetName val="Cash Flow."/>
      <sheetName val="SKP-STP"/>
      <sheetName val="Mata Uang Asing."/>
      <sheetName val="Segment."/>
      <sheetName val="Struktur Perusahaan Anak"/>
      <sheetName val="LPE"/>
      <sheetName val="Kas&amp;Bank"/>
      <sheetName val="Inv JP"/>
      <sheetName val="Piutang Usaha"/>
      <sheetName val="Persediaan"/>
      <sheetName val="Perikatan"/>
      <sheetName val="HutangBank"/>
      <sheetName val="Hut Obligasi"/>
      <sheetName val="Hut Usaha"/>
      <sheetName val="BMHD"/>
      <sheetName val="HSGU"/>
      <sheetName val="Pinj Jk Panjang"/>
      <sheetName val="Modal Saham"/>
      <sheetName val="Beban Usaha"/>
      <sheetName val="Penjualan Bersih"/>
      <sheetName val="Pokok Penjualan"/>
      <sheetName val="Imbalan KErja"/>
      <sheetName val="BebabBunga"/>
      <sheetName val="Entitas Sepengendali"/>
      <sheetName val="EPS"/>
      <sheetName val="Rel PArties"/>
      <sheetName val="5100.00 Lead"/>
      <sheetName val="Konfirm leasing"/>
      <sheetName val="Cek Pembayaran Poko"/>
      <sheetName val="Lead 2"/>
      <sheetName val="SEP02"/>
      <sheetName val="AUG02"/>
      <sheetName val="Current"/>
      <sheetName val="NOV03"/>
      <sheetName val="OCT03"/>
      <sheetName val="SEP03"/>
      <sheetName val="AUG03"/>
      <sheetName val="MAR03"/>
      <sheetName val="DEC02"/>
      <sheetName val="NOV02"/>
      <sheetName val="OCT02"/>
      <sheetName val="ark"/>
      <sheetName val="Lamp tax calc"/>
      <sheetName val="Lamp tax calc 08"/>
      <sheetName val="Mata uang Asing"/>
      <sheetName val="Kas dan Setara"/>
      <sheetName val="Piutang Lain-lain"/>
      <sheetName val="Hutang Lain-lain"/>
      <sheetName val="CRJE"/>
      <sheetName val="Uang M dan Biaya Dibayar dimuka"/>
      <sheetName val="Aset Tetap"/>
      <sheetName val="Beban Ditangguhkan"/>
      <sheetName val="Beban yg Masih H. Dibayar"/>
      <sheetName val="Hutang Usaha"/>
      <sheetName val="Pen. Ditangguhkan"/>
      <sheetName val="Uang Jaminan Penyewa"/>
      <sheetName val="Hutang Bank"/>
      <sheetName val="Hutang kpd P. Saham"/>
      <sheetName val="Pendapatan Sewa"/>
      <sheetName val="Pen. Jasa Pelayanan"/>
      <sheetName val="Pen. Usaha Lain-lain"/>
      <sheetName val="Pend. Beban Lain-lain"/>
      <sheetName val="Imbal Kerja"/>
      <sheetName val="Reklasifikasi"/>
      <sheetName val="Ged"/>
      <sheetName val="Partisi"/>
      <sheetName val="Tehnik"/>
      <sheetName val="Keamanan"/>
      <sheetName val="Kantor"/>
      <sheetName val="Kend"/>
      <sheetName val="Rekonsiliasi"/>
      <sheetName val="HGB"/>
      <sheetName val="Properti Inv"/>
      <sheetName val="Per PT SD JULI "/>
      <sheetName val="PPh ps.4(2)"/>
      <sheetName val="2800.ARP"/>
      <sheetName val="2800"/>
      <sheetName val="2800.20"/>
      <sheetName val="2800.30"/>
      <sheetName val="2800.30.1"/>
      <sheetName val="2800.30.2"/>
      <sheetName val="2800.40"/>
      <sheetName val="2800.50"/>
      <sheetName val="2800.50.1"/>
      <sheetName val="Symbol"/>
      <sheetName val="BANGUNAN"/>
      <sheetName val="NONBANGUNAN"/>
      <sheetName val="Manpower"/>
      <sheetName val="1771-II_1"/>
      <sheetName val="1771-II_2"/>
      <sheetName val="1771-II_3"/>
      <sheetName val="1771-V Bag A"/>
      <sheetName val="1771-V Bag B"/>
      <sheetName val="Daftar Kompensasi"/>
      <sheetName val="Attc 20"/>
      <sheetName val="Lap_cashflow"/>
      <sheetName val="Detial LapCashflow"/>
      <sheetName val="CF 2010"/>
      <sheetName val="PROYEKSI 2010"/>
      <sheetName val="CF 2010 Budget"/>
      <sheetName val="COVERR"/>
      <sheetName val="DAF-ISI"/>
      <sheetName val="ULAS"/>
      <sheetName val="01"/>
      <sheetName val="01a"/>
      <sheetName val="31"/>
      <sheetName val="32"/>
      <sheetName val="44"/>
      <sheetName val="45"/>
      <sheetName val="46"/>
      <sheetName val="47"/>
      <sheetName val="48"/>
      <sheetName val="49"/>
      <sheetName val="50"/>
      <sheetName val="51"/>
      <sheetName val="52"/>
      <sheetName val="C13"/>
      <sheetName val="CDYW"/>
      <sheetName val="opini"/>
      <sheetName val="Ws Jul-2004"/>
      <sheetName val="AJE (2)"/>
      <sheetName val="Neraca "/>
      <sheetName val="Neraca  (2)"/>
      <sheetName val="Laba Rugi "/>
      <sheetName val="CF (2)"/>
      <sheetName val="NOTE7"/>
      <sheetName val="NOTE8"/>
      <sheetName val="Ws_Jul-2004"/>
      <sheetName val="AJE_(2)"/>
      <sheetName val="Neraca_"/>
      <sheetName val="Neraca__(2)"/>
      <sheetName val="Laba_Rugi_"/>
      <sheetName val="CF_(2)"/>
      <sheetName val="FA_ACQUISITION_(TOTAL)"/>
      <sheetName val="Ws_Jul-20041"/>
      <sheetName val="AJE_(2)1"/>
      <sheetName val="Neraca_1"/>
      <sheetName val="Neraca__(2)1"/>
      <sheetName val="Laba_Rugi_1"/>
      <sheetName val="CF_(2)1"/>
      <sheetName val="Addition"/>
      <sheetName val="Instructions"/>
      <sheetName val="NAP"/>
      <sheetName val="ROSS LIST"/>
      <sheetName val="15"/>
      <sheetName val="21s"/>
      <sheetName val="22"/>
      <sheetName val="24b"/>
      <sheetName val="25"/>
      <sheetName val="26"/>
      <sheetName val="27"/>
      <sheetName val="28"/>
      <sheetName val="29"/>
      <sheetName val="30"/>
      <sheetName val="33"/>
      <sheetName val="Transport"/>
      <sheetName val="08012_2"/>
      <sheetName val="BUM_Lap"/>
      <sheetName val="08012.3"/>
      <sheetName val="08012.0"/>
      <sheetName val="402"/>
      <sheetName val="Ketentuan"/>
      <sheetName val="Areal"/>
      <sheetName val="DaftarPeg"/>
      <sheetName val="Alokasi"/>
      <sheetName val="BUM_Pengolahan"/>
      <sheetName val="BUM_Rekap"/>
      <sheetName val="Hargabrg"/>
      <sheetName val="0222"/>
      <sheetName val="08012.1"/>
      <sheetName val="08012.2"/>
      <sheetName val="08012.4"/>
      <sheetName val="08012.5"/>
      <sheetName val="400"/>
      <sheetName val="Dibebankan"/>
      <sheetName val="Psr_Penghub"/>
      <sheetName val="HTI"/>
      <sheetName val="A-1"/>
      <sheetName val="A-2"/>
      <sheetName val="A-3"/>
      <sheetName val="Offset Afiliasi &amp; Write-Off"/>
      <sheetName val="Affiliation Reconcile"/>
      <sheetName val="TYT"/>
      <sheetName val="BSU"/>
      <sheetName val="Limpra"/>
      <sheetName val="Ures"/>
      <sheetName val="Muruf"/>
      <sheetName val="HTI Murni"/>
      <sheetName val="Unit IV"/>
      <sheetName val="TYSP"/>
      <sheetName val="reklas(offset)for reporting"/>
      <sheetName val="PSAK 24 TYSP"/>
      <sheetName val="Segmen"/>
      <sheetName val="Sales Geografis"/>
      <sheetName val="Anal Review"/>
      <sheetName val="List of PAJE (to client)"/>
      <sheetName val="mutasi investasi"/>
      <sheetName val="Pending"/>
      <sheetName val="Fin-highlights"/>
      <sheetName val="fiscal rekon"/>
      <sheetName val="WBS1"/>
      <sheetName val="WBS2"/>
      <sheetName val="A4.1"/>
      <sheetName val="A4.2"/>
      <sheetName val="A4.3"/>
      <sheetName val="A4.4"/>
      <sheetName val="CAJE&amp;CRJE"/>
      <sheetName val="total marketing"/>
      <sheetName val="marketing opal"/>
      <sheetName val="marketing amethys"/>
      <sheetName val="Profit &amp; loss"/>
      <sheetName val="product development"/>
      <sheetName val="Oct-06 own prod"/>
      <sheetName val="Sept-06 own prod"/>
      <sheetName val="manitol Oct 06"/>
      <sheetName val="manitol Sept 06 "/>
      <sheetName val="neurotam Sept'06"/>
      <sheetName val="neurotam Oct'06 "/>
      <sheetName val="cravit Oct-06"/>
      <sheetName val="cravit Sept-06"/>
      <sheetName val="hemosol Oct-06"/>
      <sheetName val="hemosol Sept-06"/>
      <sheetName val="Customize Work Program"/>
      <sheetName val="XXXXX"/>
      <sheetName val="Recovered_Sheet1"/>
      <sheetName val="XXXX0"/>
      <sheetName val="1000"/>
      <sheetName val="Recovered_Sheet2"/>
      <sheetName val="Recovered_Sheet3"/>
      <sheetName val="Recovered_Sheet4"/>
      <sheetName val="Recovered_Sheet5"/>
      <sheetName val="Recovered_Sheet6"/>
      <sheetName val="20000"/>
      <sheetName val="30000"/>
      <sheetName val="2000"/>
      <sheetName val="3000"/>
      <sheetName val="Assets"/>
      <sheetName val="NetSales"/>
      <sheetName val="AR"/>
      <sheetName val="topWBS2"/>
      <sheetName val="topWBS1"/>
      <sheetName val="Consolidated jurnal"/>
      <sheetName val="dtlE1"/>
      <sheetName val="TopPL"/>
      <sheetName val="E2"/>
      <sheetName val="N2"/>
      <sheetName val="dtlN1"/>
      <sheetName val="U4"/>
      <sheetName val="U.3"/>
      <sheetName val="U.5"/>
      <sheetName val="U.1"/>
      <sheetName val="notused2"/>
      <sheetName val="notused"/>
      <sheetName val="notused1"/>
      <sheetName val="F1,2,3"/>
      <sheetName val="WS for Report-BS"/>
      <sheetName val="WS for Report-PL"/>
      <sheetName val="PRJE For Report Purposes"/>
      <sheetName val="Passed_adj"/>
      <sheetName val="DataCon"/>
      <sheetName val="Input_tables"/>
      <sheetName val="Data Karyawan"/>
      <sheetName val="Benefit_Tab"/>
      <sheetName val="JHT"/>
      <sheetName val="cALC"/>
      <sheetName val="PSC_Calc"/>
      <sheetName val="output"/>
      <sheetName val="Payments"/>
      <sheetName val="summary_frm_output"/>
      <sheetName val="Checker"/>
      <sheetName val="Presentation1"/>
      <sheetName val="Lap Akturia 2004"/>
      <sheetName val="discl_present_gab"/>
      <sheetName val="AG_presntn"/>
      <sheetName val="decr_table"/>
      <sheetName val="GraphBen"/>
      <sheetName val="BANK"/>
      <sheetName val="Sensitivity-Analysis"/>
      <sheetName val="DES'03"/>
      <sheetName val="PL-FARM-MON"/>
      <sheetName val="PL-FARM-VAN"/>
      <sheetName val="PL-FARM-MON (NIAGA)"/>
      <sheetName val="PL-FARM-VAN (NIAGA)"/>
      <sheetName val="PL-CSD"/>
      <sheetName val="Profit-Loss-xx1"/>
      <sheetName val="PL-CSD-JAN-DEC"/>
      <sheetName val="CAPEX-1"/>
      <sheetName val="Intrst+Man Fee-xx1"/>
      <sheetName val="Cash Flow-xx1"/>
      <sheetName val="TR_Coll-xx1"/>
      <sheetName val="TP-xx1"/>
      <sheetName val="Sales-xx1"/>
      <sheetName val="Cost-Rm-Csd-CONV"/>
      <sheetName val="Cost-xx1"/>
      <sheetName val="JURNAL-xx1"/>
      <sheetName val="BS-xx1"/>
      <sheetName val="&lt;&lt;&gt;&gt;"/>
      <sheetName val="  Analisa_Ratio"/>
      <sheetName val="DEPOSITO-ALOC"/>
      <sheetName val="Gain-(Loss)-Forex"/>
      <sheetName val="Forex-Journal-xx1"/>
      <sheetName val="Sch.CB-Niaga"/>
      <sheetName val="TR A (36Jt)"/>
      <sheetName val="Sch.CB-Prima"/>
      <sheetName val="Loan Payment-2003"/>
      <sheetName val="Loan Payment-2004"/>
      <sheetName val="Non Cash Exp"/>
      <sheetName val="Total-Pond-Mon-Van"/>
      <sheetName val="Farmer-Pond-Monodon"/>
      <sheetName val="Farmer-Pond-Vannamei"/>
      <sheetName val="Company-Pond-Monodon"/>
      <sheetName val="Company-Pond-Vannamei"/>
      <sheetName val="Sum Jan - Aug (New)"/>
      <sheetName val="Projected Gross Profit Vanemei "/>
      <sheetName val="Sum Jan - Aug (Old)"/>
      <sheetName val="Individual Gross Profit J - Aug"/>
      <sheetName val="PROFIT-LOSS"/>
      <sheetName val="COMP.ASSUMPTION"/>
      <sheetName val="Summ-Jan - Jun 2005"/>
      <sheetName val="Summ-GP"/>
      <sheetName val="Historical Vanamei Cost"/>
      <sheetName val="FIXED asset updated"/>
      <sheetName val="fa FEb 06"/>
      <sheetName val="REkap PAjak"/>
      <sheetName val="HEADER-NEW"/>
      <sheetName val="HEADER"/>
      <sheetName val="IndJan-Mar"/>
      <sheetName val="IndApr-Juni (2)"/>
      <sheetName val="IndJuly-Des"/>
      <sheetName val="Pemb Induk"/>
      <sheetName val="Cop"/>
      <sheetName val="CONT-ALL"/>
      <sheetName val="CONT-OPR"/>
      <sheetName val="COMB. BO-NP"/>
      <sheetName val="PAR-BO"/>
      <sheetName val="COMP. PAR-BO"/>
      <sheetName val="PAR-BO in PCS"/>
      <sheetName val="BGTPL98 (BO)"/>
      <sheetName val="PAR-NP"/>
      <sheetName val="BGTPL98 (NP)"/>
      <sheetName val="COMP. PAR-NP"/>
      <sheetName val="COMP. NS&amp;GP"/>
      <sheetName val="DETAIL SALES FARMER - BO"/>
      <sheetName val="DETAIL SALES FARMER - NP"/>
      <sheetName val="DETAIL SALES FM-MONODON"/>
      <sheetName val="DETAIL SALES FM-VANNAMEI"/>
      <sheetName val="COM-DETAIL-COGS-MONODON"/>
      <sheetName val="DetailCOGSNP"/>
      <sheetName val="RM-MNPD-MONODON"/>
      <sheetName val="RM-FPD-MONODON"/>
      <sheetName val="DETAIL-COGS-VANNAMEI"/>
      <sheetName val="RM-MNPD-VANNAMEI"/>
      <sheetName val="RM-FPD-VANNAMEI"/>
      <sheetName val="OVERHEAD-MONODON"/>
      <sheetName val="OVERHEAD-VANNAMEI"/>
      <sheetName val="SUM-SECHE-WIPNAUP-MONODON"/>
      <sheetName val="SUM-SECH-WIPFRY-MONODON"/>
      <sheetName val="SUM-SECHE-WIP-VANNAMEI"/>
      <sheetName val="EXPENDITURE-MONODON"/>
      <sheetName val="EXPENDITURE-VANNAMEI"/>
      <sheetName val="SELLEXP"/>
      <sheetName val="8 ADM"/>
      <sheetName val="2 NS&amp;GP(NP)"/>
      <sheetName val="GEN. &amp; ADM. EXP."/>
      <sheetName val="PROD.NAUPLII-MONODON"/>
      <sheetName val="NAUPLII PER UNIT-MONODON"/>
      <sheetName val="NAUPLII-COST-AMOUNT-MONODON"/>
      <sheetName val="PROD.FRY-MONODON"/>
      <sheetName val="COGS PER FRY-MONODON"/>
      <sheetName val="PROD.NAUPLII-VANNAMEI"/>
      <sheetName val="NAUPLII PER UNIT-VANNAMEI"/>
      <sheetName val="NAUPLII-COST-AMOUNT-VANNAMEI"/>
      <sheetName val="PROD.FRY-VANNAMEI"/>
      <sheetName val="COGS PER FRY-VANNAMEI"/>
      <sheetName val="Flushing Jan02"/>
      <sheetName val="Flushing Sep-Des "/>
      <sheetName val="Flushing Feb02"/>
      <sheetName val="Flushing Mar02"/>
      <sheetName val="INV"/>
      <sheetName val="10 FA"/>
      <sheetName val="11 CIP"/>
      <sheetName val="12 JAPG"/>
      <sheetName val="13 BRDSTK"/>
      <sheetName val="Boxes-Monodon"/>
      <sheetName val="Boxes-Vannamei"/>
      <sheetName val="HARVEST02_Vennamei"/>
      <sheetName val="HARVEST02"/>
      <sheetName val="H3"/>
      <sheetName val="h-2"/>
      <sheetName val="CYCLUS"/>
      <sheetName val="P_WEEK"/>
      <sheetName val="AREA_LIST"/>
      <sheetName val="HIII"/>
      <sheetName val="H4"/>
      <sheetName val="Data Per 19 Mei 2005"/>
      <sheetName val="prop_price_van (2)"/>
      <sheetName val="Locas"/>
      <sheetName val="0000000"/>
      <sheetName val="1000000"/>
      <sheetName val="WBS1dec 04@"/>
      <sheetName val="WBS 2dec 04@"/>
      <sheetName val="WPLdec 04@"/>
      <sheetName val="detailwpl dec 04"/>
      <sheetName val="T-ACC-04"/>
      <sheetName val="PM &amp; TE dec 04@"/>
      <sheetName val="Cashflow old"/>
      <sheetName val="cash flows- indirect"/>
      <sheetName val="detail cash flows (2)"/>
      <sheetName val="FA_FISCAL2004"/>
      <sheetName val="Fiscal computation"/>
      <sheetName val="nde "/>
      <sheetName val="C-2.1"/>
      <sheetName val="E-2.1"/>
      <sheetName val="Raw"/>
      <sheetName val="FG &amp; WIP"/>
      <sheetName val="PPH22"/>
      <sheetName val="rekap PPH 25"/>
      <sheetName val="I-1.2"/>
      <sheetName val="Mutasi Fixed assets 2004"/>
      <sheetName val="RekapFA"/>
      <sheetName val="RincianFA"/>
      <sheetName val="rekap pph 21"/>
      <sheetName val="perhit PPH21"/>
      <sheetName val="PPh 23,26"/>
      <sheetName val="rekap PPN"/>
      <sheetName val="accrued UU No.13"/>
      <sheetName val="Home Statement awal"/>
      <sheetName val="Home Statement - Dec '04"/>
      <sheetName val="TB Client Dec 31 '04"/>
      <sheetName val="An. Rev WBS1"/>
      <sheetName val="AN REV WBS 2"/>
      <sheetName val="AN REV WPL"/>
      <sheetName val="Analisa GP"/>
      <sheetName val="Cost Analysis 2003"/>
      <sheetName val="SRM AUDIT 04VS 03"/>
      <sheetName val="FS per month use"/>
      <sheetName val="BI Middle Rate Translation'04"/>
      <sheetName val="Confirmation control"/>
      <sheetName val="E-1 Nov"/>
      <sheetName val="U1-2"/>
      <sheetName val="U1-2-1"/>
      <sheetName val="1721"/>
      <sheetName val="1721-A"/>
      <sheetName val="1721-A1"/>
      <sheetName val="1721-A1 (2)"/>
      <sheetName val="1721-A2"/>
      <sheetName val="1721-B"/>
      <sheetName val="1721-C"/>
      <sheetName val="PA Result"/>
      <sheetName val="LIST EE"/>
      <sheetName val="Lumpsum Payment"/>
      <sheetName val="Lumpsum Payment (Rev)"/>
      <sheetName val="Lumpsum Finance"/>
      <sheetName val="Lumpsum Hatch"/>
      <sheetName val="Lumps farm"/>
      <sheetName val="Lumps Mkt"/>
      <sheetName val="Control 2"/>
      <sheetName val="Control"/>
      <sheetName val="HUTANG SGU"/>
      <sheetName val="Sun_Xenia_4"/>
      <sheetName val="Sun_Mits_6"/>
      <sheetName val="Sri_Mits_3"/>
      <sheetName val="Sri_Mits_4"/>
      <sheetName val="Sun_Mits_7"/>
      <sheetName val="Sun_Mits_2"/>
      <sheetName val="Sun_Mits_3"/>
      <sheetName val="Sun_Mits_4"/>
      <sheetName val="Bra_Mits_23ho"/>
      <sheetName val="Bra_Mits_23rkho"/>
      <sheetName val="Bra_Mits_23ho cls"/>
      <sheetName val="BRA_2rkho"/>
      <sheetName val="BRA_1rkho"/>
      <sheetName val="Sun_Mits_2rkcls"/>
      <sheetName val="BUANA_Carry_13"/>
      <sheetName val="Honda city_3"/>
      <sheetName val="mits FE"/>
      <sheetName val="CARRY_2U"/>
      <sheetName val="XENIA_1U"/>
      <sheetName val="B9461_Bks"/>
      <sheetName val="PE_TO"/>
      <sheetName val="Projected_P&amp;L"/>
      <sheetName val="Historical_P&amp;L"/>
      <sheetName val="Historical Opex"/>
      <sheetName val="E055"/>
      <sheetName val="PREPAID RENT"/>
      <sheetName val="MJ"/>
      <sheetName val="MJ (2)"/>
      <sheetName val="combine"/>
      <sheetName val="CFLS"/>
      <sheetName val="CMLS"/>
      <sheetName val="parent farm"/>
      <sheetName val="Memo on Walkthrough"/>
      <sheetName val="Pending Document (3)"/>
      <sheetName val="Sampling Vouched FA Addition"/>
      <sheetName val="Pending Document-JKT"/>
      <sheetName val="Pending Document"/>
      <sheetName val="Pending Document (2)"/>
      <sheetName val="Summary FA Addition-2005"/>
      <sheetName val="Candra"/>
      <sheetName val="utk auditor"/>
      <sheetName val="BSFeb"/>
      <sheetName val="PLFeb"/>
      <sheetName val="BSMarch"/>
      <sheetName val="TB March 07"/>
      <sheetName val="BS for SRM"/>
      <sheetName val="PL for SRM"/>
      <sheetName val="Ratio"/>
      <sheetName val="CF Combine"/>
      <sheetName val="CF-indirect"/>
      <sheetName val="CF Direct"/>
      <sheetName val="PM_TE"/>
      <sheetName val="Test Reval Feb"/>
      <sheetName val="WBS 1"/>
      <sheetName val="WBS 2"/>
      <sheetName val="PAJE PRJE March"/>
      <sheetName val="PAJE PRJE Feb'07"/>
      <sheetName val="Test Reval March "/>
      <sheetName val="FiscComp"/>
      <sheetName val="Fiscal"/>
      <sheetName val="Def Tax"/>
      <sheetName val="E.1"/>
      <sheetName val="E.2"/>
      <sheetName val="F.2.1"/>
      <sheetName val="F2-2"/>
      <sheetName val="F.3"/>
      <sheetName val="G.1"/>
      <sheetName val="L.1"/>
      <sheetName val="L.2"/>
      <sheetName val="O.1 "/>
      <sheetName val="O.2"/>
      <sheetName val="U1-1"/>
      <sheetName val="U1-3"/>
      <sheetName val="U2-1"/>
      <sheetName val="U2-2"/>
      <sheetName val="U-3-1"/>
      <sheetName val="U-3-1-1"/>
      <sheetName val="U-3-2"/>
      <sheetName val="U-3-2-1"/>
      <sheetName val="PSAK 24"/>
      <sheetName val="Cut Off Parts"/>
      <sheetName val="Cut Off Sales"/>
      <sheetName val="Cut Off Purch"/>
      <sheetName val="Question to Ibu Mory"/>
      <sheetName val="F.Inventory"/>
      <sheetName val="F.1feb 08"/>
      <sheetName val="F5.1"/>
      <sheetName val="K.Lead.March"/>
      <sheetName val="K1.Leasehold Improvement.March"/>
      <sheetName val="K2.Furniture and Fixtures.March"/>
      <sheetName val="K3.Office Equipment.March"/>
      <sheetName val="U1.Sales"/>
      <sheetName val="U1.1.sales comm"/>
      <sheetName val="U1.2.instal comm"/>
      <sheetName val="U1.3.Feb"/>
      <sheetName val="U2.Cost of Sales"/>
      <sheetName val="U2.1"/>
      <sheetName val="U.3.1"/>
      <sheetName val="U3.1.1"/>
      <sheetName val="Sheet permintaan vouching"/>
      <sheetName val="140801"/>
      <sheetName val="SAT_STAFF_ACC4_DC4"/>
      <sheetName val="E-1-1 subs AR-conf. only"/>
      <sheetName val="subs. AP"/>
      <sheetName val="conf. control"/>
      <sheetName val="vat&amp;pph21"/>
      <sheetName val="Rekap Per Jenis"/>
      <sheetName val="Rekap Per  Fungsi"/>
      <sheetName val="RKA 2011"/>
      <sheetName val="RUT_MAT"/>
      <sheetName val="Material Operasi PLTU"/>
      <sheetName val="RUT_JASA"/>
      <sheetName val="PER_MAT"/>
      <sheetName val="PER_JASA"/>
      <sheetName val="KHU_MAT"/>
      <sheetName val="KHU_JASA"/>
      <sheetName val="Har-Priok_Per Entitas"/>
      <sheetName val="Kapitalisir"/>
      <sheetName val="Material Operasi PLTGU"/>
      <sheetName val="Material Operasi PLTG"/>
      <sheetName val="REKAP PER UNIT"/>
      <sheetName val="Tab 1 - Rekap"/>
      <sheetName val="Tab 2.1 - HRD Max Rate (325)"/>
      <sheetName val="Tab 2.2 - HRD Max Rate (279)"/>
      <sheetName val="Tab 3.1 - HRD AVR. Rate (325) "/>
      <sheetName val="Tab 3.2 - HRD AVR. Rate  (279)"/>
      <sheetName val="Tab 4 - Projection avg (279) IP"/>
      <sheetName val="Cost Structure"/>
      <sheetName val="Tab 4 - Projection avg (279Mix)"/>
      <sheetName val="Tab 4 - Projection "/>
      <sheetName val="Tab 4 - Projection avg (IP 325)"/>
      <sheetName val="PEMBACAAN"/>
      <sheetName val="Pekerjaan"/>
      <sheetName val="DISPOSISI"/>
      <sheetName val="PAKET"/>
      <sheetName val="RP-143"/>
      <sheetName val="SAMPUL (2)"/>
      <sheetName val="SAMPUL (3)"/>
      <sheetName val="Rekap Prio"/>
      <sheetName val="fisik-biaya"/>
      <sheetName val="FORM A12BJI"/>
      <sheetName val="RKP-PROGRAM"/>
      <sheetName val="Basket prio 1"/>
      <sheetName val="REKAP 1"/>
      <sheetName val="FORM A12 BJI"/>
      <sheetName val="RENC-PLGG"/>
      <sheetName val="REKAP 2"/>
      <sheetName val="PRIO 2"/>
      <sheetName val="REKAP 3"/>
      <sheetName val="PRIO 3"/>
      <sheetName val="NON RUTIN"/>
      <sheetName val="Data Basket I"/>
      <sheetName val="UGB-PDKB"/>
      <sheetName val="Luncuran"/>
      <sheetName val="Perbandingan"/>
      <sheetName val="R-Wil"/>
      <sheetName val="FORM A12 WLSU"/>
      <sheetName val="FORM A12MED"/>
      <sheetName val="FORM A12SBG"/>
      <sheetName val="FORM A12PSP"/>
      <sheetName val="FORM A12PMS"/>
      <sheetName val="FORM A12PKM"/>
      <sheetName val="FORM A12RAP"/>
      <sheetName val="FORM A12NIA"/>
      <sheetName val="mdu"/>
      <sheetName val="mdu (2)"/>
      <sheetName val="Kawat &amp; Kabel"/>
      <sheetName val="KWH&amp;MCB"/>
      <sheetName val="CrossARM"/>
      <sheetName val="RP-SG8"/>
      <sheetName val="FISIK"/>
      <sheetName val="HS WIL"/>
      <sheetName val="REKAPITULASI1"/>
      <sheetName val="FISIK R"/>
      <sheetName val="FISIK NR"/>
      <sheetName val="BASKET1"/>
      <sheetName val="REKAP1"/>
      <sheetName val="JTM1"/>
      <sheetName val="JTR1"/>
      <sheetName val="GARDU1"/>
      <sheetName val="SR1"/>
      <sheetName val="FORM A12WSU"/>
      <sheetName val="FORM A12PMS 2011"/>
      <sheetName val="FORM A12 SBG"/>
      <sheetName val="FORM A12 RAP"/>
      <sheetName val="FORM A12 NIAS"/>
      <sheetName val="RKP PRIORITAS"/>
      <sheetName val="RENC PLG"/>
      <sheetName val="COV"/>
      <sheetName val="COV DT PEDKG"/>
      <sheetName val="ACTIVA"/>
      <sheetName val="RINC TIANG"/>
      <sheetName val="RINC JTM"/>
      <sheetName val="RINC JTR"/>
      <sheetName val="DM-SAR"/>
      <sheetName val="ES"/>
      <sheetName val="UAI-5"/>
      <sheetName val="BAS1"/>
      <sheetName val="BAS2"/>
      <sheetName val="BAS3"/>
      <sheetName val="BAS4"/>
      <sheetName val="BAS5"/>
      <sheetName val="BAS6"/>
      <sheetName val="LOSSES 2009"/>
      <sheetName val="LOSSES 2009 (ESTIMASI)"/>
      <sheetName val="LOSSES 2009 (EST PERHIT SENDIR)"/>
      <sheetName val="ACTION PLAN 09"/>
      <sheetName val="Versi Wil"/>
      <sheetName val="LOSESS PER TRW 06-08"/>
      <sheetName val="dupon chart"/>
      <sheetName val="Pelanggan Meter Elektronik"/>
      <sheetName val="ISI"/>
      <sheetName val="FORM.1.A.CB"/>
      <sheetName val="FORM.1.B-CB"/>
      <sheetName val="FORM.1C- CB"/>
      <sheetName val="FORM.2.A- CB"/>
      <sheetName val="FORM.2.B-WIL"/>
      <sheetName val="Form.2.C-WIL"/>
      <sheetName val="FORM.3A- WIL"/>
      <sheetName val="FORM.3.B PST"/>
      <sheetName val="FORM.3.C PST"/>
      <sheetName val="FORM.3.D PST"/>
      <sheetName val="FORM.3.E PST"/>
      <sheetName val="FORM.3F BENGKEL TRAFO"/>
      <sheetName val="FORM.4"/>
      <sheetName val="FORM.5"/>
      <sheetName val="FORM.6"/>
      <sheetName val="FORM.3.D PST (Ranting-Rayon)"/>
      <sheetName val="Scoring"/>
      <sheetName val="REKAP LKAI BASKET 2014"/>
      <sheetName val="LKAI BULANAN 2014 (2)"/>
      <sheetName val="FORM A12 AREA APD"/>
      <sheetName val="HS JPROC"/>
      <sheetName val="FORM A12MDN"/>
      <sheetName val="LKAI 2014"/>
      <sheetName val="FORM A12 PAKAM "/>
      <sheetName val="FORM 12 R.PRAPAT"/>
      <sheetName val="PIN POST"/>
      <sheetName val="FORM A12 PMS"/>
      <sheetName val="REKAP AI 2014"/>
      <sheetName val="REKAP PER.AREA"/>
      <sheetName val="AKB 2014"/>
      <sheetName val="LKAI 2014 (2)"/>
      <sheetName val="LKAI BULANAN 2014"/>
      <sheetName val="REKAP JTM JTR GARDU SR"/>
      <sheetName val="MATERIAL DISTRIBUSI"/>
      <sheetName val="JTM JTR GARDU SR"/>
      <sheetName val="SKKI"/>
      <sheetName val="FORM A12MDN B"/>
      <sheetName val="FORM A12 BJI B"/>
      <sheetName val="FORM A12 PAKAM B"/>
      <sheetName val="FORM A12 PMS B"/>
      <sheetName val="FORM A12 SBG B"/>
      <sheetName val="FORM A12 PSP B"/>
      <sheetName val="FORM A12  RAP B"/>
      <sheetName val="FORM A12 NIAS B"/>
      <sheetName val="FISIK MDU LKAI (2)"/>
      <sheetName val="MDU DIS"/>
      <sheetName val="FORM A12 P.SP"/>
      <sheetName val="ATK PP"/>
      <sheetName val="BRG CETAK"/>
      <sheetName val="NON OPERASI"/>
      <sheetName val="B.Har.TUL"/>
      <sheetName val="B.Overhoul"/>
      <sheetName val="TELKOM"/>
      <sheetName val="SRN KRJ"/>
      <sheetName val="KENDRN"/>
      <sheetName val="Har-IT"/>
      <sheetName val="B.Har.TU"/>
      <sheetName val="PEND-PLTD"/>
      <sheetName val="GDG-PLTD"/>
      <sheetName val="SEWA KEND"/>
      <sheetName val="bakup1"/>
      <sheetName val="minggu (2)"/>
      <sheetName val="minggu"/>
      <sheetName val="bulan (2)"/>
      <sheetName val="bulan"/>
      <sheetName val="TMSCH1 "/>
      <sheetName val="Rek.TK"/>
      <sheetName val="MONTH AP-JUL'07"/>
      <sheetName val="MONTH SEPT'07-2"/>
      <sheetName val="BOQ"/>
      <sheetName val="mgg"/>
      <sheetName val="1-37"/>
      <sheetName val="38"/>
      <sheetName val="39"/>
      <sheetName val="40"/>
      <sheetName val="41"/>
      <sheetName val="42"/>
      <sheetName val="43"/>
      <sheetName val="mei-des"/>
      <sheetName val="Progress SKI_2011"/>
      <sheetName val="Rekap AO R NR"/>
      <sheetName val="NONRUTIN 53"/>
      <sheetName val="RUTIN 54"/>
      <sheetName val="disburse NR"/>
      <sheetName val="Progrs NR"/>
      <sheetName val="RUTIN 53"/>
      <sheetName val="plafond"/>
      <sheetName val="perhitungan 2013"/>
      <sheetName val="REKAP BI-PEG"/>
      <sheetName val="POS-52"/>
      <sheetName val="REKAP-5.3(PEMELIHARAAN)"/>
      <sheetName val="53"/>
      <sheetName val="REKAP BI-ADM(5.4)"/>
      <sheetName val="POS-54"/>
      <sheetName val="BI-LUAR OP"/>
      <sheetName val="2010"/>
      <sheetName val="2011"/>
      <sheetName val="Coal 2014"/>
      <sheetName val="Hitung HBA"/>
      <sheetName val="Hitung HBA (2)"/>
      <sheetName val="Kurs Dollar"/>
      <sheetName val="Data HBA"/>
      <sheetName val="Data PKB"/>
      <sheetName val="Rekap Fisik-Anggaran (2)"/>
      <sheetName val="Rekap Fisik-Anggaran"/>
      <sheetName val="LOAN JBN-SBS Trafo"/>
      <sheetName val="APBN 10 T"/>
      <sheetName val="APLN SULMAPA"/>
      <sheetName val="APLN Kalimantan"/>
      <sheetName val="APLN SBS kit"/>
      <sheetName val="APLN SBS trans"/>
      <sheetName val="APLN SBS GI"/>
      <sheetName val="APLN &amp; LOAN SUAR"/>
      <sheetName val="APBN Kalimantan"/>
      <sheetName val="APBN Sumbagsel"/>
      <sheetName val="APBN Suar"/>
      <sheetName val="APBN SULMAPA"/>
      <sheetName val="APBN JBN"/>
      <sheetName val="SUMMARY OF SELLING BENCHMARK"/>
      <sheetName val="SUMMARY BENCH"/>
      <sheetName val="RESSEC.1.Bench"/>
      <sheetName val="SEC.1.Bench"/>
      <sheetName val="RESSEC.2.Bench"/>
      <sheetName val="SEC.2.Bench"/>
      <sheetName val="RESSEC.3.Bench"/>
      <sheetName val="SEC.3.Bench"/>
      <sheetName val="INLAND FACTOR DISTANCE"/>
      <sheetName val="CONDITION"/>
      <sheetName val="Tower Input 2 of TWINK"/>
      <sheetName val="MAP"/>
      <sheetName val="Mob-Site-3"/>
      <sheetName val="BREKDOWN5"/>
      <sheetName val="Analisa-1"/>
      <sheetName val="H.Dasar"/>
      <sheetName val="Antek"/>
      <sheetName val="K&amp;ACC (UNCE) 1-5 ME"/>
      <sheetName val="RAB INST 1-5 ME"/>
      <sheetName val="RAB 1-5"/>
      <sheetName val="RKP 1-5"/>
      <sheetName val="MAP-1"/>
      <sheetName val="MAP-2"/>
      <sheetName val="MAP-3"/>
      <sheetName val="MAP-4"/>
      <sheetName val="MAP-5"/>
      <sheetName val="ANALISA-DC"/>
      <sheetName val="61004"/>
      <sheetName val="61005"/>
      <sheetName val="61006-1"/>
      <sheetName val="61006"/>
      <sheetName val="61007"/>
      <sheetName val="61008"/>
      <sheetName val="HPS Paket 3 RJKB"/>
      <sheetName val="HPS-Shd 1"/>
      <sheetName val="HPS-Shd 2"/>
      <sheetName val="HPS-Shd 3"/>
      <sheetName val="HPS-Shd 4"/>
      <sheetName val="CB-Min"/>
      <sheetName val="CB-Gtl"/>
      <sheetName val="CB-Palu"/>
      <sheetName val="CB-Luwuk"/>
      <sheetName val="Sul-GI1"/>
      <sheetName val="Sul-TL1"/>
      <sheetName val="PkVal"/>
      <sheetName val="PkJtRp"/>
      <sheetName val="PkJtVal"/>
      <sheetName val="ByDkpRp"/>
      <sheetName val="ByDkpVal"/>
      <sheetName val="ByDkpJtRp"/>
      <sheetName val="ByDkpJtVal"/>
      <sheetName val="ByPinjRp"/>
      <sheetName val="ByPinjVal"/>
      <sheetName val="GI"/>
      <sheetName val="GI utara"/>
      <sheetName val="Neraca GI"/>
      <sheetName val="Kal-TL"/>
      <sheetName val="Kal-GI"/>
      <sheetName val="Berat Tower"/>
      <sheetName val="SCH 1 - TRW"/>
      <sheetName val="PARAM"/>
      <sheetName val="Dari P3B H_S_Versi 1"/>
      <sheetName val="HPS Paket 3 RJKB (2)"/>
      <sheetName val="Bruto (3)"/>
      <sheetName val="Bruto (2)"/>
      <sheetName val="Hitung_Energi"/>
      <sheetName val="Hasil-Energi"/>
      <sheetName val="Hasil -Cost"/>
      <sheetName val="Komposisi"/>
      <sheetName val="Resume-Bruto"/>
      <sheetName val="Energy"/>
      <sheetName val="Biaya-netto"/>
      <sheetName val="Biaya-bruto"/>
      <sheetName val="RpkWH03"/>
      <sheetName val="ResumeBB"/>
      <sheetName val="ResumeBB (2)"/>
      <sheetName val="Geot"/>
      <sheetName val="BB-CF"/>
      <sheetName val="MFO-CF"/>
      <sheetName val="Marginal"/>
      <sheetName val="Resume-CF"/>
      <sheetName val="Biaya-netto (abcd-1)"/>
      <sheetName val="Biaya-netto(ABCD)"/>
      <sheetName val="03"/>
      <sheetName val="04"/>
      <sheetName val="05"/>
      <sheetName val="06"/>
      <sheetName val="07"/>
      <sheetName val="08"/>
      <sheetName val="Biaya-netto (3)"/>
      <sheetName val="Install"/>
      <sheetName val="Geot-cf"/>
      <sheetName val="Air-cf"/>
      <sheetName val="Gas-cf"/>
      <sheetName val="HSD-CF"/>
      <sheetName val="TDS LSITU"/>
      <sheetName val="REKAP TOWER LSITU"/>
      <sheetName val="A. DATA  2CCTLSITU"/>
      <sheetName val="BQ TL 2cctLSITU"/>
      <sheetName val=" RAB 2cctZEBRA LSITU  "/>
      <sheetName val=" SHORTRAB 2cctZEBRA LSITU "/>
      <sheetName val="LONGFORM boq 2cctZEBRA LSITU "/>
      <sheetName val="SHORTformBOQ2cctZEBRA "/>
      <sheetName val="longformBQ TL 2cctCBD"/>
      <sheetName val=" RAB 2cct TACSR 520 final"/>
      <sheetName val="SHORT RAB 2cct TACSR 520 final "/>
      <sheetName val="SHORT FORM BOQ 2cct TACSR 520 "/>
      <sheetName val="FORM BQ TL PRATU 4cct"/>
      <sheetName val=" RAB 4cct DETAIL"/>
      <sheetName val="SHORTRAB 4cct "/>
      <sheetName val="SHORTformBOQ 4cct  "/>
      <sheetName val="REKAP TOWER"/>
      <sheetName val="RKAP PONDASI"/>
      <sheetName val="A. DATA  2cct "/>
      <sheetName val="TDS"/>
      <sheetName val="A. DATA  4cct"/>
      <sheetName val="RESUME TOTAL"/>
      <sheetName val="TARGET kit_p3b2003"/>
      <sheetName val="ULU"/>
      <sheetName val="ILIR"/>
      <sheetName val="SBR"/>
      <sheetName val="MLK"/>
      <sheetName val="REKAP-2"/>
      <sheetName val="ULU-T"/>
      <sheetName val="ULU-T2"/>
      <sheetName val="KOTA-T"/>
      <sheetName val="ILIR-T"/>
      <sheetName val="ILIR-T2"/>
      <sheetName val="SBR-T"/>
      <sheetName val="TGR-T"/>
      <sheetName val="KTB-T"/>
      <sheetName val="MLK-T"/>
      <sheetName val="MLK-T2"/>
      <sheetName val="ULU-ACC"/>
      <sheetName val="ULU-ACC2"/>
      <sheetName val="KOTA-ACC"/>
      <sheetName val="KOTA-ACC2"/>
      <sheetName val="ILIR-ACC"/>
      <sheetName val="ILIR-ACC (2)"/>
      <sheetName val="SBR-ACC"/>
      <sheetName val="SBR-ACC (2)"/>
      <sheetName val="TGR-ACC"/>
      <sheetName val="TGR-ACC (2)"/>
      <sheetName val="KTB-ACC"/>
      <sheetName val="MLK-ACC"/>
      <sheetName val="MLK-ACC (2)"/>
      <sheetName val="Spt"/>
      <sheetName val="Pbn"/>
      <sheetName val="Kpg"/>
      <sheetName val="UPpry"/>
      <sheetName val="Ksg"/>
      <sheetName val="Krn"/>
      <sheetName val="skm"/>
      <sheetName val="blk"/>
      <sheetName val="Gab.Cab"/>
      <sheetName val="SPI"/>
      <sheetName val="DIST"/>
      <sheetName val="PERUNIT"/>
      <sheetName val="SAIDI"/>
      <sheetName val="SAIDI (2)"/>
      <sheetName val="SAIDI (3)"/>
      <sheetName val="SAFI"/>
      <sheetName val="SAFI (2)"/>
      <sheetName val="SAFI (3)"/>
      <sheetName val="PLTD-SWASTA 06"/>
      <sheetName val="12 RB TANPA I-4 JAN 07"/>
      <sheetName val="12 RB TANPA I-4 PEB 07"/>
      <sheetName val="12 RB TANPA I-4 MRT 07"/>
      <sheetName val="12 RB TANPA I-4 APR 07"/>
      <sheetName val="12 RB TANPA I-4 MEI 07"/>
      <sheetName val="12 RB TANPA I-4 JUN 07"/>
      <sheetName val="12 RB TANPA I-4 JUL 07"/>
      <sheetName val="12 RB TANPA I-4 AGS 07"/>
      <sheetName val="12 RB TANPA I-4 SEP 07"/>
      <sheetName val="12 RB TANPA I-4 OKT 07"/>
      <sheetName val="12 RB TANPA I-4 NOP 07"/>
      <sheetName val="12 RB TANPA I-4 DES 07"/>
      <sheetName val="DATA INPUT"/>
      <sheetName val="Cover PST"/>
      <sheetName val="LAMP_1 PST"/>
      <sheetName val="LAMP_2 PST"/>
      <sheetName val="LAMP_3 PST"/>
      <sheetName val="LAMP_4 PST"/>
      <sheetName val="LAMP_5 PST"/>
      <sheetName val="LAMP_6 PST"/>
      <sheetName val="LAMP_7 PST"/>
      <sheetName val="EXIM ANTAR APJ "/>
      <sheetName val="CRB BLN"/>
      <sheetName val="CRB-I.4 BLN"/>
      <sheetName val="TSK BLN"/>
      <sheetName val="GRT BLN"/>
      <sheetName val="CJR BLN"/>
      <sheetName val="SKI BLN"/>
      <sheetName val="BGR BLN"/>
      <sheetName val="BGR-I.4 BLN"/>
      <sheetName val="BTN BLN"/>
      <sheetName val="BTN-I.4 BLN"/>
      <sheetName val="PWK BLN"/>
      <sheetName val="PWK-I.4 BLN"/>
      <sheetName val="CMH BLN"/>
      <sheetName val="BDG BLN"/>
      <sheetName val="BDG-I.4 BLN"/>
      <sheetName val="MJA BLN"/>
      <sheetName val="BKS BLN"/>
      <sheetName val="BKS-I.4 BLN"/>
      <sheetName val="DPK BLN"/>
      <sheetName val="KRW BLN"/>
      <sheetName val="KRW-I.4 BLN"/>
      <sheetName val="SMD BLN"/>
      <sheetName val="Jan BLN"/>
      <sheetName val="Feb BLN"/>
      <sheetName val="Mar BLN"/>
      <sheetName val="Apr BLN"/>
      <sheetName val="Mei BLN"/>
      <sheetName val="Jun BLN"/>
      <sheetName val="Jul BLN"/>
      <sheetName val="Agt BLN"/>
      <sheetName val="Sep BLN"/>
      <sheetName val="Okt BLN"/>
      <sheetName val="Nov BLN"/>
      <sheetName val="Des BLN"/>
      <sheetName val="12 Bulanan"/>
      <sheetName val="CRB KUMUL"/>
      <sheetName val="CRB-I.4 KUMUL"/>
      <sheetName val="TSK KUMUL"/>
      <sheetName val="GRT KUMUL"/>
      <sheetName val="CJR KUMUL"/>
      <sheetName val="SKI KUMUL"/>
      <sheetName val="BGR KUMUL"/>
      <sheetName val="BGR-I.4 KUMUL"/>
      <sheetName val="BTN KUMUL"/>
      <sheetName val="BTN-I.4 KUMUL"/>
      <sheetName val="PWK KUMUL"/>
      <sheetName val="PWK-I.4 KUMUL"/>
      <sheetName val="CMH KUMUL"/>
      <sheetName val="BDG KUMUL"/>
      <sheetName val="BDG-I.4 KUMUL"/>
      <sheetName val="MJA KUMUL"/>
      <sheetName val="BKS KUMUL"/>
      <sheetName val="BKS-I.4 KUMUL"/>
      <sheetName val="DPK KUMUL"/>
      <sheetName val="KRW KUMUL"/>
      <sheetName val="KRW-I.4 KUMUL"/>
      <sheetName val="SMDKUKUL"/>
      <sheetName val="Jan KUMUL"/>
      <sheetName val="Feb KUMUL"/>
      <sheetName val="Mar KUMUL"/>
      <sheetName val="Apr KUMUL"/>
      <sheetName val="Mei KUMUL"/>
      <sheetName val="Jun KUMUL"/>
      <sheetName val="Jul KUMUL"/>
      <sheetName val="Agt KUMUL"/>
      <sheetName val="Sep KUMUL"/>
      <sheetName val="Okt KUMUL"/>
      <sheetName val="Nov KUMUL"/>
      <sheetName val="Des KUMUL"/>
      <sheetName val="JUMLAH PENYULANG DLL"/>
      <sheetName val="14B-SOB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>
        <row r="88">
          <cell r="D88">
            <v>0</v>
          </cell>
        </row>
      </sheetData>
      <sheetData sheetId="366">
        <row r="7">
          <cell r="R7">
            <v>9</v>
          </cell>
        </row>
      </sheetData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>
        <row r="4">
          <cell r="A4" t="str">
            <v>NERACA DAYA SISTEM PONTIANAK</v>
          </cell>
        </row>
      </sheetData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/>
      <sheetData sheetId="388"/>
      <sheetData sheetId="389" refreshError="1"/>
      <sheetData sheetId="390" refreshError="1"/>
      <sheetData sheetId="391" refreshError="1"/>
      <sheetData sheetId="392" refreshError="1"/>
      <sheetData sheetId="393"/>
      <sheetData sheetId="394"/>
      <sheetData sheetId="395"/>
      <sheetData sheetId="396">
        <row r="88">
          <cell r="D88">
            <v>0</v>
          </cell>
        </row>
      </sheetData>
      <sheetData sheetId="397">
        <row r="7">
          <cell r="R7">
            <v>9</v>
          </cell>
        </row>
      </sheetData>
      <sheetData sheetId="398" refreshError="1"/>
      <sheetData sheetId="399"/>
      <sheetData sheetId="400"/>
      <sheetData sheetId="401" refreshError="1"/>
      <sheetData sheetId="402"/>
      <sheetData sheetId="403"/>
      <sheetData sheetId="404"/>
      <sheetData sheetId="405" refreshError="1"/>
      <sheetData sheetId="406"/>
      <sheetData sheetId="407"/>
      <sheetData sheetId="408" refreshError="1"/>
      <sheetData sheetId="409"/>
      <sheetData sheetId="410" refreshError="1"/>
      <sheetData sheetId="41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/>
      <sheetData sheetId="420"/>
      <sheetData sheetId="421"/>
      <sheetData sheetId="422"/>
      <sheetData sheetId="423">
        <row r="2">
          <cell r="A2" t="str">
            <v>Wil. Nanggroe Aceh Darussalam</v>
          </cell>
        </row>
      </sheetData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>
        <row r="2">
          <cell r="E2" t="str">
            <v>Tabel Wilayah</v>
          </cell>
        </row>
      </sheetData>
      <sheetData sheetId="511"/>
      <sheetData sheetId="512">
        <row r="70">
          <cell r="E70">
            <v>46564.800000000003</v>
          </cell>
        </row>
      </sheetData>
      <sheetData sheetId="513">
        <row r="71">
          <cell r="E71">
            <v>10470812.965960313</v>
          </cell>
        </row>
      </sheetData>
      <sheetData sheetId="514">
        <row r="70">
          <cell r="E70">
            <v>0</v>
          </cell>
        </row>
      </sheetData>
      <sheetData sheetId="515">
        <row r="70">
          <cell r="E70">
            <v>2864.406896551724</v>
          </cell>
        </row>
      </sheetData>
      <sheetData sheetId="516">
        <row r="70">
          <cell r="E70">
            <v>0</v>
          </cell>
        </row>
      </sheetData>
      <sheetData sheetId="517">
        <row r="9">
          <cell r="W9">
            <v>8900</v>
          </cell>
        </row>
      </sheetData>
      <sheetData sheetId="518">
        <row r="70">
          <cell r="E70">
            <v>0</v>
          </cell>
        </row>
      </sheetData>
      <sheetData sheetId="519">
        <row r="70">
          <cell r="E70">
            <v>2599.8896551724138</v>
          </cell>
        </row>
      </sheetData>
      <sheetData sheetId="520">
        <row r="70">
          <cell r="E70">
            <v>0</v>
          </cell>
        </row>
      </sheetData>
      <sheetData sheetId="521">
        <row r="70">
          <cell r="E70">
            <v>0</v>
          </cell>
        </row>
      </sheetData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 refreshError="1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/>
      <sheetData sheetId="1699"/>
      <sheetData sheetId="1700"/>
      <sheetData sheetId="1701"/>
      <sheetData sheetId="1702"/>
      <sheetData sheetId="1703"/>
      <sheetData sheetId="1704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/>
      <sheetData sheetId="1716"/>
      <sheetData sheetId="1717" refreshError="1"/>
      <sheetData sheetId="1718" refreshError="1"/>
      <sheetData sheetId="1719"/>
      <sheetData sheetId="1720" refreshError="1"/>
      <sheetData sheetId="172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/>
      <sheetData sheetId="1729"/>
      <sheetData sheetId="1730"/>
      <sheetData sheetId="1731"/>
      <sheetData sheetId="1732"/>
      <sheetData sheetId="1733" refreshError="1"/>
      <sheetData sheetId="1734"/>
      <sheetData sheetId="1735"/>
      <sheetData sheetId="1736" refreshError="1"/>
      <sheetData sheetId="1737"/>
      <sheetData sheetId="1738"/>
      <sheetData sheetId="1739"/>
      <sheetData sheetId="1740" refreshError="1"/>
      <sheetData sheetId="1741"/>
      <sheetData sheetId="1742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DUL"/>
      <sheetName val="PLTD-SWASTA 06"/>
      <sheetName val="12 RB TANPA I-4 JAN 07"/>
      <sheetName val="12 RB TANPA I-4 PEB 07"/>
      <sheetName val="12 RB TANPA I-4 MRT 07"/>
      <sheetName val="12 RB TANPA I-4 APR 07"/>
      <sheetName val="12 RB TANPA I-4 MEI 07"/>
      <sheetName val="12 RB TANPA I-4 JUN 07"/>
      <sheetName val="12 RB TANPA I-4 JUL 07"/>
      <sheetName val="12 RB TANPA I-4 AGS 07"/>
      <sheetName val="12 RB TANPA I-4 SEP 07"/>
      <sheetName val="12 RB TANPA I-4 OKT 07"/>
      <sheetName val="12 RB TANPA I-4 NOP 07"/>
      <sheetName val="12 RB TANPA I-4 DES 07"/>
      <sheetName val="DATA INPUT"/>
      <sheetName val="Cover PST"/>
      <sheetName val="LAMP_1 PST"/>
      <sheetName val="LAMP_2 PST"/>
      <sheetName val="LAMP_3 PST"/>
      <sheetName val="LAMP_4 PST"/>
      <sheetName val="LAMP_5 PST"/>
      <sheetName val="LAMP_6 PST"/>
      <sheetName val="LAMP_7 PST"/>
      <sheetName val="Cover"/>
      <sheetName val="Lamp_1"/>
      <sheetName val="Lamp_2"/>
      <sheetName val="Lamp_3"/>
      <sheetName val="Lamp_4"/>
      <sheetName val="Lamp_5"/>
      <sheetName val="Lamp_7"/>
      <sheetName val="Balancing"/>
      <sheetName val="EXIM ANTAR APJ "/>
      <sheetName val="CRB BLN"/>
      <sheetName val="CRB-I.4 BLN"/>
      <sheetName val="TSK BLN"/>
      <sheetName val="GRT BLN"/>
      <sheetName val="CJR BLN"/>
      <sheetName val="SKI BLN"/>
      <sheetName val="BGR BLN"/>
      <sheetName val="BGR-I.4 BLN"/>
      <sheetName val="BTN BLN"/>
      <sheetName val="BTN-I.4 BLN"/>
      <sheetName val="PWK BLN"/>
      <sheetName val="PWK-I.4 BLN"/>
      <sheetName val="CMH BLN"/>
      <sheetName val="BDG BLN"/>
      <sheetName val="BDG-I.4 BLN"/>
      <sheetName val="MJA BLN"/>
      <sheetName val="BKS BLN"/>
      <sheetName val="BKS-I.4 BLN"/>
      <sheetName val="DPK BLN"/>
      <sheetName val="KRW BLN"/>
      <sheetName val="KRW-I.4 BLN"/>
      <sheetName val="SMD BLN"/>
      <sheetName val="Jan BLN"/>
      <sheetName val="Feb BLN"/>
      <sheetName val="Mar BLN"/>
      <sheetName val="Apr BLN"/>
      <sheetName val="Mei BLN"/>
      <sheetName val="Jun BLN"/>
      <sheetName val="Jul BLN"/>
      <sheetName val="Agt BLN"/>
      <sheetName val="Sep BLN"/>
      <sheetName val="Okt BLN"/>
      <sheetName val="Nov BLN"/>
      <sheetName val="Des BLN"/>
      <sheetName val="12 Bulanan"/>
      <sheetName val="CRB KUMUL"/>
      <sheetName val="CRB-I.4 KUMUL"/>
      <sheetName val="TSK KUMUL"/>
      <sheetName val="GRT KUMUL"/>
      <sheetName val="CJR KUMUL"/>
      <sheetName val="SKI KUMUL"/>
      <sheetName val="BGR KUMUL"/>
      <sheetName val="BGR-I.4 KUMUL"/>
      <sheetName val="BTN KUMUL"/>
      <sheetName val="BTN-I.4 KUMUL"/>
      <sheetName val="PWK KUMUL"/>
      <sheetName val="PWK-I.4 KUMUL"/>
      <sheetName val="CMH KUMUL"/>
      <sheetName val="BDG KUMUL"/>
      <sheetName val="BDG-I.4 KUMUL"/>
      <sheetName val="MJA KUMUL"/>
      <sheetName val="BKS KUMUL"/>
      <sheetName val="BKS-I.4 KUMUL"/>
      <sheetName val="DPK KUMUL"/>
      <sheetName val="KRW KUMUL"/>
      <sheetName val="KRW-I.4 KUMUL"/>
      <sheetName val="SMDKUKUL"/>
      <sheetName val="Jan KUMUL"/>
      <sheetName val="Feb KUMUL"/>
      <sheetName val="Mar KUMUL"/>
      <sheetName val="Apr KUMUL"/>
      <sheetName val="Mei KUMUL"/>
      <sheetName val="Jun KUMUL"/>
      <sheetName val="Jul KUMUL"/>
      <sheetName val="Agt KUMUL"/>
      <sheetName val="Sep KUMUL"/>
      <sheetName val="Okt KUMUL"/>
      <sheetName val="Nov KUMUL"/>
      <sheetName val="Des KUMUL"/>
      <sheetName val="PELANGGAN"/>
      <sheetName val="JUMLAH PENYULANG DLL"/>
      <sheetName val="Asums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">
          <cell r="D1" t="str">
            <v>PT PLN (PERSERO) DISTRIBUSI JAWA BARAT &amp; BANTEN</v>
          </cell>
        </row>
      </sheetData>
      <sheetData sheetId="25"/>
      <sheetData sheetId="26"/>
      <sheetData sheetId="27">
        <row r="1">
          <cell r="D1" t="str">
            <v>PT PLN (PERSERO) DISTRIBUSI JAWA BARAT &amp; BANTEN</v>
          </cell>
        </row>
      </sheetData>
      <sheetData sheetId="28">
        <row r="1">
          <cell r="B1" t="str">
            <v>PT PLN (PERSERO) DISTRIBUSI JAWA BARAT &amp; BANTEN</v>
          </cell>
        </row>
      </sheetData>
      <sheetData sheetId="29">
        <row r="1">
          <cell r="B1" t="str">
            <v>PT PLN (PERSERO) DISTRIBUSI JAWA BARAT &amp; BANTEN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poran pemakaian blangko"/>
      <sheetName val="Lamp_4"/>
      <sheetName val="Lamp_5"/>
      <sheetName val="Lamp_7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TRANS"/>
      <sheetName val="laporan pemakaian blangko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"/>
      <sheetName val="El-For.Adi"/>
      <sheetName val="Module1"/>
      <sheetName val="DElFor-pro"/>
      <sheetName val="\Users\hp\AppData\Roaming\Micro"/>
      <sheetName val="Sheet3"/>
      <sheetName val="TRAN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ket 5"/>
      <sheetName val="BASKET 1-4"/>
      <sheetName val="Basket 5 (Rekap)"/>
      <sheetName val="BASKET 1-4 (Rekap)"/>
      <sheetName val="realisasi.SPK &amp; lsg.INVES 08"/>
    </sheetNames>
    <definedNames>
      <definedName name="Macro1" refersTo="#REF!"/>
      <definedName name="Macro2" refersTo="#REF!"/>
      <definedName name="Macro3" refersTo="#REF!"/>
      <definedName name="Macro4" refersTo="#REF!"/>
      <definedName name="Macro5" refersTo="#REF!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-R"/>
      <sheetName val="NRC"/>
      <sheetName val="PerhitunganKinKeu_kit"/>
      <sheetName val="target_penunjang"/>
      <sheetName val="target_kit"/>
      <sheetName val="L_R"/>
      <sheetName val="GABLUARJAWA1 (2)"/>
      <sheetName val="KUMULATIP"/>
      <sheetName val="Laba Rugi"/>
      <sheetName val="Basket 5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op Surat"/>
      <sheetName val="master"/>
      <sheetName val="mei-04"/>
      <sheetName val="apr-04 (2)"/>
      <sheetName val="apr-04"/>
      <sheetName val="mar04"/>
      <sheetName val="feb04"/>
      <sheetName val="Daftar gaji"/>
      <sheetName val="MST"/>
      <sheetName val="Potongan SIM"/>
      <sheetName val="PTG koperasi"/>
      <sheetName val="lap. pot 04-04"/>
      <sheetName val="lap. pot 03-04"/>
      <sheetName val="lap. pot 02-04"/>
      <sheetName val="THR2004"/>
      <sheetName val="sim"/>
      <sheetName val="mnl (12)"/>
      <sheetName val="mnl (11)"/>
      <sheetName val="mnl (9)"/>
      <sheetName val="mnl (8)"/>
      <sheetName val="mnl (10)"/>
      <sheetName val="mnl (7)"/>
      <sheetName val="mnl (6)"/>
      <sheetName val="mnl (5)"/>
      <sheetName val="mnl (4)"/>
      <sheetName val="mnl (3)"/>
      <sheetName val="mnl (2)"/>
      <sheetName val="mnl"/>
      <sheetName val="Realisasi"/>
      <sheetName val="D2. ANALISA BIAYA INSP"/>
      <sheetName val="E3. ANALISA BIAYA HAR TEK SUTM"/>
      <sheetName val="E6. ANALISA HARGA HAR NON RUTIN"/>
      <sheetName val="LabaRugi"/>
      <sheetName val="LAMP_1L"/>
      <sheetName val="LAMP_4L"/>
      <sheetName val="LAMP_5L"/>
      <sheetName val="LAMP_7L"/>
      <sheetName val="KARYAWAN"/>
      <sheetName val="L-R"/>
      <sheetName val="Usulan"/>
    </sheetNames>
    <sheetDataSet>
      <sheetData sheetId="0"/>
      <sheetData sheetId="1">
        <row r="6">
          <cell r="C6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mplop Gaji"/>
      <sheetName val="Kop Surat"/>
      <sheetName val="Daftar Premi susulan"/>
      <sheetName val="Daf. Gaji"/>
      <sheetName val="Daftar Premi"/>
      <sheetName val="Daftar. Pot"/>
      <sheetName val="Rinc. GAJI"/>
      <sheetName val="admagustus2005"/>
      <sheetName val="admjuli2005"/>
      <sheetName val="admjuni2005"/>
      <sheetName val="masteradmnew"/>
      <sheetName val="masteradm"/>
      <sheetName val="PTG adm"/>
      <sheetName val="tabungan simfoni"/>
      <sheetName val="Rincian"/>
      <sheetName val="admmei2005"/>
      <sheetName val="admapril2005"/>
      <sheetName val="admmaret2005"/>
      <sheetName val="admfebruari2005"/>
      <sheetName val="admjanuari2005"/>
      <sheetName val="Daftar gaji adm (2)"/>
      <sheetName val="Daftar gaji manual &amp; susulan"/>
      <sheetName val="lap. pot "/>
      <sheetName val="JAMSOSTEK"/>
      <sheetName val="LAMP_1L"/>
      <sheetName val="LAMP_4L"/>
      <sheetName val="LAMP_5L"/>
      <sheetName val="LAMP_7L"/>
      <sheetName val="Kontrol"/>
      <sheetName val="ma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C6">
            <v>1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f. Gaji"/>
      <sheetName val="Amplop Gaji"/>
      <sheetName val="Rinc. GAJI"/>
      <sheetName val="Daftar Premi Susulan"/>
      <sheetName val="Daftar Premi"/>
      <sheetName val="Daftar. Pot."/>
      <sheetName val="PTG kopfln"/>
      <sheetName val="flnagustus2005"/>
      <sheetName val="flnjuli2005"/>
      <sheetName val="flnjuni2005"/>
      <sheetName val="master fln new"/>
      <sheetName val="Kop Surat"/>
      <sheetName val="master fln"/>
      <sheetName val="tabungan simfoni"/>
      <sheetName val="flnmei2005"/>
      <sheetName val="flnapril2005"/>
      <sheetName val="flnmaret2005"/>
      <sheetName val="flnfebruari2005"/>
      <sheetName val="flnjanuari2005"/>
      <sheetName val="Daftar gaji"/>
      <sheetName val="Daftar gaji manual &amp; susulan"/>
      <sheetName val="lap. pot"/>
      <sheetName val="KARYAWAN"/>
      <sheetName val="LabaRugi"/>
      <sheetName val="Kontrol"/>
      <sheetName val="masterad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C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f. Gaji"/>
      <sheetName val="Amplop Gaji"/>
      <sheetName val="Rinc. GAJI"/>
      <sheetName val="Daftar Premi"/>
      <sheetName val="Daftar. Pot."/>
      <sheetName val="optagustus2005"/>
      <sheetName val="optjuli2005"/>
      <sheetName val="optjuni2005"/>
      <sheetName val="Kop Surat"/>
      <sheetName val="master opt new"/>
      <sheetName val="master opt"/>
      <sheetName val="PTG opt"/>
      <sheetName val="optmei2005"/>
      <sheetName val="optapril2005"/>
      <sheetName val="optMaret2005"/>
      <sheetName val="optFebruari2005"/>
      <sheetName val="optJanuari2005"/>
      <sheetName val="Daftar gaji"/>
      <sheetName val="Daftar gaji manual &amp; susulan"/>
      <sheetName val="lap. pot"/>
      <sheetName val="daftar peserta dana pensiun"/>
      <sheetName val="LabaRugi"/>
      <sheetName val="DATA"/>
      <sheetName val="master fl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6">
          <cell r="C6">
            <v>1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f. Gaji"/>
      <sheetName val="Daftar. Pot."/>
      <sheetName val="Daftar Premi"/>
      <sheetName val="PTG pgd"/>
      <sheetName val="Amplop Gaji"/>
      <sheetName val="Rinc. GAJI"/>
      <sheetName val="pgdagustus2005"/>
      <sheetName val="pgdjuli2005"/>
      <sheetName val="pgdjuni2005"/>
      <sheetName val="Kop Surat"/>
      <sheetName val="master pgd new"/>
      <sheetName val="master pgd"/>
      <sheetName val="pgd mei 2005"/>
      <sheetName val="pgd april 2005"/>
      <sheetName val="pgd Maret 2005"/>
      <sheetName val="pgd februari 2005"/>
      <sheetName val="pgd Januari 2005"/>
      <sheetName val="Daftar gaji pgd"/>
      <sheetName val="Daftar gaji manual &amp; susulan"/>
      <sheetName val="lap. pot "/>
      <sheetName val="LabaRugi"/>
      <sheetName val="DATA"/>
      <sheetName val="master op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C6">
            <v>1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f. Gaji"/>
      <sheetName val="Daftar. Pot."/>
      <sheetName val="Daftar Premi susulan"/>
      <sheetName val="Daftar Premi"/>
      <sheetName val="Rinc. GAJI (2)"/>
      <sheetName val="Rinc. GAJI"/>
      <sheetName val="Amplop Gaji"/>
      <sheetName val="pmdagustus2005"/>
      <sheetName val="pmdjuli2005"/>
      <sheetName val="pmdjuni2005"/>
      <sheetName val="Kop Surat"/>
      <sheetName val="master pmd new"/>
      <sheetName val="pmdmei2005"/>
      <sheetName val="master pmd"/>
      <sheetName val="tabungan simfoni"/>
      <sheetName val="PTGpmd"/>
      <sheetName val="Kadar"/>
      <sheetName val="Daftar gaji manual &amp; susulan"/>
      <sheetName val="pmdapril2005"/>
      <sheetName val="pmdmaret2005"/>
      <sheetName val="pmdfebruari2005"/>
      <sheetName val="pmdjanuari2005"/>
      <sheetName val="Daftar gaji pmd baru"/>
      <sheetName val="Daftar gaji pmd lama"/>
      <sheetName val="lap. pot"/>
      <sheetName val="master"/>
      <sheetName val="LabaRugi"/>
      <sheetName val="master pg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C6">
            <v>1</v>
          </cell>
        </row>
      </sheetData>
      <sheetData sheetId="12"/>
      <sheetData sheetId="13">
        <row r="6">
          <cell r="C6">
            <v>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erial Distribusi"/>
      <sheetName val="DAFTAR  HARGA (2)"/>
      <sheetName val="DAFTAR  HARGA"/>
      <sheetName val="RAB"/>
      <sheetName val="ANGKUT"/>
      <sheetName val="MAT"/>
      <sheetName val="RAB SAP"/>
      <sheetName val="master pmd"/>
      <sheetName val="master pmd new"/>
    </sheetNames>
    <sheetDataSet>
      <sheetData sheetId="0">
        <row r="5">
          <cell r="F5" t="str">
            <v>Box APP Type I A VI Pengukuran Langsung + MCB 63 Amp</v>
          </cell>
        </row>
      </sheetData>
      <sheetData sheetId="1"/>
      <sheetData sheetId="2"/>
      <sheetData sheetId="3">
        <row r="16">
          <cell r="C16" t="str">
            <v>Fuse Cut Out 20 KV Porcelin</v>
          </cell>
        </row>
      </sheetData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erial Distribusi"/>
      <sheetName val="RAB"/>
    </sheetNames>
    <sheetDataSet>
      <sheetData sheetId="0">
        <row r="5">
          <cell r="F5" t="str">
            <v>Box APP Type I A VI Pengukuran Langsung + MCB 63 Amp</v>
          </cell>
        </row>
        <row r="6">
          <cell r="F6" t="str">
            <v>Fuse Link 60 A</v>
          </cell>
        </row>
        <row r="7">
          <cell r="F7" t="str">
            <v>Kabel N2XSY 1 x 50 mm</v>
          </cell>
        </row>
        <row r="8">
          <cell r="F8" t="str">
            <v>Kabel NYY 1 x 120 mm²</v>
          </cell>
        </row>
        <row r="9">
          <cell r="F9" t="str">
            <v>Kabel NYY 1 x 150 mm²</v>
          </cell>
        </row>
        <row r="10">
          <cell r="F10" t="str">
            <v>Kabel NYY 4 x 50 mm² 0.6/1kV</v>
          </cell>
        </row>
        <row r="11">
          <cell r="F11" t="str">
            <v>Kabel NYY 4 x 70 mm²</v>
          </cell>
        </row>
        <row r="12">
          <cell r="F12" t="str">
            <v>Kabel NYY 4 x 95 mm²</v>
          </cell>
        </row>
        <row r="13">
          <cell r="F13" t="str">
            <v>Kabel NYYHY 4 x 4 mm²</v>
          </cell>
        </row>
        <row r="14">
          <cell r="F14" t="str">
            <v>KVARH 3 Phasa 5 / 20 A</v>
          </cell>
        </row>
        <row r="15">
          <cell r="F15" t="str">
            <v>KVARH 3 Phasa 57,7/100 V 5 A</v>
          </cell>
        </row>
        <row r="16">
          <cell r="F16" t="str">
            <v>LVC 2 Group 400 Amp Lengkap Fuse</v>
          </cell>
        </row>
        <row r="17">
          <cell r="F17" t="str">
            <v>LVC 3 Group 400 Amp Komplit Breaker</v>
          </cell>
        </row>
        <row r="18">
          <cell r="F18" t="str">
            <v>LVC 3 Group 400 Amp Lengkap Fuse</v>
          </cell>
        </row>
        <row r="19">
          <cell r="F19" t="str">
            <v>LVC 3 Phasa 3 Group 300 Amp</v>
          </cell>
        </row>
        <row r="20">
          <cell r="F20" t="str">
            <v>LVC MINI 4 Group 3 Phasa 400 A Complet</v>
          </cell>
        </row>
        <row r="21">
          <cell r="F21" t="str">
            <v>M C B 3 Phasa 63 Amp 380/400 V</v>
          </cell>
        </row>
        <row r="22">
          <cell r="F22" t="str">
            <v>M C C B 100 Amp</v>
          </cell>
        </row>
        <row r="23">
          <cell r="F23" t="str">
            <v>M C C B 225 Amp</v>
          </cell>
        </row>
        <row r="24">
          <cell r="F24" t="str">
            <v>M C C B 250 Amp</v>
          </cell>
        </row>
        <row r="25">
          <cell r="F25" t="str">
            <v>M C C B 300 Amp</v>
          </cell>
        </row>
        <row r="26">
          <cell r="F26" t="str">
            <v>SKT 1 ID Cable Schoen Tembaga CU 16</v>
          </cell>
        </row>
        <row r="27">
          <cell r="F27" t="str">
            <v>SKT 2 ID Cable Schoen Tembaga CU 25</v>
          </cell>
        </row>
        <row r="28">
          <cell r="F28" t="str">
            <v>Span Shorpen 3/4"</v>
          </cell>
        </row>
        <row r="29">
          <cell r="F29" t="str">
            <v>Tang Segel Plastik</v>
          </cell>
        </row>
        <row r="30">
          <cell r="F30" t="str">
            <v>(1T1) Compr Con.Alum For Jumper</v>
          </cell>
        </row>
        <row r="31">
          <cell r="F31" t="str">
            <v>(SKT 6) Compr Cable Shoes Cooper Lubang 1</v>
          </cell>
        </row>
        <row r="32">
          <cell r="F32" t="str">
            <v>(SKT 8) COMP. CONT SHOES COOPER 150 MM2</v>
          </cell>
        </row>
        <row r="33">
          <cell r="F33" t="str">
            <v>10 T 5 COMP. CONNECTOR ALUM. FOR JUMPER</v>
          </cell>
        </row>
        <row r="34">
          <cell r="F34" t="str">
            <v>20 KV Core 35 mm ALL Cable NA2XSEBY</v>
          </cell>
        </row>
        <row r="35">
          <cell r="F35" t="str">
            <v>3 T 1 COMP. CONNECTOR ALUM. FOR JUMPER</v>
          </cell>
        </row>
        <row r="36">
          <cell r="F36" t="str">
            <v>3 T 3 COMP. CONNECTOR ALUM. FOR JUMPER</v>
          </cell>
        </row>
        <row r="37">
          <cell r="F37" t="str">
            <v>4 T 4 COMP. CONNECTOR CU FOR GROUNDING</v>
          </cell>
        </row>
        <row r="38">
          <cell r="F38" t="str">
            <v>5 T 1 COMP. CONNECTOR ALUM. FOR JUMPER</v>
          </cell>
        </row>
        <row r="39">
          <cell r="F39" t="str">
            <v>5 T 3 COMP. CONNECTOR ALUM. FOR JUMPER</v>
          </cell>
        </row>
        <row r="40">
          <cell r="F40" t="str">
            <v>8 T 5 COMP. CONNECTOR ALUM. FOR JUMPER</v>
          </cell>
        </row>
        <row r="41">
          <cell r="F41" t="str">
            <v>8 T 8 COMP. CONNECTOR ALUM. FOR JUMPER</v>
          </cell>
        </row>
        <row r="42">
          <cell r="F42" t="str">
            <v>A A A C. 35 .mm².</v>
          </cell>
        </row>
        <row r="43">
          <cell r="F43" t="str">
            <v>AAAC 240 mm</v>
          </cell>
        </row>
        <row r="44">
          <cell r="F44" t="str">
            <v>Adaptor ( Power Modem )</v>
          </cell>
        </row>
        <row r="45">
          <cell r="F45" t="str">
            <v>AMPERE MAX 200 A</v>
          </cell>
        </row>
        <row r="46">
          <cell r="F46" t="str">
            <v>argina .40</v>
          </cell>
        </row>
        <row r="47">
          <cell r="F47" t="str">
            <v>Aspan Isolator</v>
          </cell>
        </row>
        <row r="48">
          <cell r="F48" t="str">
            <v>Aspan Trafers 2 Pole</v>
          </cell>
        </row>
        <row r="49">
          <cell r="F49" t="str">
            <v>AVR type SF. 6.76.DA. 105/87</v>
          </cell>
        </row>
        <row r="50">
          <cell r="F50" t="str">
            <v>B C Masief 25 mm2</v>
          </cell>
        </row>
        <row r="51">
          <cell r="F51" t="str">
            <v>Ball Clevis</v>
          </cell>
        </row>
        <row r="52">
          <cell r="F52" t="str">
            <v>Ball Eye</v>
          </cell>
        </row>
        <row r="53">
          <cell r="F53" t="str">
            <v>Ballast TL 40 Watt</v>
          </cell>
        </row>
        <row r="54">
          <cell r="F54" t="str">
            <v>BALLAST TL 10 W 220 V</v>
          </cell>
        </row>
        <row r="55">
          <cell r="F55" t="str">
            <v>BALLAST TL 20 W 220 V</v>
          </cell>
        </row>
        <row r="56">
          <cell r="F56" t="str">
            <v>Band pole 1/2 " x 5 "U / Moulding</v>
          </cell>
        </row>
        <row r="57">
          <cell r="F57" t="str">
            <v>Band pole 1/2 " x 6 "U / Moulding</v>
          </cell>
        </row>
        <row r="58">
          <cell r="F58" t="str">
            <v>Band pole 2,5 " x 5 "U / PVC</v>
          </cell>
        </row>
        <row r="59">
          <cell r="F59" t="str">
            <v>Band pole 2,5 " x 6 "U / PVC</v>
          </cell>
        </row>
        <row r="60">
          <cell r="F60" t="str">
            <v>Band pole 3 " U / Brace</v>
          </cell>
        </row>
        <row r="61">
          <cell r="F61" t="str">
            <v>Band pole 4 " U / Arde</v>
          </cell>
        </row>
        <row r="62">
          <cell r="F62" t="str">
            <v>Band pole 6 " U / Rack brace</v>
          </cell>
        </row>
        <row r="63">
          <cell r="F63" t="str">
            <v>Band pole 8 - 2 "</v>
          </cell>
        </row>
        <row r="64">
          <cell r="F64" t="str">
            <v>Band pole 8 " U / Guy</v>
          </cell>
        </row>
        <row r="65">
          <cell r="F65" t="str">
            <v>Band pole 10 " bunga U/Clevis</v>
          </cell>
        </row>
        <row r="66">
          <cell r="F66" t="str">
            <v>Band pole 10 " U/Brace</v>
          </cell>
        </row>
        <row r="67">
          <cell r="F67" t="str">
            <v>Band pole 11 " - 3 " U / Pipa</v>
          </cell>
        </row>
        <row r="68">
          <cell r="F68" t="str">
            <v>Band pole 12 " U / Besi siku</v>
          </cell>
        </row>
        <row r="69">
          <cell r="F69" t="str">
            <v>Band pole secondary / Bunga 12 " Tebal</v>
          </cell>
        </row>
        <row r="70">
          <cell r="F70" t="str">
            <v>Band pole secondary / Bunga 6 / 8 " Tebal</v>
          </cell>
        </row>
        <row r="71">
          <cell r="F71" t="str">
            <v>Band Pole 10 u/ Arde</v>
          </cell>
        </row>
        <row r="72">
          <cell r="F72" t="str">
            <v>Band Pole 10 Brace</v>
          </cell>
        </row>
        <row r="73">
          <cell r="F73" t="str">
            <v>Band Pole 10 Brace</v>
          </cell>
        </row>
        <row r="74">
          <cell r="F74" t="str">
            <v>Band Pole 10x1"</v>
          </cell>
        </row>
        <row r="75">
          <cell r="F75" t="str">
            <v>Band Pole 10x2" u/. Kabel</v>
          </cell>
        </row>
        <row r="76">
          <cell r="F76" t="str">
            <v>Band Pole 11 u/ Arde</v>
          </cell>
        </row>
        <row r="77">
          <cell r="F77" t="str">
            <v>Band Pole 11x3" u/. Pipa PVC</v>
          </cell>
        </row>
        <row r="78">
          <cell r="F78" t="str">
            <v>Band Pole 5 - 6" u/.Brace</v>
          </cell>
        </row>
        <row r="79">
          <cell r="F79" t="str">
            <v>Band Pole 8" u/. Arde</v>
          </cell>
        </row>
        <row r="80">
          <cell r="F80" t="str">
            <v>Band Pole 7" u/ Guy</v>
          </cell>
        </row>
        <row r="81">
          <cell r="F81" t="str">
            <v>Band Pole 5" u/ BRACE</v>
          </cell>
        </row>
        <row r="82">
          <cell r="F82" t="str">
            <v>Band Pole 5" u/ Guy</v>
          </cell>
        </row>
        <row r="83">
          <cell r="F83" t="str">
            <v>Band Pole 6" u/ Brace</v>
          </cell>
        </row>
        <row r="84">
          <cell r="F84" t="str">
            <v>Band Pole 6" u/ Brace</v>
          </cell>
        </row>
        <row r="85">
          <cell r="F85" t="str">
            <v>Band Pole 6" u/ Guy</v>
          </cell>
        </row>
        <row r="86">
          <cell r="F86" t="str">
            <v>Band Pole 6" - 7" u/ Arde</v>
          </cell>
        </row>
        <row r="87">
          <cell r="F87" t="str">
            <v>Band Pole ½ x 3 mm, 9" U/Moulding</v>
          </cell>
        </row>
        <row r="88">
          <cell r="F88" t="str">
            <v>Band Pole 8" - 9" u/Pipa 2,5"</v>
          </cell>
        </row>
        <row r="89">
          <cell r="F89" t="str">
            <v>Band Pole u/Clamp Cable 10 x 3"</v>
          </cell>
        </row>
        <row r="90">
          <cell r="F90" t="str">
            <v>Band Pole u/Clamp Cable 10 x 4"</v>
          </cell>
        </row>
        <row r="91">
          <cell r="F91" t="str">
            <v>Band Pole u/Clamp Cable 11 x 3"</v>
          </cell>
        </row>
        <row r="92">
          <cell r="F92" t="str">
            <v>Band Pole u/Clamp Cable 11 x 4"</v>
          </cell>
        </row>
        <row r="93">
          <cell r="F93" t="str">
            <v>Band Pole u/Clamp Cable 12 x 3"</v>
          </cell>
        </row>
        <row r="94">
          <cell r="F94" t="str">
            <v>Band Pole u/Clamp Cable 12 x 4"</v>
          </cell>
        </row>
        <row r="95">
          <cell r="F95" t="str">
            <v>Band Pole 1/2 x 3mm 13 u/Moulding</v>
          </cell>
        </row>
        <row r="96">
          <cell r="F96" t="str">
            <v>Band Pole 10 " U/Ground Wire</v>
          </cell>
        </row>
        <row r="97">
          <cell r="F97" t="str">
            <v>Band Pole 10 U/Bunga</v>
          </cell>
        </row>
        <row r="98">
          <cell r="F98" t="str">
            <v>Band Pole 10 U/Pipa 1,5 Clamp</v>
          </cell>
        </row>
        <row r="99">
          <cell r="F99" t="str">
            <v>BAND POLE 10 X 1/2</v>
          </cell>
        </row>
        <row r="100">
          <cell r="F100" t="str">
            <v>Band Pole 10 x 2 1/2 u/Clamp Pipa</v>
          </cell>
        </row>
        <row r="101">
          <cell r="F101" t="str">
            <v>Band Pole 10 x 3" Galv</v>
          </cell>
        </row>
        <row r="102">
          <cell r="F102" t="str">
            <v>BAND POLE 10"X5" GALVANIS U/ PIPA</v>
          </cell>
        </row>
        <row r="103">
          <cell r="F103" t="str">
            <v>Band pole 10-2 1/2"</v>
          </cell>
        </row>
        <row r="104">
          <cell r="F104" t="str">
            <v>Band pole 10-3</v>
          </cell>
        </row>
        <row r="105">
          <cell r="F105" t="str">
            <v>Band pole 10'u/rack trafo</v>
          </cell>
        </row>
        <row r="106">
          <cell r="F106" t="str">
            <v>Band Pole 11 - 12" u/ Clamp Pipa 1,5"</v>
          </cell>
        </row>
        <row r="107">
          <cell r="F107" t="str">
            <v>Band Pole 11 - 12" u/ Clamp Pipa 2,5"</v>
          </cell>
        </row>
        <row r="108">
          <cell r="F108" t="str">
            <v>Band Pole 11 x 1/2" Galv</v>
          </cell>
        </row>
        <row r="109">
          <cell r="F109" t="str">
            <v>Band Pole 11 x 3" Galv</v>
          </cell>
        </row>
        <row r="110">
          <cell r="F110" t="str">
            <v>BAND POLE 11" U/ BRACE</v>
          </cell>
        </row>
        <row r="111">
          <cell r="F111" t="str">
            <v>BAND POLE 11"X4" GALVANIS U/PIPA</v>
          </cell>
        </row>
        <row r="112">
          <cell r="F112" t="str">
            <v>Band Pole 12 " U/Kabel</v>
          </cell>
        </row>
        <row r="113">
          <cell r="F113" t="str">
            <v>Band Pole 12 x 1/2" Galv</v>
          </cell>
        </row>
        <row r="114">
          <cell r="F114" t="str">
            <v>BAND POLE 12 X 1/3</v>
          </cell>
        </row>
        <row r="115">
          <cell r="F115" t="str">
            <v>Band Pole 12 x 2 1/2"</v>
          </cell>
        </row>
        <row r="116">
          <cell r="F116" t="str">
            <v>Band pole 12" u/LVC.</v>
          </cell>
        </row>
        <row r="117">
          <cell r="F117" t="str">
            <v>BAND POLE 12" U/BRACE</v>
          </cell>
        </row>
        <row r="118">
          <cell r="F118" t="str">
            <v>BAND POLE 12"X3" GALVANIS U/PIPA</v>
          </cell>
        </row>
        <row r="119">
          <cell r="F119" t="str">
            <v>BAND POLE 12"X5" GALVANIS U/PIPA</v>
          </cell>
        </row>
        <row r="120">
          <cell r="F120" t="str">
            <v>Band Pole 13 - 14 u/Clamp Pipa 1,5"</v>
          </cell>
        </row>
        <row r="121">
          <cell r="F121" t="str">
            <v>BAND POLE 13 X 3 U/PIPA</v>
          </cell>
        </row>
        <row r="122">
          <cell r="F122" t="str">
            <v>Band Pole 13" Untuk Pipa.</v>
          </cell>
        </row>
        <row r="123">
          <cell r="F123" t="str">
            <v>Band pole 2"</v>
          </cell>
        </row>
        <row r="124">
          <cell r="F124" t="str">
            <v>Band Pole 3" Untuk Ground Wire.</v>
          </cell>
        </row>
        <row r="125">
          <cell r="F125" t="str">
            <v>BAND POLE 4"</v>
          </cell>
        </row>
        <row r="126">
          <cell r="F126" t="str">
            <v>BAND POLE 4" U/BRACE</v>
          </cell>
        </row>
        <row r="127">
          <cell r="F127" t="str">
            <v>Band Pole 4" U/Guy</v>
          </cell>
        </row>
        <row r="128">
          <cell r="F128" t="str">
            <v>BAND POLE 4"x2.5" U/PIPA</v>
          </cell>
        </row>
        <row r="129">
          <cell r="F129" t="str">
            <v>BAND POLE 4"x3" U/PIPA</v>
          </cell>
        </row>
        <row r="130">
          <cell r="F130" t="str">
            <v>Band pole 5 u/ Pipa 2 - 3</v>
          </cell>
        </row>
        <row r="131">
          <cell r="F131" t="str">
            <v>Band Pole 5 U/Clevis</v>
          </cell>
        </row>
        <row r="132">
          <cell r="F132" t="str">
            <v>Band Pole 5" Untuk Ground Wire.</v>
          </cell>
        </row>
        <row r="133">
          <cell r="F133" t="str">
            <v>Band Pole 5" x 3" U/ pipa</v>
          </cell>
        </row>
        <row r="134">
          <cell r="F134" t="str">
            <v>BAND POLE 5"x1/2"</v>
          </cell>
        </row>
        <row r="135">
          <cell r="F135" t="str">
            <v>BAND POLE 5"x2.5" U/PIPA</v>
          </cell>
        </row>
        <row r="136">
          <cell r="F136" t="str">
            <v>BAND POLE 6"</v>
          </cell>
        </row>
        <row r="137">
          <cell r="F137" t="str">
            <v>BAND POLE 6" U/ BRACE GALVANIS</v>
          </cell>
        </row>
        <row r="138">
          <cell r="F138" t="str">
            <v>Band Pole 6" x 3" U/ Pipa</v>
          </cell>
        </row>
        <row r="139">
          <cell r="F139" t="str">
            <v>BAND POLE 6"x1/2"</v>
          </cell>
        </row>
        <row r="140">
          <cell r="F140" t="str">
            <v>BAND POLE 6"x2.5" U/PIPA</v>
          </cell>
        </row>
        <row r="141">
          <cell r="F141" t="str">
            <v>Band Pole 6-7" u/Brace</v>
          </cell>
        </row>
        <row r="142">
          <cell r="F142" t="str">
            <v>BAND POLE 7" X 3" U/PIPA</v>
          </cell>
        </row>
        <row r="143">
          <cell r="F143" t="str">
            <v>BAND POLE 7"x2.5" U/PIPA</v>
          </cell>
        </row>
        <row r="144">
          <cell r="F144" t="str">
            <v>BAND POLE 8 - 2 1/2 U.PIPA</v>
          </cell>
        </row>
        <row r="145">
          <cell r="F145" t="str">
            <v>Band Pole 8 - 9 u/ Brace</v>
          </cell>
        </row>
        <row r="146">
          <cell r="F146" t="str">
            <v>Band Pole 8 - 9 u/ Clevis</v>
          </cell>
        </row>
        <row r="147">
          <cell r="F147" t="str">
            <v>Band Pole 8 - 9 u/ Pipa 2</v>
          </cell>
        </row>
        <row r="148">
          <cell r="F148" t="str">
            <v>Band Pole 8 " U/Ground Wire</v>
          </cell>
        </row>
        <row r="149">
          <cell r="F149" t="str">
            <v>Band Pole 8 " U/Pipa</v>
          </cell>
        </row>
        <row r="150">
          <cell r="F150" t="str">
            <v>BAND POLE 8 x 1/2" U/ARDE</v>
          </cell>
        </row>
        <row r="151">
          <cell r="F151" t="str">
            <v>Band pole 8"</v>
          </cell>
        </row>
        <row r="152">
          <cell r="F152" t="str">
            <v>Band Pole 8" U/Brace</v>
          </cell>
        </row>
        <row r="153">
          <cell r="F153" t="str">
            <v>BAND POLE 8"U - BRACE</v>
          </cell>
        </row>
        <row r="154">
          <cell r="F154" t="str">
            <v>BAND POLE 8"x2.5" U/PIPA</v>
          </cell>
        </row>
        <row r="155">
          <cell r="F155" t="str">
            <v>BAND POLE 8"x3" U/PIPA</v>
          </cell>
        </row>
        <row r="156">
          <cell r="F156" t="str">
            <v>Band pole 8-2 1/2"</v>
          </cell>
        </row>
        <row r="157">
          <cell r="F157" t="str">
            <v>BAND POLE 9 U/GROUND WIRE.</v>
          </cell>
        </row>
        <row r="158">
          <cell r="F158" t="str">
            <v>Band Pole 9 x 1/2" Galv</v>
          </cell>
        </row>
        <row r="159">
          <cell r="F159" t="str">
            <v>Band Pole 9" - 2"</v>
          </cell>
        </row>
        <row r="160">
          <cell r="F160" t="str">
            <v>BAND POLE 9" U/ BRACE GALVANIS</v>
          </cell>
        </row>
        <row r="161">
          <cell r="F161" t="str">
            <v>Band pole 9" u/Brace</v>
          </cell>
        </row>
        <row r="162">
          <cell r="F162" t="str">
            <v>BAND POLE 9"U - GUY</v>
          </cell>
        </row>
        <row r="163">
          <cell r="F163" t="str">
            <v>BAND POLE 9"x2.5" U/PIPA</v>
          </cell>
        </row>
        <row r="164">
          <cell r="F164" t="str">
            <v>BAND POLE 9"x3" U/PIPA</v>
          </cell>
        </row>
        <row r="165">
          <cell r="F165" t="str">
            <v>Band pole 9-1 1/2"</v>
          </cell>
        </row>
        <row r="166">
          <cell r="F166" t="str">
            <v>Band pole 9-2 1/2"u/kabel</v>
          </cell>
        </row>
        <row r="167">
          <cell r="F167" t="str">
            <v>Band pole 9-3"</v>
          </cell>
        </row>
        <row r="168">
          <cell r="F168" t="str">
            <v>BAND POLE BUNGA 4"</v>
          </cell>
        </row>
        <row r="169">
          <cell r="F169" t="str">
            <v>BAND POLE BUNGA 5"</v>
          </cell>
        </row>
        <row r="170">
          <cell r="F170" t="str">
            <v>BAND POLE BUNGA 6"</v>
          </cell>
        </row>
        <row r="171">
          <cell r="F171" t="str">
            <v>BAND POLE BUNGA 8"</v>
          </cell>
        </row>
        <row r="172">
          <cell r="F172" t="str">
            <v>BAND POLE BUNGA 9"</v>
          </cell>
        </row>
        <row r="173">
          <cell r="F173" t="str">
            <v>Band Pole u/. Arde 9"</v>
          </cell>
        </row>
        <row r="174">
          <cell r="F174" t="str">
            <v>BANDPOLE SCONDARY BUNGA 4" TEBAL</v>
          </cell>
        </row>
        <row r="175">
          <cell r="F175" t="str">
            <v>Batere Charger 12 V DC 10 A</v>
          </cell>
        </row>
        <row r="176">
          <cell r="F176" t="str">
            <v>BATTERAI NiCad 7 AH VDC (MF) U/RECLOSER dan LBS Motorized</v>
          </cell>
        </row>
        <row r="177">
          <cell r="F177" t="str">
            <v>Battery Asam 12 Volt 70 AH</v>
          </cell>
        </row>
        <row r="178">
          <cell r="F178" t="str">
            <v>Battery HT Nicd 1320 mAh untuk Motorolla GP 2000</v>
          </cell>
        </row>
        <row r="179">
          <cell r="F179" t="str">
            <v>Battery HT Nicd 600 mAh untuk Motorolla GP 68</v>
          </cell>
        </row>
        <row r="180">
          <cell r="F180" t="str">
            <v>BATU BATA</v>
          </cell>
        </row>
        <row r="181">
          <cell r="F181" t="str">
            <v>Baut seng 3/16x1"</v>
          </cell>
        </row>
        <row r="182">
          <cell r="F182" t="str">
            <v>baut zenk 3/16 x 1/2"</v>
          </cell>
        </row>
        <row r="183">
          <cell r="F183" t="str">
            <v>BC Draad 50 MM2(1KG=2.3Mtr)</v>
          </cell>
        </row>
        <row r="184">
          <cell r="F184" t="str">
            <v>BC Masief 16 mm</v>
          </cell>
        </row>
        <row r="185">
          <cell r="F185" t="str">
            <v>BC. DRAAD 16 MM</v>
          </cell>
        </row>
        <row r="186">
          <cell r="F186" t="str">
            <v>BC. DRAAD Berbagai Ukuran</v>
          </cell>
        </row>
        <row r="187">
          <cell r="F187" t="str">
            <v>Besi L. 50 x 50 x 55 mm @ 3 Mtr Galv.</v>
          </cell>
        </row>
        <row r="188">
          <cell r="F188" t="str">
            <v>Besi siku 50x50x5 mm</v>
          </cell>
        </row>
        <row r="189">
          <cell r="F189" t="str">
            <v>BESI SIKU 50x50x5 mm @ 2.4 mtr</v>
          </cell>
        </row>
        <row r="190">
          <cell r="F190" t="str">
            <v>BESI SIKU 50X50X50 MM2 @ 3 MTR</v>
          </cell>
        </row>
        <row r="191">
          <cell r="F191" t="str">
            <v>BESI SIKU 50X50X5X3000 MM</v>
          </cell>
        </row>
        <row r="192">
          <cell r="F192" t="str">
            <v>Besi UNP 12" @ 2 Meter</v>
          </cell>
        </row>
        <row r="193">
          <cell r="F193" t="str">
            <v>Besi UNP 6" @ 0,50 Meter</v>
          </cell>
        </row>
        <row r="194">
          <cell r="F194" t="str">
            <v>Besi UNP Uk. 6x70 cm</v>
          </cell>
        </row>
        <row r="195">
          <cell r="F195" t="str">
            <v>BEUGLE D.4"</v>
          </cell>
        </row>
        <row r="196">
          <cell r="F196" t="str">
            <v>Beuten u/Beton Platen</v>
          </cell>
        </row>
        <row r="197">
          <cell r="F197" t="str">
            <v>Bit Pole 9/16 (Mata Bor)</v>
          </cell>
        </row>
        <row r="198">
          <cell r="F198" t="str">
            <v>BOLT CARRIAGE</v>
          </cell>
        </row>
        <row r="199">
          <cell r="F199" t="str">
            <v>Bolt Carriage 3/8 x 4 1/2 "</v>
          </cell>
        </row>
        <row r="200">
          <cell r="F200" t="str">
            <v>Bolt Carriage 3/8 x 4,50".</v>
          </cell>
        </row>
        <row r="201">
          <cell r="F201" t="str">
            <v>Bolt Chariage 3/8 x 4 1/2 "</v>
          </cell>
        </row>
        <row r="202">
          <cell r="F202" t="str">
            <v>Bolt Double Arming 5/8 x 16"</v>
          </cell>
        </row>
        <row r="203">
          <cell r="F203" t="str">
            <v>Bolt Double Arming 5/8 x 18"</v>
          </cell>
        </row>
        <row r="204">
          <cell r="F204" t="str">
            <v>BOLT DOUBLE ARMING 5/8 X 14"</v>
          </cell>
        </row>
        <row r="205">
          <cell r="F205" t="str">
            <v>Bolt Double Arming 5/8 x 6 "</v>
          </cell>
        </row>
        <row r="206">
          <cell r="F206" t="str">
            <v>BOLT DOUBLE ARMING 5/8X12"</v>
          </cell>
        </row>
        <row r="207">
          <cell r="F207" t="str">
            <v>Bolt Machin 3/4x2</v>
          </cell>
        </row>
        <row r="208">
          <cell r="F208" t="str">
            <v>Bolt Machine 0,5 x 1</v>
          </cell>
        </row>
        <row r="209">
          <cell r="F209" t="str">
            <v>BOLT MACHINE 1/2 x 2"</v>
          </cell>
        </row>
        <row r="210">
          <cell r="F210" t="str">
            <v>BOLT MACHINE 1/2 x 3"</v>
          </cell>
        </row>
        <row r="211">
          <cell r="F211" t="str">
            <v>BOLT MACHINE 1/2 x 8"</v>
          </cell>
        </row>
        <row r="212">
          <cell r="F212" t="str">
            <v>BOLT MACHINE 1/2 X 9"</v>
          </cell>
        </row>
        <row r="213">
          <cell r="F213" t="str">
            <v>BOLT MACHINE 1/2x10"</v>
          </cell>
        </row>
        <row r="214">
          <cell r="F214" t="str">
            <v>Bolt Machine 5/8 x 12"</v>
          </cell>
        </row>
        <row r="215">
          <cell r="F215" t="str">
            <v>Bolt Machine 5/8 x 14"</v>
          </cell>
        </row>
        <row r="216">
          <cell r="F216" t="str">
            <v>Bolt Machine 5/8 X 6" Galvanis</v>
          </cell>
        </row>
        <row r="217">
          <cell r="F217" t="str">
            <v>BOLT MACHINE 5/8 X 7"</v>
          </cell>
        </row>
        <row r="218">
          <cell r="F218" t="str">
            <v>Bolt Machine 5/8 x 8"</v>
          </cell>
        </row>
        <row r="219">
          <cell r="F219" t="str">
            <v>Bolt machine 5/8x1 7/8" (Mour baut)</v>
          </cell>
        </row>
        <row r="220">
          <cell r="F220" t="str">
            <v>BOLT MACHINE 5/8X10" GALVANIS</v>
          </cell>
        </row>
        <row r="221">
          <cell r="F221" t="str">
            <v>BOLT MACHINE 5/8x9"</v>
          </cell>
        </row>
        <row r="222">
          <cell r="F222" t="str">
            <v>Bolt Socket</v>
          </cell>
        </row>
        <row r="223">
          <cell r="F223" t="str">
            <v>Bout Seng 3/16 x 1".</v>
          </cell>
        </row>
        <row r="224">
          <cell r="F224" t="str">
            <v>Bout Stainless 17 mm P=1" + Ring&amp;Mour.</v>
          </cell>
        </row>
        <row r="225">
          <cell r="F225" t="str">
            <v>Box APP Khusus type 1 A lengkap wering</v>
          </cell>
        </row>
        <row r="226">
          <cell r="F226" t="str">
            <v>BOX APAR 80X80X200 CM</v>
          </cell>
        </row>
        <row r="227">
          <cell r="F227" t="str">
            <v>BOX APP 70X50X35 CMP</v>
          </cell>
        </row>
        <row r="228">
          <cell r="F228" t="str">
            <v>Box APP Khusus lengkap wiring + MCB 3 x 50 Amp</v>
          </cell>
        </row>
        <row r="229">
          <cell r="F229" t="str">
            <v>Box APP Khusus TM Lengkap + wering</v>
          </cell>
        </row>
        <row r="230">
          <cell r="F230" t="str">
            <v>BOX APP KHUSUS TPYE IIF</v>
          </cell>
        </row>
        <row r="231">
          <cell r="F231" t="str">
            <v>BOX APP KHUSUS TYPE 1 A + MCCB 225 A</v>
          </cell>
        </row>
        <row r="232">
          <cell r="F232" t="str">
            <v>box app khusus type 1 a 1</v>
          </cell>
        </row>
        <row r="233">
          <cell r="F233" t="str">
            <v>BOX APP KHUSUS TYPE 1 A LENGKAP+MCCB 250 A</v>
          </cell>
        </row>
        <row r="234">
          <cell r="F234" t="str">
            <v>BOX APP KHUSUS TYPE 1 B 6 LENGKAP</v>
          </cell>
        </row>
        <row r="235">
          <cell r="F235" t="str">
            <v>Box APP Khusus Type 1A MCCB 80 A + CT TR 100 A</v>
          </cell>
        </row>
        <row r="236">
          <cell r="F236" t="str">
            <v>Box APP Khusus Type 1A MCCB 100 A + CT TR 100 A</v>
          </cell>
        </row>
        <row r="237">
          <cell r="F237" t="str">
            <v>Box APP Khusus Type 1A MCCB 125 A + CT TR 150 A</v>
          </cell>
        </row>
        <row r="238">
          <cell r="F238" t="str">
            <v>Box APP Khusus Type 1A MCCB 160 A + CT TR 200 A</v>
          </cell>
        </row>
        <row r="239">
          <cell r="F239" t="str">
            <v>Box APP Khusus Type 1A MCCB 200 A + CT TR 200 A</v>
          </cell>
        </row>
        <row r="240">
          <cell r="F240" t="str">
            <v>Box APP Khusus Type 1A MCCB 225 A + CT TR 250 A</v>
          </cell>
        </row>
        <row r="241">
          <cell r="F241" t="str">
            <v>Box APP Khusus Type 1A MCCB 250 A + CT TR 250 A</v>
          </cell>
        </row>
        <row r="242">
          <cell r="F242" t="str">
            <v>Box APP Khusus Type 1A MCCB 300 A + CT TR 300 A</v>
          </cell>
        </row>
        <row r="243">
          <cell r="F243" t="str">
            <v>Box APP Khusus Type AMR</v>
          </cell>
        </row>
        <row r="244">
          <cell r="F244" t="str">
            <v>BOX APP KHUSUS TYPE IA LENGKAP WIRING MCB 63 A U/KWH ME</v>
          </cell>
        </row>
        <row r="245">
          <cell r="F245" t="str">
            <v>BOX APP KHUSUS TYPE IA LENGKAP WIRING U/KWH ME (PENGUKURAN LANGSUNG)</v>
          </cell>
        </row>
        <row r="246">
          <cell r="F246" t="str">
            <v>BOX APP KHUSUS TYPE IA LENGKAP WIRING U/KWH ME (PENGUKURAN TIDAK LANGSUNG)</v>
          </cell>
        </row>
        <row r="247">
          <cell r="F247" t="str">
            <v>BOX APP KHUSUS TYPE II F LENGKAP</v>
          </cell>
        </row>
        <row r="248">
          <cell r="F248" t="str">
            <v>Box APP KWH Type I BVI DT Semi Elektronik</v>
          </cell>
        </row>
        <row r="249">
          <cell r="F249" t="str">
            <v>BOX APP MCCB 100A</v>
          </cell>
        </row>
        <row r="250">
          <cell r="F250" t="str">
            <v>BOX APP MCCB 125 A</v>
          </cell>
        </row>
        <row r="251">
          <cell r="F251" t="str">
            <v>BOX APP MCCB 63 A</v>
          </cell>
        </row>
        <row r="252">
          <cell r="F252" t="str">
            <v>BOX APP MCCB 80 A</v>
          </cell>
        </row>
        <row r="253">
          <cell r="F253" t="str">
            <v>BOX APP METER ELEKTRONIK (PELANGGAN TM)</v>
          </cell>
        </row>
        <row r="254">
          <cell r="F254" t="str">
            <v>BOX APP MTR ELECTONIK</v>
          </cell>
        </row>
        <row r="255">
          <cell r="F255" t="str">
            <v>Box APP Terpusat untuk 9 KWH Meter</v>
          </cell>
        </row>
        <row r="256">
          <cell r="F256" t="str">
            <v>Box APP Type I BVI + Wiring</v>
          </cell>
        </row>
        <row r="257">
          <cell r="F257" t="str">
            <v>BOX APP TYPE IIF + ACESSORIES</v>
          </cell>
        </row>
        <row r="258">
          <cell r="F258" t="str">
            <v>BOX APP U 4 KWH MTR 1 PHS</v>
          </cell>
        </row>
        <row r="259">
          <cell r="F259" t="str">
            <v>Box KWH Meter 3 Phasa</v>
          </cell>
        </row>
        <row r="260">
          <cell r="F260" t="str">
            <v>Box Kwh Meter 50 x30 x 100 Cm</v>
          </cell>
        </row>
        <row r="261">
          <cell r="F261" t="str">
            <v>BOX KWH METER TERPADU U/ 6 PELANGGAN</v>
          </cell>
        </row>
        <row r="262">
          <cell r="F262" t="str">
            <v>BOX KWH MTR ELEKTRONIK</v>
          </cell>
        </row>
        <row r="263">
          <cell r="F263" t="str">
            <v>Box KWH Terpadu Untuk 6 Pelanggan</v>
          </cell>
        </row>
        <row r="264">
          <cell r="F264" t="str">
            <v>BOX MCB 1 PHS</v>
          </cell>
        </row>
        <row r="265">
          <cell r="F265" t="str">
            <v>BOX MCCB 160 A</v>
          </cell>
        </row>
        <row r="266">
          <cell r="F266" t="str">
            <v>BOX MODEM UKURAN 13X22X9 CM</v>
          </cell>
        </row>
        <row r="267">
          <cell r="F267" t="str">
            <v>Box pengaman segel type B</v>
          </cell>
        </row>
        <row r="268">
          <cell r="F268" t="str">
            <v>Box pengaman segel type C</v>
          </cell>
        </row>
        <row r="269">
          <cell r="F269" t="str">
            <v>Brace Arm Wood 28"</v>
          </cell>
        </row>
        <row r="270">
          <cell r="F270" t="str">
            <v>Brace Side Arm @ 7"</v>
          </cell>
        </row>
        <row r="271">
          <cell r="F271" t="str">
            <v>BRACE SIDE ARM 70"</v>
          </cell>
        </row>
        <row r="272">
          <cell r="F272" t="str">
            <v>BRACE SIDE ARM STEEL 70"</v>
          </cell>
        </row>
        <row r="273">
          <cell r="F273" t="str">
            <v>BRACE SIKU 28"</v>
          </cell>
        </row>
        <row r="274">
          <cell r="F274" t="str">
            <v>BRACE STEEL 28-30"</v>
          </cell>
        </row>
        <row r="275">
          <cell r="F275" t="str">
            <v>BREACE SIDE ARM 60"</v>
          </cell>
        </row>
        <row r="276">
          <cell r="F276" t="str">
            <v>BUNDLE AND PROTECTION SET</v>
          </cell>
        </row>
        <row r="277">
          <cell r="F277" t="str">
            <v>Bundle Cond Conn 35-70/35-70 mm</v>
          </cell>
        </row>
        <row r="278">
          <cell r="F278" t="str">
            <v>Bundle Cond Conn 6/25-6/25 mm2</v>
          </cell>
        </row>
        <row r="279">
          <cell r="F279" t="str">
            <v>Bundle Cond Conn 6-25/35-70 mm</v>
          </cell>
        </row>
        <row r="280">
          <cell r="F280" t="str">
            <v>BUNDLE PROTECTION PVC</v>
          </cell>
        </row>
        <row r="281">
          <cell r="F281" t="str">
            <v>C O O - 1 T 1</v>
          </cell>
        </row>
        <row r="282">
          <cell r="F282" t="str">
            <v>Cable NA2XSEFGBY 3 x 240 mm 20 KV</v>
          </cell>
        </row>
        <row r="283">
          <cell r="F283" t="str">
            <v>CABLE PWR ACC;CABLE SHOE CU 150mm2</v>
          </cell>
        </row>
        <row r="284">
          <cell r="F284" t="str">
            <v>CABLE PWR ACC;CABLE SHOE CU ID 2H 150mm2</v>
          </cell>
        </row>
        <row r="285">
          <cell r="F285" t="str">
            <v>CABLE PWR ACC;CABLE SHOE CU OD 1H 185mm2</v>
          </cell>
        </row>
        <row r="286">
          <cell r="F286" t="str">
            <v>CABLE PWR ACC;CABLE SHOE CU OD 1H 50mm2</v>
          </cell>
        </row>
        <row r="287">
          <cell r="F287" t="str">
            <v>CABLE PWR ACC;CABLE SHOE CU OD 2H 300mm2</v>
          </cell>
        </row>
        <row r="288">
          <cell r="F288" t="str">
            <v>CABLE PWR ACC;SERVICE DEAD &amp; FITTING</v>
          </cell>
        </row>
        <row r="289">
          <cell r="F289" t="str">
            <v>CABLE PWR;NFA2X;2X10mm2;0.6/1kV;OH</v>
          </cell>
        </row>
        <row r="290">
          <cell r="F290" t="str">
            <v>CABLE PWR;NFA2X;2X16mm2;0.6/1kV;OH</v>
          </cell>
        </row>
        <row r="291">
          <cell r="F291" t="str">
            <v>CABLE PWR;NFA2X;4X16mm2;0.6/1kV;OH</v>
          </cell>
        </row>
        <row r="292">
          <cell r="F292" t="str">
            <v>CABLE PWR;NFA2X-T;3X35+1X25;0.6/1kV;OH</v>
          </cell>
        </row>
        <row r="293">
          <cell r="F293" t="str">
            <v>CABLE PWR;NFA2X-T;3X50+1X35;0.6/1kV;OH</v>
          </cell>
        </row>
        <row r="294">
          <cell r="F294" t="str">
            <v>CABLE PWR;NFA2X-T;3X70+1X50;0.6/1kV;OH</v>
          </cell>
        </row>
        <row r="295">
          <cell r="F295" t="str">
            <v>CABLE PWR;NYAF;1X10mm2;0.6/1kV;OH</v>
          </cell>
        </row>
        <row r="296">
          <cell r="F296" t="str">
            <v>CABLE PWR;NYAF;1X16mm2;0.6/1kV;OH</v>
          </cell>
        </row>
        <row r="297">
          <cell r="F297" t="str">
            <v>CABLE PWR;NYY;4X120mm2;0.6/1kV;OH</v>
          </cell>
        </row>
        <row r="298">
          <cell r="F298" t="str">
            <v>CABLE PWR;NYY;4X150mm2;0.6/1kV;OH</v>
          </cell>
        </row>
        <row r="299">
          <cell r="F299" t="str">
            <v>CABLE PWR;NYY;4X50mm2;0.6/1kV;OH</v>
          </cell>
        </row>
        <row r="300">
          <cell r="F300" t="str">
            <v>CABLE PWR;NYY;4x95mm2;230/380V;OH</v>
          </cell>
        </row>
        <row r="301">
          <cell r="F301" t="str">
            <v>Cable Shoes (SKAT 10) I Lubang</v>
          </cell>
        </row>
        <row r="302">
          <cell r="F302" t="str">
            <v>Cable Shoes 95 mm (SKAT 6) 1 Lubang</v>
          </cell>
        </row>
        <row r="303">
          <cell r="F303" t="str">
            <v>Cable Shoes SKT 3 ID</v>
          </cell>
        </row>
        <row r="304">
          <cell r="F304" t="str">
            <v>CABLE SUPORT B6</v>
          </cell>
        </row>
        <row r="305">
          <cell r="F305" t="str">
            <v>Cable TM 20 kV XLPE AL 3x35 mm2</v>
          </cell>
        </row>
        <row r="306">
          <cell r="F306" t="str">
            <v>CAMP CONNECTOR ALL (CCO 1T1)</v>
          </cell>
        </row>
        <row r="307">
          <cell r="F307" t="str">
            <v>CAPASITAS TRIPING</v>
          </cell>
        </row>
        <row r="308">
          <cell r="F308" t="str">
            <v>Capasitor Tripping Device.</v>
          </cell>
        </row>
        <row r="309">
          <cell r="F309" t="str">
            <v>CASTROL SEAMAX SUPER PLUS 15 W/40</v>
          </cell>
        </row>
        <row r="310">
          <cell r="F310" t="str">
            <v>Cavasitive triping divici</v>
          </cell>
        </row>
        <row r="311">
          <cell r="F311" t="str">
            <v>CCO 1T1 + IS (10/16-10/16 SQMM)</v>
          </cell>
        </row>
        <row r="312">
          <cell r="F312" t="str">
            <v>CCO 3T1 + HS (16/35-10/16 SQMM)</v>
          </cell>
        </row>
        <row r="313">
          <cell r="F313" t="str">
            <v>CCO 5T1 + HS (35/70-10/16 SQMM)</v>
          </cell>
        </row>
        <row r="314">
          <cell r="F314" t="str">
            <v>CCO 8T8 H. TYPE CONNECTOR</v>
          </cell>
        </row>
        <row r="315">
          <cell r="F315" t="str">
            <v>CCO TYPE 70-70 MM</v>
          </cell>
        </row>
        <row r="316">
          <cell r="F316" t="str">
            <v>CCO TYPE CONN 150-240/150-240 MM</v>
          </cell>
        </row>
        <row r="317">
          <cell r="F317" t="str">
            <v>CCOA 150-150 MM2</v>
          </cell>
        </row>
        <row r="318">
          <cell r="F318" t="str">
            <v>CCOA 150-240 MM2</v>
          </cell>
        </row>
        <row r="319">
          <cell r="F319" t="str">
            <v>CCOA 16-16 MM2</v>
          </cell>
        </row>
        <row r="320">
          <cell r="F320" t="str">
            <v>CCOA 16-35 MM2</v>
          </cell>
        </row>
        <row r="321">
          <cell r="F321" t="str">
            <v>CCOA 16-70 MM2</v>
          </cell>
        </row>
        <row r="322">
          <cell r="F322" t="str">
            <v>CCOA 35-35 MM2+SCOOTH</v>
          </cell>
        </row>
        <row r="323">
          <cell r="F323" t="str">
            <v>CCOA 35-70 MM2+SCOOTH</v>
          </cell>
        </row>
        <row r="324">
          <cell r="F324" t="str">
            <v>CCOA 70-150 MM2</v>
          </cell>
        </row>
        <row r="325">
          <cell r="F325" t="str">
            <v>Centre Bracket for Insulator 6,6 KV</v>
          </cell>
        </row>
        <row r="326">
          <cell r="F326" t="str">
            <v>CENTRE BREAKET</v>
          </cell>
        </row>
        <row r="327">
          <cell r="F327" t="str">
            <v>Chesterton (kosong akibat menguap)</v>
          </cell>
        </row>
        <row r="328">
          <cell r="F328" t="str">
            <v>Clamp Anchor Bonding</v>
          </cell>
        </row>
        <row r="329">
          <cell r="F329" t="str">
            <v>Clamp Hose 2 Phs</v>
          </cell>
        </row>
        <row r="330">
          <cell r="F330" t="str">
            <v>Clamping Plat</v>
          </cell>
        </row>
        <row r="331">
          <cell r="F331" t="str">
            <v>Clean Coat</v>
          </cell>
        </row>
        <row r="332">
          <cell r="F332" t="str">
            <v>Clevis scundary</v>
          </cell>
        </row>
        <row r="333">
          <cell r="F333" t="str">
            <v>COIL LITE</v>
          </cell>
        </row>
        <row r="334">
          <cell r="F334" t="str">
            <v>Com non tension joint 50/95 mm2 AL/CU SAT-4 T 6</v>
          </cell>
        </row>
        <row r="335">
          <cell r="F335" t="str">
            <v>Com non tension joint AL ( SAA 8 T O )</v>
          </cell>
        </row>
        <row r="336">
          <cell r="F336" t="str">
            <v>Com connector CU U/Grounding CCT 4 T 4</v>
          </cell>
        </row>
        <row r="337">
          <cell r="F337" t="str">
            <v>Com joint bimetal AL 120 mm2 (SAA-7T7)</v>
          </cell>
        </row>
        <row r="338">
          <cell r="F338" t="str">
            <v>Com joint bimetal AL 35 mm2 (SAA-3T3)</v>
          </cell>
        </row>
        <row r="339">
          <cell r="F339" t="str">
            <v>Com joint bimetal AL 50 mm2 (SAA-4T4)</v>
          </cell>
        </row>
        <row r="340">
          <cell r="F340" t="str">
            <v>Com joint bimetal AL 95 mm2 (SAA-6T6)</v>
          </cell>
        </row>
        <row r="341">
          <cell r="F341" t="str">
            <v>Com non tension joint AL 10-16/10-16 mm2 SAA-1T1</v>
          </cell>
        </row>
        <row r="342">
          <cell r="F342" t="str">
            <v>Comp cable schoen Bimetal 50 mm SKTA-4</v>
          </cell>
        </row>
        <row r="343">
          <cell r="F343" t="str">
            <v>Comp cable shoes bimetal 35 mm AL/CU SKAT-3</v>
          </cell>
        </row>
        <row r="344">
          <cell r="F344" t="str">
            <v>Comp cable shoes bimetal 70 mm AL/CU SKAT-5</v>
          </cell>
        </row>
        <row r="345">
          <cell r="F345" t="str">
            <v>Comp Cable Shoes Copper Size 70 (setara HEC/Hubbel)</v>
          </cell>
        </row>
        <row r="346">
          <cell r="F346" t="str">
            <v>COMP CON TYPE 50-35 MM (CCO 5T3)</v>
          </cell>
        </row>
        <row r="347">
          <cell r="F347" t="str">
            <v>Comp Connector 70-150/70-150 mm2 AL CCO 8T8</v>
          </cell>
        </row>
        <row r="348">
          <cell r="F348" t="str">
            <v>COMP CONNECTOR ALL (CCO 3T3)</v>
          </cell>
        </row>
        <row r="349">
          <cell r="F349" t="str">
            <v>COMP CONNECTOR ALL (CCO 3TI)</v>
          </cell>
        </row>
        <row r="350">
          <cell r="F350" t="str">
            <v>COMP JOINT BIMETAL AL/CU ( SAT 1T1 )</v>
          </cell>
        </row>
        <row r="351">
          <cell r="F351" t="str">
            <v>Comp Joint Bimetal AL/CU 35 mm2 (SAT 3T3)</v>
          </cell>
        </row>
        <row r="352">
          <cell r="F352" t="str">
            <v>Comp Joint Bimetal AL/CU 70 mm2 (SAT 5T5)</v>
          </cell>
        </row>
        <row r="353">
          <cell r="F353" t="str">
            <v>Comp Joint Bimetal AL/CU Size 70/50 SAT (Setara HEC/Hubbel)</v>
          </cell>
        </row>
        <row r="354">
          <cell r="F354" t="str">
            <v>Comp Joint Bimetal Al/Cu Size 70/95 mm (setara HEC/Hubbel)</v>
          </cell>
        </row>
        <row r="355">
          <cell r="F355" t="str">
            <v>COMP JOINT BIMETAL AL-CU (SAT 3T5)</v>
          </cell>
        </row>
        <row r="356">
          <cell r="F356" t="str">
            <v>COMP JOINT INSULATED BIMETAL AL-CU 35-95 MM2 SKIAT 3T6</v>
          </cell>
        </row>
        <row r="357">
          <cell r="F357" t="str">
            <v>COMP JOINT INSULATED BIMETAL AL-CU 50-95 MM2 SKIAT 4T6</v>
          </cell>
        </row>
        <row r="358">
          <cell r="F358" t="str">
            <v>COMP JOINT INSULATED BIMETAL AL-CU 70-95 MM2 SKIAT 5T6</v>
          </cell>
        </row>
        <row r="359">
          <cell r="F359" t="str">
            <v>Comp Joint Pin Bimetal 10 - 16/6 - 10 mm AL/CU</v>
          </cell>
        </row>
        <row r="360">
          <cell r="F360" t="str">
            <v>Comp non tension joint 50/50 mm2 AL/CU SAT 4T4</v>
          </cell>
        </row>
        <row r="361">
          <cell r="F361" t="str">
            <v>COMP NON TENSION JOINT AL ( SAA 5T3 )</v>
          </cell>
        </row>
        <row r="362">
          <cell r="F362" t="str">
            <v>COMP NON TENSION JOINT ALL ( SAA 1T1)</v>
          </cell>
        </row>
        <row r="363">
          <cell r="F363" t="str">
            <v>COMP NON TENSION JOINT CU ( STT 1T1 )</v>
          </cell>
        </row>
        <row r="364">
          <cell r="F364" t="str">
            <v>Comp. Cable Shoes (SKAT 10) 2 Lubang</v>
          </cell>
        </row>
        <row r="365">
          <cell r="F365" t="str">
            <v>Comp. Cable Shoes (SKAT 11) 2 Lubang</v>
          </cell>
        </row>
        <row r="366">
          <cell r="F366" t="str">
            <v>Comp. Cable Shoes AL/CU 300 mm SKAT 11</v>
          </cell>
        </row>
        <row r="367">
          <cell r="F367" t="str">
            <v>Comp. Con. All Jumper (CCO) 10 T 8</v>
          </cell>
        </row>
        <row r="368">
          <cell r="F368" t="str">
            <v>Comp. Conn Bimetal AL/CU SAT 4T8</v>
          </cell>
        </row>
        <row r="369">
          <cell r="F369" t="str">
            <v>Comp. Connec. (CCO) 11 T 11</v>
          </cell>
        </row>
        <row r="370">
          <cell r="F370" t="str">
            <v>Comp. Connec. (CCO) 5 T 8</v>
          </cell>
        </row>
        <row r="371">
          <cell r="F371" t="str">
            <v>Comp. Connec. (CCO) 8 T 10</v>
          </cell>
        </row>
        <row r="372">
          <cell r="F372" t="str">
            <v>Comp. Joint Bimetal AI/CU (SAT 3 T 4)</v>
          </cell>
        </row>
        <row r="373">
          <cell r="F373" t="str">
            <v>Comp. Joint Pin AL/CU Bimetal (SPAT 5T2)</v>
          </cell>
        </row>
        <row r="374">
          <cell r="F374" t="str">
            <v>Comp. Non Tension Joint AL (SAA 4T3)</v>
          </cell>
        </row>
        <row r="375">
          <cell r="F375" t="str">
            <v>Comp. Non Tension Joint AL (SAA 5T4)</v>
          </cell>
        </row>
        <row r="376">
          <cell r="F376" t="str">
            <v>Comp. TJ 240 mm (SPAA 10)</v>
          </cell>
        </row>
        <row r="377">
          <cell r="F377" t="str">
            <v>Comp.Con.Alu.For Jumper (CCO 3T5)</v>
          </cell>
        </row>
        <row r="378">
          <cell r="F378" t="str">
            <v>COMP.JOINT AL/CU 16-16</v>
          </cell>
        </row>
        <row r="379">
          <cell r="F379" t="str">
            <v>COMP.JOINT AL/CU 16-25 MM2</v>
          </cell>
        </row>
        <row r="380">
          <cell r="F380" t="str">
            <v>COMP.JOINT AL/CU 4/6-10/16 MM2</v>
          </cell>
        </row>
        <row r="381">
          <cell r="F381" t="str">
            <v>Comp.Joint AL/CU 50-50mm² H</v>
          </cell>
        </row>
        <row r="382">
          <cell r="F382" t="str">
            <v>Comp.Joint Bimetal AL/CU (SAT 4T6)</v>
          </cell>
        </row>
        <row r="383">
          <cell r="F383" t="str">
            <v>Comp.Non Tention Joint Coper (STT 0T0)</v>
          </cell>
        </row>
        <row r="384">
          <cell r="F384" t="str">
            <v>Comp.Tension Joint Alumunium 185mm (SPAA.5)</v>
          </cell>
        </row>
        <row r="385">
          <cell r="F385" t="str">
            <v>Compresion joint with AAAC 150 mm</v>
          </cell>
        </row>
        <row r="386">
          <cell r="F386" t="str">
            <v>Compression cable shoes/lug 150 mm2 Bimetal</v>
          </cell>
        </row>
        <row r="387">
          <cell r="F387" t="str">
            <v>Compression cable shoes/lug 70 mm2 Bimetal</v>
          </cell>
        </row>
        <row r="388">
          <cell r="F388" t="str">
            <v>Compretion Conector Alv For Jumper (CCO 5T)</v>
          </cell>
        </row>
        <row r="389">
          <cell r="F389" t="str">
            <v>CONCENTRIS CABLE ROUND 10 MM</v>
          </cell>
        </row>
        <row r="390">
          <cell r="F390" t="str">
            <v>Concentris T clemp 10 mm</v>
          </cell>
        </row>
        <row r="391">
          <cell r="F391" t="str">
            <v>CONCREATE BLOK 15 X 15 "</v>
          </cell>
        </row>
        <row r="392">
          <cell r="F392" t="str">
            <v>CONCRETE BLOK</v>
          </cell>
        </row>
        <row r="393">
          <cell r="F393" t="str">
            <v>CONCRETE BLOK 40X40X15 CM</v>
          </cell>
        </row>
        <row r="394">
          <cell r="F394" t="str">
            <v>COND ACC;DEAD END ASSEMBLY</v>
          </cell>
        </row>
        <row r="395">
          <cell r="F395" t="str">
            <v>COND ACC;SUSPENSION /SMALL ANGLE ASS</v>
          </cell>
        </row>
        <row r="396">
          <cell r="F396" t="str">
            <v>COND ACC;TIE WIRE 6 AWG</v>
          </cell>
        </row>
        <row r="397">
          <cell r="F397" t="str">
            <v>CONN ALL FOR JUMPER CCO 3T3 + IS SCOTH</v>
          </cell>
        </row>
        <row r="398">
          <cell r="F398" t="str">
            <v>CONN;20kV;H;AL/AL;70-70mm2;PRSISO;</v>
          </cell>
        </row>
        <row r="399">
          <cell r="F399" t="str">
            <v>Connecting Klem For 256</v>
          </cell>
        </row>
        <row r="400">
          <cell r="F400" t="str">
            <v>CONNECTOR ALL FOR JUMPER CCO 5T3 + ISOLASI SCOTH</v>
          </cell>
        </row>
        <row r="401">
          <cell r="F401" t="str">
            <v>Connector comperesion 4-8V</v>
          </cell>
        </row>
        <row r="402">
          <cell r="F402" t="str">
            <v>Connector Size 240-240 sqmm, length = 125 mm ( SAA 10T10 )</v>
          </cell>
        </row>
        <row r="403">
          <cell r="F403" t="str">
            <v>Connector Size 70-70 sqmm ( CCO 5 T 5 )</v>
          </cell>
        </row>
        <row r="404">
          <cell r="F404" t="str">
            <v>CONSENTRIS TERMINAL CLAMP 10 MM</v>
          </cell>
        </row>
        <row r="405">
          <cell r="F405" t="str">
            <v>Consentris Verb Clemp 10 mm</v>
          </cell>
        </row>
        <row r="406">
          <cell r="F406" t="str">
            <v>Contactor 35 amp</v>
          </cell>
        </row>
        <row r="407">
          <cell r="F407" t="str">
            <v>CRAMIC CUP</v>
          </cell>
        </row>
        <row r="408">
          <cell r="F408" t="str">
            <v>CRIMPING PLIER</v>
          </cell>
        </row>
        <row r="409">
          <cell r="F409" t="str">
            <v>CROS ARM 100 UNP100X50X6X3000mm GALV</v>
          </cell>
        </row>
        <row r="410">
          <cell r="F410" t="str">
            <v>CROS ARM UNP 100X50X6X2000mm GALV</v>
          </cell>
        </row>
        <row r="411">
          <cell r="F411" t="str">
            <v>Cross arm stell 1.500 Mtr Type - A</v>
          </cell>
        </row>
        <row r="412">
          <cell r="F412" t="str">
            <v>Cross Arm Steel 10 x 2000 mm Hotdip</v>
          </cell>
        </row>
        <row r="413">
          <cell r="F413" t="str">
            <v>Cross Arm Steel 100x50x2400 mm2 Hotdip</v>
          </cell>
        </row>
        <row r="414">
          <cell r="F414" t="str">
            <v>CROSS ARM STEEL 100x50x6x3000 mm Hotdip</v>
          </cell>
        </row>
        <row r="415">
          <cell r="F415" t="str">
            <v>CROSS ARM STEEL UNP 10x50X3,7x2400 MM2 HOT DEEP GALV</v>
          </cell>
        </row>
        <row r="416">
          <cell r="F416" t="str">
            <v>Crumic Cup</v>
          </cell>
        </row>
        <row r="417">
          <cell r="F417" t="str">
            <v>CT 10/5 A 20 KV OD</v>
          </cell>
        </row>
        <row r="418">
          <cell r="F418" t="str">
            <v>CT 2 x 15/5 A 24 KV OD Class 0,5</v>
          </cell>
        </row>
        <row r="419">
          <cell r="F419" t="str">
            <v>CT 25/5 A 20 KV OD.</v>
          </cell>
        </row>
        <row r="420">
          <cell r="F420" t="str">
            <v>CT 100/5 A</v>
          </cell>
        </row>
        <row r="421">
          <cell r="F421" t="str">
            <v>CT 100/5 A 20 KV ID</v>
          </cell>
        </row>
        <row r="422">
          <cell r="F422" t="str">
            <v>CT 100/5 AMP 20 KV ID</v>
          </cell>
        </row>
        <row r="423">
          <cell r="F423" t="str">
            <v>CT 10-20/5 A 20 KV ID</v>
          </cell>
        </row>
        <row r="424">
          <cell r="F424" t="str">
            <v>CT 15/5-5A 20 KV ID</v>
          </cell>
        </row>
        <row r="425">
          <cell r="F425" t="str">
            <v>CT 150/5 A</v>
          </cell>
        </row>
        <row r="426">
          <cell r="F426" t="str">
            <v>CT 150/5A 20 KV ID</v>
          </cell>
        </row>
        <row r="427">
          <cell r="F427" t="str">
            <v>CT 20/5 A 20 KV ID</v>
          </cell>
        </row>
        <row r="428">
          <cell r="F428" t="str">
            <v>CT 20/5 A 20 KV OD</v>
          </cell>
        </row>
        <row r="429">
          <cell r="F429" t="str">
            <v>CT 200/5 A</v>
          </cell>
        </row>
        <row r="430">
          <cell r="F430" t="str">
            <v>CT 200/5A OD</v>
          </cell>
        </row>
        <row r="431">
          <cell r="F431" t="str">
            <v>CT 200-400/5 AMP 20 KV OD</v>
          </cell>
        </row>
        <row r="432">
          <cell r="F432" t="str">
            <v>CT 25/5-5 A 20 KV ID</v>
          </cell>
        </row>
        <row r="433">
          <cell r="F433" t="str">
            <v>CT 250/5 A</v>
          </cell>
        </row>
        <row r="434">
          <cell r="F434" t="str">
            <v>CT 250/5 A</v>
          </cell>
        </row>
        <row r="435">
          <cell r="F435" t="str">
            <v>CT 300/5 A OD</v>
          </cell>
        </row>
        <row r="436">
          <cell r="F436" t="str">
            <v>CT 300/5 AMP U/TR 220 V.</v>
          </cell>
        </row>
        <row r="437">
          <cell r="F437" t="str">
            <v>CT 40/5-5 A 20 KV ID</v>
          </cell>
        </row>
        <row r="438">
          <cell r="F438" t="str">
            <v>CT 75/5-5A 20 KV ID</v>
          </cell>
        </row>
        <row r="439">
          <cell r="F439" t="str">
            <v>CT TR 400/5 A</v>
          </cell>
        </row>
        <row r="440">
          <cell r="F440" t="str">
            <v>CT. 100/5 A 220/380 A TR</v>
          </cell>
        </row>
        <row r="441">
          <cell r="F441" t="str">
            <v>CT. 150/5 A 220/380 A TR</v>
          </cell>
        </row>
        <row r="442">
          <cell r="F442" t="str">
            <v>CT. 250/5 A 220/380 A TR</v>
          </cell>
        </row>
        <row r="443">
          <cell r="F443" t="str">
            <v>CUBICLE TYPE CM</v>
          </cell>
        </row>
        <row r="444">
          <cell r="F444" t="str">
            <v>CUBICLE TYPE DM-1W</v>
          </cell>
        </row>
        <row r="445">
          <cell r="F445" t="str">
            <v>CUBICLE TYPE IM</v>
          </cell>
        </row>
        <row r="446">
          <cell r="F446" t="str">
            <v>Cubicle Type In Coming Rated Voltage 24 Kv</v>
          </cell>
        </row>
        <row r="447">
          <cell r="F447" t="str">
            <v>Cubicle Type Metering Rated Voltage 24 Kv</v>
          </cell>
        </row>
        <row r="448">
          <cell r="F448" t="str">
            <v>Cubicle Type Out Going Rated Voltage 24 Kv</v>
          </cell>
        </row>
        <row r="449">
          <cell r="F449" t="str">
            <v>Curigated pipe 22</v>
          </cell>
        </row>
        <row r="450">
          <cell r="F450" t="str">
            <v>Curren trafo SC 10-7,2 KV</v>
          </cell>
        </row>
        <row r="451">
          <cell r="F451" t="str">
            <v>Current trafo 600/5 Amp. T.R</v>
          </cell>
        </row>
        <row r="452">
          <cell r="F452" t="str">
            <v>Current trafo 10/5 Amp. 20 K V ( I.D )</v>
          </cell>
        </row>
        <row r="453">
          <cell r="F453" t="str">
            <v>Current trafo 100/5 Amp. 20 K V ID</v>
          </cell>
        </row>
        <row r="454">
          <cell r="F454" t="str">
            <v>Current trafo 100/5 Amp. 20 K V OD</v>
          </cell>
        </row>
        <row r="455">
          <cell r="F455" t="str">
            <v>Current Trafo 10/5 A OD 20 kV</v>
          </cell>
        </row>
        <row r="456">
          <cell r="F456" t="str">
            <v>Current Trafo 15/5 A 20 kV OD</v>
          </cell>
        </row>
        <row r="457">
          <cell r="F457" t="str">
            <v>Current Trafo 15/5 A - 30/5 A 20 kV OD</v>
          </cell>
        </row>
        <row r="458">
          <cell r="F458" t="str">
            <v>Current Trafo 150/5 A 220 Volt</v>
          </cell>
        </row>
        <row r="459">
          <cell r="F459" t="str">
            <v>Current Trafo 20/5 - 5 A ID 20 kV</v>
          </cell>
        </row>
        <row r="460">
          <cell r="F460" t="str">
            <v>Current Trafo 200/5 A 220 Volt</v>
          </cell>
        </row>
        <row r="461">
          <cell r="F461" t="str">
            <v>Current Trafo 25/5 A OD 20 kV</v>
          </cell>
        </row>
        <row r="462">
          <cell r="F462" t="str">
            <v>Current Trafo 250/5 - 5 A ID 20 kV</v>
          </cell>
        </row>
        <row r="463">
          <cell r="F463" t="str">
            <v>Current Trafo 250/5 A 220 Volt</v>
          </cell>
        </row>
        <row r="464">
          <cell r="F464" t="str">
            <v>Current Trafo 30/5 A 20 kV ID</v>
          </cell>
        </row>
        <row r="465">
          <cell r="F465" t="str">
            <v>Current Trafo 300/5 A 220 Volt</v>
          </cell>
        </row>
        <row r="466">
          <cell r="F466" t="str">
            <v>Current Trafo 40/5 A 20 kV ID</v>
          </cell>
        </row>
        <row r="467">
          <cell r="F467" t="str">
            <v>Current Trafo 40/5 A 20 kV OD</v>
          </cell>
        </row>
        <row r="468">
          <cell r="F468" t="str">
            <v>Current Trafo 15-30/5 A ID 20 KV</v>
          </cell>
        </row>
        <row r="469">
          <cell r="F469" t="str">
            <v>Current Trafo 60/5 A 220 V</v>
          </cell>
        </row>
        <row r="470">
          <cell r="F470" t="str">
            <v>Current Trafo 800/5 A 220 V</v>
          </cell>
        </row>
        <row r="471">
          <cell r="F471" t="str">
            <v>CURRENT TRAFO CT 90IN 100/5 CLASS 0,5 S 5 VA</v>
          </cell>
        </row>
        <row r="472">
          <cell r="F472" t="str">
            <v>CURRENT TRAFO CT 90IN 150/5 CLASS 0,5 S 5 VA</v>
          </cell>
        </row>
        <row r="473">
          <cell r="F473" t="str">
            <v>CURRENT TRAFO CT 90IN 300/5 CLASS 0,5 S 5 VA</v>
          </cell>
        </row>
        <row r="474">
          <cell r="F474" t="str">
            <v>Current Trafo TR 100/5 Amp</v>
          </cell>
        </row>
        <row r="475">
          <cell r="F475" t="str">
            <v>Cut Out 11,7,2 KV 100 Amp</v>
          </cell>
        </row>
        <row r="476">
          <cell r="F476" t="str">
            <v>CUT OUT ACC;FUSE LINK 20kV 12A</v>
          </cell>
        </row>
        <row r="477">
          <cell r="F477" t="str">
            <v>CUT OUT ACC;FUSE LINK 20kV 15A</v>
          </cell>
        </row>
        <row r="478">
          <cell r="F478" t="str">
            <v>CUT OUT ACC;FUSE LINK 20kV 2A</v>
          </cell>
        </row>
        <row r="479">
          <cell r="F479" t="str">
            <v>CUT OUT ACC;FUSE LINK 20kV 50A</v>
          </cell>
        </row>
        <row r="480">
          <cell r="F480" t="str">
            <v>CUT OUT;27kV;6-100A;;POLYMER-125kV</v>
          </cell>
        </row>
        <row r="481">
          <cell r="F481" t="str">
            <v>Cutter Cable Manual 35-150 mm</v>
          </cell>
        </row>
        <row r="482">
          <cell r="F482" t="str">
            <v>Daak Standard 1,5"</v>
          </cell>
        </row>
        <row r="483">
          <cell r="F483" t="str">
            <v>Dackscroup 1/2x2"</v>
          </cell>
        </row>
        <row r="484">
          <cell r="F484" t="str">
            <v>Dackzing mancet</v>
          </cell>
        </row>
        <row r="485">
          <cell r="F485" t="str">
            <v>Dakschroven 3/8 x 2"</v>
          </cell>
        </row>
        <row r="486">
          <cell r="F486" t="str">
            <v>DARK SCHROEVEN 3/8 X 2"</v>
          </cell>
        </row>
        <row r="487">
          <cell r="F487" t="str">
            <v>DASKCROVEN</v>
          </cell>
        </row>
        <row r="488">
          <cell r="F488" t="str">
            <v>Dead end Fref. for guy 3 / 8 "</v>
          </cell>
        </row>
        <row r="489">
          <cell r="F489" t="str">
            <v>Dead end for guy strenght 3 / 8 "</v>
          </cell>
        </row>
        <row r="490">
          <cell r="F490" t="str">
            <v>Dead and automatic 1 1/2"</v>
          </cell>
        </row>
        <row r="491">
          <cell r="F491" t="str">
            <v>Dead End For Guy Straind 1/4 Out</v>
          </cell>
        </row>
        <row r="492">
          <cell r="F492" t="str">
            <v>Dead End For Guy Strand 1/4" Auto</v>
          </cell>
        </row>
        <row r="493">
          <cell r="F493" t="str">
            <v>Dead End For Guy Strand 1/4" Free</v>
          </cell>
        </row>
        <row r="494">
          <cell r="F494" t="str">
            <v>Dead End For Guy Strand 3/8" Auto</v>
          </cell>
        </row>
        <row r="495">
          <cell r="F495" t="str">
            <v>Dead End Otomatic 1/4".</v>
          </cell>
        </row>
        <row r="496">
          <cell r="F496" t="str">
            <v>Dead End Otomatic 3/8".</v>
          </cell>
        </row>
        <row r="497">
          <cell r="F497" t="str">
            <v>DEADEN FREFORMED 150 MM</v>
          </cell>
        </row>
        <row r="498">
          <cell r="F498" t="str">
            <v>DEADEND MEKANIST ST</v>
          </cell>
        </row>
        <row r="499">
          <cell r="F499" t="str">
            <v>DEADEND SERVICE CLAMP FOR B.6</v>
          </cell>
        </row>
        <row r="500">
          <cell r="F500" t="str">
            <v>Deazed Patron 10 Amp</v>
          </cell>
        </row>
        <row r="501">
          <cell r="F501" t="str">
            <v>Diadent Otomat 1/4 "</v>
          </cell>
        </row>
        <row r="502">
          <cell r="F502" t="str">
            <v>Diazed Patron 15/16 Amp</v>
          </cell>
        </row>
        <row r="503">
          <cell r="F503" t="str">
            <v>Diazed Patron 35 Amp</v>
          </cell>
        </row>
        <row r="504">
          <cell r="F504" t="str">
            <v>Disconecting Switch 1 Ph 20 KV 60 Amp OD</v>
          </cell>
        </row>
        <row r="505">
          <cell r="F505" t="str">
            <v>Disconnecting Switch 1 Phs 630 Amp 24 KV OD</v>
          </cell>
        </row>
        <row r="506">
          <cell r="F506" t="str">
            <v>DS (Disconecting Switch) SINGLE PHASE 20 KV 630 A (OD)</v>
          </cell>
        </row>
        <row r="507">
          <cell r="F507" t="str">
            <v>DS;K;20kV;3P;630A;16kA;;ID</v>
          </cell>
        </row>
        <row r="508">
          <cell r="F508" t="str">
            <v>Dudukan Box APP (UNP 6,5x60cm=2Bh)+U-Bolt 5/8x14=2</v>
          </cell>
        </row>
        <row r="509">
          <cell r="F509" t="str">
            <v>Dudukan Box APP (UNP 6.5x60 Cm=2 Bh)+U-Bolt 5/8x14 = 2 Bh</v>
          </cell>
        </row>
        <row r="510">
          <cell r="F510" t="str">
            <v>Dudukan Box APP (UNP6,5X60CM=2BH)+ Ubolt 5/8x14=2</v>
          </cell>
        </row>
        <row r="511">
          <cell r="F511" t="str">
            <v>Eart Safety Mesh (Tikar Arde)</v>
          </cell>
        </row>
        <row r="512">
          <cell r="F512" t="str">
            <v>EL BOW 3"</v>
          </cell>
        </row>
        <row r="513">
          <cell r="F513" t="str">
            <v>El Bow 3".</v>
          </cell>
        </row>
        <row r="514">
          <cell r="F514" t="str">
            <v>El bow 4 "</v>
          </cell>
        </row>
        <row r="515">
          <cell r="F515" t="str">
            <v>EL BOW PIPA 2"</v>
          </cell>
        </row>
        <row r="516">
          <cell r="F516" t="str">
            <v>ELBOW 1/2" GALV</v>
          </cell>
        </row>
        <row r="517">
          <cell r="F517" t="str">
            <v>ELBOW 3/4" GALV</v>
          </cell>
        </row>
        <row r="518">
          <cell r="F518" t="str">
            <v>ELBOW BESI GALV 3"</v>
          </cell>
        </row>
        <row r="519">
          <cell r="F519" t="str">
            <v>Elbow Pipa Besi 2.5" Galv</v>
          </cell>
        </row>
        <row r="520">
          <cell r="F520" t="str">
            <v>Elbow PVC 1/2-1"</v>
          </cell>
        </row>
        <row r="521">
          <cell r="F521" t="str">
            <v>ELBOW PVC 2 1/2"</v>
          </cell>
        </row>
        <row r="522">
          <cell r="F522" t="str">
            <v>ELBOW PVC 3"</v>
          </cell>
        </row>
        <row r="523">
          <cell r="F523" t="str">
            <v>ELCB 25 A</v>
          </cell>
        </row>
        <row r="524">
          <cell r="F524" t="str">
            <v>ELCB 25 A + Ktk MCB 3 Phs + Ttp OK I</v>
          </cell>
        </row>
        <row r="525">
          <cell r="F525" t="str">
            <v>ELCB 40 A + Ktk MCB 3 Phs + Ttp OK I</v>
          </cell>
        </row>
        <row r="526">
          <cell r="F526" t="str">
            <v>ELCB 63 A + Ktk MCB 3 Phs + Ttp OK I</v>
          </cell>
        </row>
        <row r="527">
          <cell r="F527" t="str">
            <v>ELCB 63 A.</v>
          </cell>
        </row>
        <row r="528">
          <cell r="F528" t="str">
            <v>EXELSIOR LINE BAND</v>
          </cell>
        </row>
        <row r="529">
          <cell r="F529" t="str">
            <v>EYE NUT OVAL 5/8"</v>
          </cell>
        </row>
        <row r="530">
          <cell r="F530" t="str">
            <v>FAULT INDIKATOR 20 KV</v>
          </cell>
        </row>
        <row r="531">
          <cell r="F531" t="str">
            <v>Fiber 50 x 100 Cm.</v>
          </cell>
        </row>
        <row r="532">
          <cell r="F532" t="str">
            <v>Fitting Porselin</v>
          </cell>
        </row>
        <row r="533">
          <cell r="F533" t="str">
            <v>Fixed Dead Asmmbly 50-70 mm2 comp</v>
          </cell>
        </row>
        <row r="534">
          <cell r="F534" t="str">
            <v>Fixed Dead End Assembly 50-70 mm2</v>
          </cell>
        </row>
        <row r="535">
          <cell r="F535" t="str">
            <v>Fixed Dead end Assmbly 25-50 mm2 comp</v>
          </cell>
        </row>
        <row r="536">
          <cell r="F536" t="str">
            <v>FIXING COLAR</v>
          </cell>
        </row>
        <row r="537">
          <cell r="F537" t="str">
            <v>FIXING COLOR</v>
          </cell>
        </row>
        <row r="538">
          <cell r="F538" t="str">
            <v>Foto Cell FS 2706</v>
          </cell>
        </row>
        <row r="539">
          <cell r="F539" t="str">
            <v>Freeformed Dead Line Guard 150 mm.</v>
          </cell>
        </row>
        <row r="540">
          <cell r="F540" t="str">
            <v>Freepormed Splicis 1/0 AWG</v>
          </cell>
        </row>
        <row r="541">
          <cell r="F541" t="str">
            <v>Freformed Dead End 120 - 150mm</v>
          </cell>
        </row>
        <row r="542">
          <cell r="F542" t="str">
            <v>Fuse BLA 0-3-600,5 Amp</v>
          </cell>
        </row>
        <row r="543">
          <cell r="F543" t="str">
            <v>Fuse BLA 0-3-6003, 3 Amp</v>
          </cell>
        </row>
        <row r="544">
          <cell r="F544" t="str">
            <v>FUSE CUT OUT 20 KV</v>
          </cell>
        </row>
        <row r="545">
          <cell r="F545" t="str">
            <v>FUSE FULLER DIN</v>
          </cell>
        </row>
        <row r="546">
          <cell r="F546" t="str">
            <v>FUSE LINK 10 A</v>
          </cell>
        </row>
        <row r="547">
          <cell r="F547" t="str">
            <v>Fuse Link 100 Amper.</v>
          </cell>
        </row>
        <row r="548">
          <cell r="F548" t="str">
            <v>FUSE LINK 16 A</v>
          </cell>
        </row>
        <row r="549">
          <cell r="F549" t="str">
            <v>FUSE LINK 2 A</v>
          </cell>
        </row>
        <row r="550">
          <cell r="F550" t="str">
            <v>Fuse Link 20 Amper.</v>
          </cell>
        </row>
        <row r="551">
          <cell r="F551" t="str">
            <v>Fuse Link 25 Amper.</v>
          </cell>
        </row>
        <row r="552">
          <cell r="F552" t="str">
            <v>FUSE LINK 3 A</v>
          </cell>
        </row>
        <row r="553">
          <cell r="F553" t="str">
            <v>Fuse Link 30 Amper.</v>
          </cell>
        </row>
        <row r="554">
          <cell r="F554" t="str">
            <v>FUSE LINK 40 A</v>
          </cell>
        </row>
        <row r="555">
          <cell r="F555" t="str">
            <v>FUSE LINK 5 A</v>
          </cell>
        </row>
        <row r="556">
          <cell r="F556" t="str">
            <v>FUSE LINK 6 A</v>
          </cell>
        </row>
        <row r="557">
          <cell r="F557" t="str">
            <v>FUSE LINK 8 A</v>
          </cell>
        </row>
        <row r="558">
          <cell r="F558" t="str">
            <v>FUSE LINK 80 A</v>
          </cell>
        </row>
        <row r="559">
          <cell r="F559" t="str">
            <v>Fuse Link Westing Home.</v>
          </cell>
        </row>
        <row r="560">
          <cell r="F560" t="str">
            <v>FUSE TABUNG 15A 20KV</v>
          </cell>
        </row>
        <row r="561">
          <cell r="F561" t="str">
            <v>Fuse Tabung 31,5 Ampere</v>
          </cell>
        </row>
        <row r="562">
          <cell r="F562" t="str">
            <v>Fuse Tabung 36-43 Ampere 24 KV</v>
          </cell>
        </row>
        <row r="563">
          <cell r="F563" t="str">
            <v>FUSE TABUNG 6,3 A</v>
          </cell>
        </row>
        <row r="564">
          <cell r="F564" t="str">
            <v>Fuse Tabung 80 A.</v>
          </cell>
        </row>
        <row r="565">
          <cell r="F565" t="str">
            <v>FUSE;380/220V;100A;SQUARE;0</v>
          </cell>
        </row>
        <row r="566">
          <cell r="F566" t="str">
            <v>FUSE;380/220V;125A;SQUARE;1</v>
          </cell>
        </row>
        <row r="567">
          <cell r="F567" t="str">
            <v>FUSE;380/220V;225A;SQUARE;1</v>
          </cell>
        </row>
        <row r="568">
          <cell r="F568" t="str">
            <v>FUSE;380/220V;25A;SQUARE;0</v>
          </cell>
        </row>
        <row r="569">
          <cell r="F569" t="str">
            <v>FUSE;380/220V;315A;SQUARE;2</v>
          </cell>
        </row>
        <row r="570">
          <cell r="F570" t="str">
            <v>FUSE;380/220V;400A;SQUARE;1</v>
          </cell>
        </row>
        <row r="571">
          <cell r="F571" t="str">
            <v>FUSE;380/220V;40A;SQUARE;0</v>
          </cell>
        </row>
        <row r="572">
          <cell r="F572" t="str">
            <v>FUSE;380/220V;630A;SQUARE;2</v>
          </cell>
        </row>
        <row r="573">
          <cell r="F573" t="str">
            <v>FUSE;380/220V;80A;SQUARE;0</v>
          </cell>
        </row>
        <row r="574">
          <cell r="F574" t="str">
            <v>Gas Circuit Breaker 630 A 24 kV</v>
          </cell>
        </row>
        <row r="575">
          <cell r="F575" t="str">
            <v>GE CUT OUT 100 AMP 20 KV / 24 KV</v>
          </cell>
        </row>
        <row r="576">
          <cell r="F576" t="str">
            <v>Gebogen Steun II</v>
          </cell>
        </row>
        <row r="577">
          <cell r="F577" t="str">
            <v>Gebogen Steun S.I</v>
          </cell>
        </row>
        <row r="578">
          <cell r="F578" t="str">
            <v>Gembok LVC 50 mm</v>
          </cell>
        </row>
        <row r="579">
          <cell r="F579" t="str">
            <v>GEMBOK MASTER KEY 2"</v>
          </cell>
        </row>
        <row r="580">
          <cell r="F580" t="str">
            <v>Genteng</v>
          </cell>
        </row>
        <row r="581">
          <cell r="F581" t="str">
            <v>Grimping Tool Hidrolic 10 - 150 mm</v>
          </cell>
        </row>
        <row r="582">
          <cell r="F582" t="str">
            <v>GROUND FOULT RELAY</v>
          </cell>
        </row>
        <row r="583">
          <cell r="F583" t="str">
            <v>Ground Rod 5/8"</v>
          </cell>
        </row>
        <row r="584">
          <cell r="F584" t="str">
            <v>Ground Rod 8"X2.5m</v>
          </cell>
        </row>
        <row r="585">
          <cell r="F585" t="str">
            <v>GROUND ROD MODIFICATION</v>
          </cell>
        </row>
        <row r="586">
          <cell r="F586" t="str">
            <v>Ground rod with Clamp 3/4 x 8"</v>
          </cell>
        </row>
        <row r="587">
          <cell r="F587" t="str">
            <v>Ground rod with clamp. 5/8 x 8 "</v>
          </cell>
        </row>
        <row r="588">
          <cell r="F588" t="str">
            <v>Grounding Kabel u/Pemadaman</v>
          </cell>
        </row>
        <row r="589">
          <cell r="F589" t="str">
            <v>Guy Insulator 3/8 "</v>
          </cell>
        </row>
        <row r="590">
          <cell r="F590" t="str">
            <v>GUY GUARD 1.5x2x2000 mm</v>
          </cell>
        </row>
        <row r="591">
          <cell r="F591" t="str">
            <v>Guy Guard PVC 3"</v>
          </cell>
        </row>
        <row r="592">
          <cell r="F592" t="str">
            <v>GUY INSULATOR</v>
          </cell>
        </row>
        <row r="593">
          <cell r="F593" t="str">
            <v>GUY STRAIND 1/4 HS</v>
          </cell>
        </row>
        <row r="594">
          <cell r="F594" t="str">
            <v>GUY STRAND 3/8 GALV.STELL WIRE (70 MM2)</v>
          </cell>
        </row>
        <row r="595">
          <cell r="F595" t="str">
            <v>H Type Connector 150 - 150 mm ( CCO 8 T 8 )</v>
          </cell>
        </row>
        <row r="596">
          <cell r="F596" t="str">
            <v>H TYPE CONNECTOR 150-240 MM</v>
          </cell>
        </row>
        <row r="597">
          <cell r="F597" t="str">
            <v>H Type Connector 70/35 mm</v>
          </cell>
        </row>
        <row r="598">
          <cell r="F598" t="str">
            <v>H. Type Connector 240 mm</v>
          </cell>
        </row>
        <row r="599">
          <cell r="F599" t="str">
            <v>H. Type Connector 240/50 mm</v>
          </cell>
        </row>
        <row r="600">
          <cell r="F600" t="str">
            <v>H. Type Connector 35-70 / 35-70 mm²</v>
          </cell>
        </row>
        <row r="601">
          <cell r="F601" t="str">
            <v>H. type connector 120-150/120-150 mm2</v>
          </cell>
        </row>
        <row r="602">
          <cell r="F602" t="str">
            <v>H. type connector 240/150-240/150 mm2</v>
          </cell>
        </row>
        <row r="603">
          <cell r="F603" t="str">
            <v>H.Type connector 10/16 - 10/16 mm2</v>
          </cell>
        </row>
        <row r="604">
          <cell r="F604" t="str">
            <v>H.Type connector 35 / 35 - 10 mm2</v>
          </cell>
        </row>
        <row r="605">
          <cell r="F605" t="str">
            <v>H.Type connector 50/70 - 10/16 mm2</v>
          </cell>
        </row>
        <row r="606">
          <cell r="F606" t="str">
            <v>H.Type connector 50/70 - 25/35 mm2</v>
          </cell>
        </row>
        <row r="607">
          <cell r="F607" t="str">
            <v>H.Type connector 50/70 - 50/70 mm2</v>
          </cell>
        </row>
        <row r="608">
          <cell r="F608" t="str">
            <v>H.Type connector 70 - 50 mm2</v>
          </cell>
        </row>
        <row r="609">
          <cell r="F609" t="str">
            <v>H.Type Connector 70-150/35-70mm²</v>
          </cell>
        </row>
        <row r="610">
          <cell r="F610" t="str">
            <v>H.Type model CCO - 5 T 1</v>
          </cell>
        </row>
        <row r="611">
          <cell r="F611" t="str">
            <v>HAND WIRE THENSION CLAMP 35-70 MM</v>
          </cell>
        </row>
        <row r="612">
          <cell r="F612" t="str">
            <v>Hard Wire tenion Clamp 70-150 mm</v>
          </cell>
        </row>
        <row r="613">
          <cell r="F613" t="str">
            <v>Hard Wire Tention Clemp 25-70 mm</v>
          </cell>
        </row>
        <row r="614">
          <cell r="F614" t="str">
            <v>Hardwire Tension Clemp 70-150MM</v>
          </cell>
        </row>
        <row r="615">
          <cell r="F615" t="str">
            <v>HEART SHRINK (4 WARNA)</v>
          </cell>
        </row>
        <row r="616">
          <cell r="F616" t="str">
            <v>Heart Shrink Cable Tubing 15/25 x 120 mm (Kecil)</v>
          </cell>
        </row>
        <row r="617">
          <cell r="F617" t="str">
            <v>Heart Srink Cable Tbg 25/30 x 150 mm (Kecil)</v>
          </cell>
        </row>
        <row r="618">
          <cell r="F618" t="str">
            <v>HEAT SHRINK 15/30 X 12 SQMM (KECIL)</v>
          </cell>
        </row>
        <row r="619">
          <cell r="F619" t="str">
            <v>Heat shrink 15/30 x 120 Sqm</v>
          </cell>
        </row>
        <row r="620">
          <cell r="F620" t="str">
            <v>Heat shrink 25/30 x 120 Sqm</v>
          </cell>
        </row>
        <row r="621">
          <cell r="F621" t="str">
            <v>HEAT SHRINK 30/50 X 15 SQMM (BESAR)</v>
          </cell>
        </row>
        <row r="622">
          <cell r="F622" t="str">
            <v>Heat Shrink Cable tubing 15/25 x 120 mm (Kecil)</v>
          </cell>
        </row>
        <row r="623">
          <cell r="F623" t="str">
            <v>Heat Shrink Cable Tubing 25/40 x 150 mm ( Besar)</v>
          </cell>
        </row>
        <row r="624">
          <cell r="F624" t="str">
            <v>HELM KERJA+SABLON</v>
          </cell>
        </row>
        <row r="625">
          <cell r="F625" t="str">
            <v>HEND LINE BLOCK CUTTER</v>
          </cell>
        </row>
        <row r="626">
          <cell r="F626" t="str">
            <v>High Voltage Cable Shoes SKT 8 OD</v>
          </cell>
        </row>
        <row r="627">
          <cell r="F627" t="str">
            <v>Hight Voltage Cable Shoes (SKT 4) ID</v>
          </cell>
        </row>
        <row r="628">
          <cell r="F628" t="str">
            <v>Hight Voltage Cable Shoes (SKT 5) ID</v>
          </cell>
        </row>
        <row r="629">
          <cell r="F629" t="str">
            <v>Hight Voltage Cable Shoes (SKT 7) ID</v>
          </cell>
        </row>
        <row r="630">
          <cell r="F630" t="str">
            <v>Hight Voltage Cable Shoes (SKT 8) ID</v>
          </cell>
        </row>
        <row r="631">
          <cell r="F631" t="str">
            <v>Holder NT Fuse 160 Amp (Kaki Panjang)</v>
          </cell>
        </row>
        <row r="632">
          <cell r="F632" t="str">
            <v>Holder NT Fuse 250 Amp (Kaki Panjang)</v>
          </cell>
        </row>
        <row r="633">
          <cell r="F633" t="str">
            <v>Holder NT Fuse 300 Amp (Kaki Panjang)</v>
          </cell>
        </row>
        <row r="634">
          <cell r="F634" t="str">
            <v>Holder NT Fuse 400 Amp (Kaki Panjang)</v>
          </cell>
        </row>
        <row r="635">
          <cell r="F635" t="str">
            <v>HOLDER NT FUSE SIZE 0 (KAKI PENDEK)</v>
          </cell>
        </row>
        <row r="636">
          <cell r="F636" t="str">
            <v>HOLDER NT FUSE SIZE 1 (KAKI PANJANG)</v>
          </cell>
        </row>
        <row r="637">
          <cell r="F637" t="str">
            <v>HS FUSE LINK 15 AMP.</v>
          </cell>
        </row>
        <row r="638">
          <cell r="F638" t="str">
            <v>HS Vulmasa</v>
          </cell>
        </row>
        <row r="639">
          <cell r="F639" t="str">
            <v>HSD</v>
          </cell>
        </row>
        <row r="640">
          <cell r="F640" t="str">
            <v>H-Type 120/150-50/70 sq mm 8T5</v>
          </cell>
        </row>
        <row r="641">
          <cell r="F641" t="str">
            <v>H-TYPE AL 150-50/70 mm2</v>
          </cell>
        </row>
        <row r="642">
          <cell r="F642" t="str">
            <v>H-TYPE AL 35-35 MM2</v>
          </cell>
        </row>
        <row r="643">
          <cell r="F643" t="str">
            <v>H-TYPE AL 70 - 70 MM</v>
          </cell>
        </row>
        <row r="644">
          <cell r="F644" t="str">
            <v>H-Type Connector 120-150/50-70 mm2</v>
          </cell>
        </row>
        <row r="645">
          <cell r="F645" t="str">
            <v>H-Type Connector 120-300/35-70</v>
          </cell>
        </row>
        <row r="646">
          <cell r="F646" t="str">
            <v>H-TYPE CONNECTOR 35-70/35-70 MM</v>
          </cell>
        </row>
        <row r="647">
          <cell r="F647" t="str">
            <v>H-TYPE CONNECTOR 70-150/35-70 MM</v>
          </cell>
        </row>
        <row r="648">
          <cell r="F648" t="str">
            <v>H-Type Connector 70-150/70-150</v>
          </cell>
        </row>
        <row r="649">
          <cell r="F649" t="str">
            <v>H-TYPE CONNECTOR 70-150/70-150 MM</v>
          </cell>
        </row>
        <row r="650">
          <cell r="F650" t="str">
            <v>HV.Vulmasa 20/30 u/Kabel</v>
          </cell>
        </row>
        <row r="651">
          <cell r="F651" t="str">
            <v>Indian Gaskel</v>
          </cell>
        </row>
        <row r="652">
          <cell r="F652" t="str">
            <v>Insert handle</v>
          </cell>
        </row>
        <row r="653">
          <cell r="F653" t="str">
            <v>INSUATOR PYN TYPE</v>
          </cell>
        </row>
        <row r="654">
          <cell r="F654" t="str">
            <v>Insulated non tension conn.35/35 mm2</v>
          </cell>
        </row>
        <row r="655">
          <cell r="F655" t="str">
            <v>Insulated non tension conn.50/50 mm2</v>
          </cell>
        </row>
        <row r="656">
          <cell r="F656" t="str">
            <v>Insulated tube bundle &amp; protec</v>
          </cell>
        </row>
        <row r="657">
          <cell r="F657" t="str">
            <v>INSULATION TENSION.50-70 MM</v>
          </cell>
        </row>
        <row r="658">
          <cell r="F658" t="str">
            <v>INSULATOR SUSPENSION</v>
          </cell>
        </row>
        <row r="659">
          <cell r="F659" t="str">
            <v>Insulator Suspension 20KV KOMPLIT</v>
          </cell>
        </row>
        <row r="660">
          <cell r="F660" t="str">
            <v>ISOLASI BAND 500V</v>
          </cell>
        </row>
        <row r="661">
          <cell r="F661" t="str">
            <v>Isolasi Band Plastic</v>
          </cell>
        </row>
        <row r="662">
          <cell r="F662" t="str">
            <v>ISOLASI SCOTH</v>
          </cell>
        </row>
        <row r="663">
          <cell r="F663" t="str">
            <v>Isolasi Scoth 15 Cm ( Kecil ).</v>
          </cell>
        </row>
        <row r="664">
          <cell r="F664" t="str">
            <v>Isolasi Scoth 40 Cm ( Besar ).</v>
          </cell>
        </row>
        <row r="665">
          <cell r="F665" t="str">
            <v>ISOLASI SCOTT 23</v>
          </cell>
        </row>
        <row r="666">
          <cell r="F666" t="str">
            <v>ISOLATOR ACC;SOCKET EYE</v>
          </cell>
        </row>
        <row r="667">
          <cell r="F667" t="str">
            <v>Isolator Steun SII + Kaki</v>
          </cell>
        </row>
        <row r="668">
          <cell r="F668" t="str">
            <v>Jack Connector untuk Base Station 3/8</v>
          </cell>
        </row>
        <row r="669">
          <cell r="F669" t="str">
            <v>Jack Connector untuk Base Station 5/8</v>
          </cell>
        </row>
        <row r="670">
          <cell r="F670" t="str">
            <v>Jangkar Jepit 2-4-6</v>
          </cell>
        </row>
        <row r="671">
          <cell r="F671" t="str">
            <v>Jangkar Scrap 2-4-6</v>
          </cell>
        </row>
        <row r="672">
          <cell r="F672" t="str">
            <v>Joint sleeve 25 mm2 Bimetal Al / Cu</v>
          </cell>
        </row>
        <row r="673">
          <cell r="F673" t="str">
            <v>Joint sleeve 150 mm2</v>
          </cell>
        </row>
        <row r="674">
          <cell r="F674" t="str">
            <v>Joint sleeve 185 mm2 Al / Cu</v>
          </cell>
        </row>
        <row r="675">
          <cell r="F675" t="str">
            <v>Joint sleeve 240 mm2</v>
          </cell>
        </row>
        <row r="676">
          <cell r="F676" t="str">
            <v>Joint sleeve Bimetal Al / Cu 50/70 mm2</v>
          </cell>
        </row>
        <row r="677">
          <cell r="F677" t="str">
            <v>Joint sleeve Bimetal Al / Cu 70/35 mm2</v>
          </cell>
        </row>
        <row r="678">
          <cell r="F678" t="str">
            <v>Joint Sleeve 150/185 mm</v>
          </cell>
        </row>
        <row r="679">
          <cell r="F679" t="str">
            <v>JOINT SLEEVE 120-95 MM</v>
          </cell>
        </row>
        <row r="680">
          <cell r="F680" t="str">
            <v>JOINT SLEEVE 150 MM PANJANG(THENSION)</v>
          </cell>
        </row>
        <row r="681">
          <cell r="F681" t="str">
            <v>Joint Sleeve 185 mm</v>
          </cell>
        </row>
        <row r="682">
          <cell r="F682" t="str">
            <v>JOINT SLEEVE 240 MM (THENSION)</v>
          </cell>
        </row>
        <row r="683">
          <cell r="F683" t="str">
            <v>JOINT SLEEVE 240 MM PENDEK (NON TENSOIN)</v>
          </cell>
        </row>
        <row r="684">
          <cell r="F684" t="str">
            <v>JOINT SLEEVE 35 MM PANJANG(THENSION)</v>
          </cell>
        </row>
        <row r="685">
          <cell r="F685" t="str">
            <v>Joint Sleeve 35 mm2</v>
          </cell>
        </row>
        <row r="686">
          <cell r="F686" t="str">
            <v>JOINT SLEEVE 50 MM PANJANG(THENSION)</v>
          </cell>
        </row>
        <row r="687">
          <cell r="F687" t="str">
            <v>JOINT SLEEVE 50 MM PENDEK(NON TENSION)</v>
          </cell>
        </row>
        <row r="688">
          <cell r="F688" t="str">
            <v>JOINT SLEEVE 70 MM PANJANG(THENSION)</v>
          </cell>
        </row>
        <row r="689">
          <cell r="F689" t="str">
            <v>JOINT SLEEVE 70 MM PENDEK(NON TENSION)</v>
          </cell>
        </row>
        <row r="690">
          <cell r="F690" t="str">
            <v>JOINT SLEEVE AL 185mm2</v>
          </cell>
        </row>
        <row r="691">
          <cell r="F691" t="str">
            <v>JOINT SLEEVE AL/CU 50/70MM2</v>
          </cell>
        </row>
        <row r="692">
          <cell r="F692" t="str">
            <v>JOINT SLEEVE AL/CU 70/95MM2</v>
          </cell>
        </row>
        <row r="693">
          <cell r="F693" t="str">
            <v>Joint Sleeve AL-CU 150 mm2</v>
          </cell>
        </row>
        <row r="694">
          <cell r="F694" t="str">
            <v>Joint Sleeve AL-CU 240 mm2</v>
          </cell>
        </row>
        <row r="695">
          <cell r="F695" t="str">
            <v>Joint Sleeve AL-CU 35 mm2</v>
          </cell>
        </row>
        <row r="696">
          <cell r="F696" t="str">
            <v>Joint Sleeve AL-CU 50 mm2</v>
          </cell>
        </row>
        <row r="697">
          <cell r="F697" t="str">
            <v>Joint Sleeve AL-CU 70 mm2</v>
          </cell>
        </row>
        <row r="698">
          <cell r="F698" t="str">
            <v>JOINT SLEEVE BIMETAL AL/CU 50-35 MM2</v>
          </cell>
        </row>
        <row r="699">
          <cell r="F699" t="str">
            <v>JOINT SLEEVE BIMETAL CU/AL 50-70 MM2</v>
          </cell>
        </row>
        <row r="700">
          <cell r="F700" t="str">
            <v>JOINT SLEEVE BIMETAL CU/AL 95-70 MM2</v>
          </cell>
        </row>
        <row r="701">
          <cell r="F701" t="str">
            <v>Joint Sleeve Comprension 150 mm</v>
          </cell>
        </row>
        <row r="702">
          <cell r="F702" t="str">
            <v>Joint sleeve compresion 150 mm</v>
          </cell>
        </row>
        <row r="703">
          <cell r="F703" t="str">
            <v>Joint Sleeve Compresion 240 mm</v>
          </cell>
        </row>
        <row r="704">
          <cell r="F704" t="str">
            <v>Joint Sleeve Compresion AL 150-150mm² + H</v>
          </cell>
        </row>
        <row r="705">
          <cell r="F705" t="str">
            <v>Joint Sleeve Compresion AL 240-240mm² + H</v>
          </cell>
        </row>
        <row r="706">
          <cell r="F706" t="str">
            <v>Joint Sleeve Compresion AL 50-50mm² + H</v>
          </cell>
        </row>
        <row r="707">
          <cell r="F707" t="str">
            <v>Joint Sleeve Compresion AL 70-70mm² + H</v>
          </cell>
        </row>
        <row r="708">
          <cell r="F708" t="str">
            <v>JOINT SLEVE 150 MM NON TENSION</v>
          </cell>
        </row>
        <row r="709">
          <cell r="F709" t="str">
            <v>Joint Sleve 50 mm2</v>
          </cell>
        </row>
        <row r="710">
          <cell r="F710" t="str">
            <v>JOINT SLEVE AL/CU 35-70 MM</v>
          </cell>
        </row>
        <row r="711">
          <cell r="F711" t="str">
            <v>JOINT SLEVEE AL 70 MM</v>
          </cell>
        </row>
        <row r="712">
          <cell r="F712" t="str">
            <v>Jointing 3 x 240 mm</v>
          </cell>
        </row>
        <row r="713">
          <cell r="F713" t="str">
            <v>Jointing 3 x 240mm 20KV XLPE</v>
          </cell>
        </row>
        <row r="714">
          <cell r="F714" t="str">
            <v>Jointing Kabel 3 x 150 mm</v>
          </cell>
        </row>
        <row r="715">
          <cell r="F715" t="str">
            <v>Jointing kabel 3 x 240 mm2</v>
          </cell>
        </row>
        <row r="716">
          <cell r="F716" t="str">
            <v>Jointing Kit 25 - 95 mm</v>
          </cell>
        </row>
        <row r="717">
          <cell r="F717" t="str">
            <v>Jointing Kit 3 x 240 - 400 mm 20 kV</v>
          </cell>
        </row>
        <row r="718">
          <cell r="F718" t="str">
            <v>Jointing Kit 3 x 95 mm 20 Kv</v>
          </cell>
        </row>
        <row r="719">
          <cell r="F719" t="str">
            <v>Jointing KIT 3 x 240 mm 20 KV ID</v>
          </cell>
        </row>
        <row r="720">
          <cell r="F720" t="str">
            <v>Jointing Kit 3 x 95 mm</v>
          </cell>
        </row>
        <row r="721">
          <cell r="F721" t="str">
            <v>Jointing KIT 3M 3 x 240 mm 20 KV OD</v>
          </cell>
        </row>
        <row r="722">
          <cell r="F722" t="str">
            <v>JOINTING TOOL FOR ITEM</v>
          </cell>
        </row>
        <row r="723">
          <cell r="F723" t="str">
            <v>Jointing XLPE 3 x 240 mm</v>
          </cell>
        </row>
        <row r="724">
          <cell r="F724" t="str">
            <v>JTR Kumis + CCO 3T1</v>
          </cell>
        </row>
        <row r="725">
          <cell r="F725" t="str">
            <v>JTR Kumis + CCO 5T3</v>
          </cell>
        </row>
        <row r="726">
          <cell r="F726" t="str">
            <v>Kabel NYAF 1 x 4 mm</v>
          </cell>
        </row>
        <row r="727">
          <cell r="F727" t="str">
            <v>Kabel TIC 3 x 95 + 1 x 50 mm2</v>
          </cell>
        </row>
        <row r="728">
          <cell r="F728" t="str">
            <v>Kabel Girll 2 x 2,5 mm</v>
          </cell>
        </row>
        <row r="729">
          <cell r="F729" t="str">
            <v>Kabel Klemputge</v>
          </cell>
        </row>
        <row r="730">
          <cell r="F730" t="str">
            <v>Kabel NA2XSBYSBY 3x300 mm2 20 KV</v>
          </cell>
        </row>
        <row r="731">
          <cell r="F731" t="str">
            <v>KABEL NA2XSEYBY 3X150 MM 20 KV XLPE</v>
          </cell>
        </row>
        <row r="732">
          <cell r="F732" t="str">
            <v>KABEL NA2XSEYBY 3X240 MM 20 KV</v>
          </cell>
        </row>
        <row r="733">
          <cell r="F733" t="str">
            <v>Kabel NYFGBY 4 x 95 mm2</v>
          </cell>
        </row>
        <row r="734">
          <cell r="F734" t="str">
            <v>Kabel NYA 1 x 150 mm</v>
          </cell>
        </row>
        <row r="735">
          <cell r="F735" t="str">
            <v>Kabel NYAF 4 mm</v>
          </cell>
        </row>
        <row r="736">
          <cell r="F736" t="str">
            <v>Kabel NYAF 6 mm</v>
          </cell>
        </row>
        <row r="737">
          <cell r="F737" t="str">
            <v>Kabel NYAF 10 mm</v>
          </cell>
        </row>
        <row r="738">
          <cell r="F738" t="str">
            <v>Kabel NYAF 120 mm</v>
          </cell>
        </row>
        <row r="739">
          <cell r="F739" t="str">
            <v>Kabel NYAF 16 mm</v>
          </cell>
        </row>
        <row r="740">
          <cell r="F740" t="str">
            <v>Kabel NYAF 2.5 mm @ 100 Mtr</v>
          </cell>
        </row>
        <row r="741">
          <cell r="F741" t="str">
            <v>Kabel NYAF 25 mm</v>
          </cell>
        </row>
        <row r="742">
          <cell r="F742" t="str">
            <v>Kabel NYAF 35 mm</v>
          </cell>
        </row>
        <row r="743">
          <cell r="F743" t="str">
            <v>Kabel NYAF 1 x 2,5mm</v>
          </cell>
        </row>
        <row r="744">
          <cell r="F744" t="str">
            <v>Kabel NYFGBY 4 x 10 mm2</v>
          </cell>
        </row>
        <row r="745">
          <cell r="F745" t="str">
            <v>Kabel NYFGBY 4X50 mm</v>
          </cell>
        </row>
        <row r="746">
          <cell r="F746" t="str">
            <v>Kabel NYM 4 x 2.5 mm</v>
          </cell>
        </row>
        <row r="747">
          <cell r="F747" t="str">
            <v>KABEL NYM 4X10MM</v>
          </cell>
        </row>
        <row r="748">
          <cell r="F748" t="str">
            <v>Kabel NYMH 4 x 4 mm²</v>
          </cell>
        </row>
        <row r="749">
          <cell r="F749" t="str">
            <v>KABEL NYMHY 12 X 1,5 MM</v>
          </cell>
        </row>
        <row r="750">
          <cell r="F750" t="str">
            <v>KABEL NYMHY 4 X 2,5 MM2</v>
          </cell>
        </row>
        <row r="751">
          <cell r="F751" t="str">
            <v>Kabel NYY 1 X 50 mm²</v>
          </cell>
        </row>
        <row r="752">
          <cell r="F752" t="str">
            <v>Kabel NYY 1 X 70 mm²</v>
          </cell>
        </row>
        <row r="753">
          <cell r="F753" t="str">
            <v>Kabel NYY 1 X 95 mm²</v>
          </cell>
        </row>
        <row r="754">
          <cell r="F754" t="str">
            <v>Kabel NYY 4 x 35 mm</v>
          </cell>
        </row>
        <row r="755">
          <cell r="F755" t="str">
            <v>Kabel NYY 4 X 50 mm² 230/380V</v>
          </cell>
        </row>
        <row r="756">
          <cell r="F756" t="str">
            <v>KABEL NYY 4X35 MM2</v>
          </cell>
        </row>
        <row r="757">
          <cell r="F757" t="str">
            <v>KABEL NYYHY 4 X 6 MM</v>
          </cell>
        </row>
        <row r="758">
          <cell r="F758" t="str">
            <v>Kabel Protedur 4 x 10 mm</v>
          </cell>
        </row>
        <row r="759">
          <cell r="F759" t="str">
            <v>Kabel Schoen 150 mm CU</v>
          </cell>
        </row>
        <row r="760">
          <cell r="F760" t="str">
            <v>Kabel Schoen 150 mm AL</v>
          </cell>
        </row>
        <row r="761">
          <cell r="F761" t="str">
            <v>Kabel Schoen 240 mm AL</v>
          </cell>
        </row>
        <row r="762">
          <cell r="F762" t="str">
            <v>Kabel Schoen 35 mm CU</v>
          </cell>
        </row>
        <row r="763">
          <cell r="F763" t="str">
            <v>KABEL SCHOEN 10MM CU</v>
          </cell>
        </row>
        <row r="764">
          <cell r="F764" t="str">
            <v>KABEL SCHOEN 120 MM AL</v>
          </cell>
        </row>
        <row r="765">
          <cell r="F765" t="str">
            <v>KABEL SCHOEN 120 MM AL/CU</v>
          </cell>
        </row>
        <row r="766">
          <cell r="F766" t="str">
            <v>KABEL SCHOEN 120 MM CU</v>
          </cell>
        </row>
        <row r="767">
          <cell r="F767" t="str">
            <v>KABEL SCHOEN 150 MM AL/CU</v>
          </cell>
        </row>
        <row r="768">
          <cell r="F768" t="str">
            <v>Kabel Schoen 150 mm2</v>
          </cell>
        </row>
        <row r="769">
          <cell r="F769" t="str">
            <v>KABEL SCHOEN 2.5 MM</v>
          </cell>
        </row>
        <row r="770">
          <cell r="F770" t="str">
            <v>KABEL SCHOEN 240 MM AL/CU</v>
          </cell>
        </row>
        <row r="771">
          <cell r="F771" t="str">
            <v>Kabel Schoen 240 mm CU</v>
          </cell>
        </row>
        <row r="772">
          <cell r="F772" t="str">
            <v>KABEL SCHOEN 25 MM AL</v>
          </cell>
        </row>
        <row r="773">
          <cell r="F773" t="str">
            <v>KABEL SCHOEN 25 MM CU</v>
          </cell>
        </row>
        <row r="774">
          <cell r="F774" t="str">
            <v>KABEL SCHOEN 35 MM AL</v>
          </cell>
        </row>
        <row r="775">
          <cell r="F775" t="str">
            <v>KABEL SCHOEN 35 MM AL/CU</v>
          </cell>
        </row>
        <row r="776">
          <cell r="F776" t="str">
            <v>Kabel Schoen 35 MM CU + Dop Kabel Kondom</v>
          </cell>
        </row>
        <row r="777">
          <cell r="F777" t="str">
            <v>Kabel Schoen 35mm CU + Dop Kabel Kondom</v>
          </cell>
        </row>
        <row r="778">
          <cell r="F778" t="str">
            <v>Kabel Schoen 4 mm</v>
          </cell>
        </row>
        <row r="779">
          <cell r="F779" t="str">
            <v>KABEL SCHOEN 50 MM AL</v>
          </cell>
        </row>
        <row r="780">
          <cell r="F780" t="str">
            <v>KABEL SCHOEN 50 MM AL/CU</v>
          </cell>
        </row>
        <row r="781">
          <cell r="F781" t="str">
            <v>KABEL SCHOEN 50 MM CU</v>
          </cell>
        </row>
        <row r="782">
          <cell r="F782" t="str">
            <v>Kabel Schoen 50 mm2 SKA-4</v>
          </cell>
        </row>
        <row r="783">
          <cell r="F783" t="str">
            <v>Kabel Schoen 500mm</v>
          </cell>
        </row>
        <row r="784">
          <cell r="F784" t="str">
            <v>KABEL SCHOEN 70 MM AL</v>
          </cell>
        </row>
        <row r="785">
          <cell r="F785" t="str">
            <v>KABEL SCHOEN 70 MM AL CU</v>
          </cell>
        </row>
        <row r="786">
          <cell r="F786" t="str">
            <v>KABEL SCHOEN 70 MM CU</v>
          </cell>
        </row>
        <row r="787">
          <cell r="F787" t="str">
            <v>KABEL SCHOEN 95 MM AL</v>
          </cell>
        </row>
        <row r="788">
          <cell r="F788" t="str">
            <v>KABEL SCHOEN 95 MM AL CU</v>
          </cell>
        </row>
        <row r="789">
          <cell r="F789" t="str">
            <v>KABEL SCHOEN 95 MM CU</v>
          </cell>
        </row>
        <row r="790">
          <cell r="F790" t="str">
            <v>Kabel Schoen 95 mm2</v>
          </cell>
        </row>
        <row r="791">
          <cell r="F791" t="str">
            <v>KABEL SCHOEN CU 50 MM</v>
          </cell>
        </row>
        <row r="792">
          <cell r="F792" t="str">
            <v>Kabel Scoubnd 4 mm</v>
          </cell>
        </row>
        <row r="793">
          <cell r="F793" t="str">
            <v>Kabel Scoun Galvanis u/Sacklar</v>
          </cell>
        </row>
        <row r="794">
          <cell r="F794" t="str">
            <v>Kabel Scoun u/Open Seklar</v>
          </cell>
        </row>
        <row r="795">
          <cell r="F795" t="str">
            <v>Kabel Sling Meter</v>
          </cell>
        </row>
        <row r="796">
          <cell r="F796" t="str">
            <v>Kabel Support 2 x 10 mm</v>
          </cell>
        </row>
        <row r="797">
          <cell r="F797" t="str">
            <v>KABEL TIC 2 X 10 MM</v>
          </cell>
        </row>
        <row r="798">
          <cell r="F798" t="str">
            <v>KABEL TIC 2 X 16 MM</v>
          </cell>
        </row>
        <row r="799">
          <cell r="F799" t="str">
            <v>KABEL TIC 3X25 + 1X25 MM</v>
          </cell>
        </row>
        <row r="800">
          <cell r="F800" t="str">
            <v>KABEL TIC 3X35 + 1X25 MM</v>
          </cell>
        </row>
        <row r="801">
          <cell r="F801" t="str">
            <v>KABEL TIC 3X70 + 1X50 MM</v>
          </cell>
        </row>
        <row r="802">
          <cell r="F802" t="str">
            <v>KABEL TIC 4 X 16 MM</v>
          </cell>
        </row>
        <row r="803">
          <cell r="F803" t="str">
            <v>KABEL TIC 4 X 25 MM</v>
          </cell>
        </row>
        <row r="804">
          <cell r="F804" t="str">
            <v>KABEL TIC 4 X 25 MM</v>
          </cell>
        </row>
        <row r="805">
          <cell r="F805" t="str">
            <v>KABEL TR NYY 1 X 50 mm2</v>
          </cell>
        </row>
        <row r="806">
          <cell r="F806" t="str">
            <v>KABEL XLPE 1 X 240 MM 20 KV</v>
          </cell>
        </row>
        <row r="807">
          <cell r="F807" t="str">
            <v>Kabel XLPE 1 x 300 mm 20 KV</v>
          </cell>
        </row>
        <row r="808">
          <cell r="F808" t="str">
            <v>Kabel XLPE 3 x 150 mm 20 KV ( NA2XSEYBY )</v>
          </cell>
        </row>
        <row r="809">
          <cell r="F809" t="str">
            <v>KABEL XLPE 3 X 50 MM 20 KV</v>
          </cell>
        </row>
        <row r="810">
          <cell r="F810" t="str">
            <v>KABEL XLPE 3 X120 MM</v>
          </cell>
        </row>
        <row r="811">
          <cell r="F811" t="str">
            <v>Kabel XLPE 3x 95mm 20 KV</v>
          </cell>
        </row>
        <row r="812">
          <cell r="F812" t="str">
            <v>Kain Lap Serbet</v>
          </cell>
        </row>
        <row r="813">
          <cell r="F813" t="str">
            <v>Kap Lampu TL 20 Watt</v>
          </cell>
        </row>
        <row r="814">
          <cell r="F814" t="str">
            <v>KAWAT SEGEL</v>
          </cell>
        </row>
        <row r="815">
          <cell r="F815" t="str">
            <v>KAWAT AAAC 150 MM</v>
          </cell>
        </row>
        <row r="816">
          <cell r="F816" t="str">
            <v>KAWAT AAAC 240 MM</v>
          </cell>
        </row>
        <row r="817">
          <cell r="F817" t="str">
            <v>KAWAT AAAC 70 MM</v>
          </cell>
        </row>
        <row r="818">
          <cell r="F818" t="str">
            <v>Kawat Licin</v>
          </cell>
        </row>
        <row r="819">
          <cell r="F819" t="str">
            <v>KAWAT SEGEL PLASTIK</v>
          </cell>
        </row>
        <row r="820">
          <cell r="F820" t="str">
            <v>KAWAT TIC 3X50+1X35 MM</v>
          </cell>
        </row>
        <row r="821">
          <cell r="F821" t="str">
            <v>Klem beton No. 1 0</v>
          </cell>
        </row>
        <row r="822">
          <cell r="F822" t="str">
            <v>Klem beton No. 1 4</v>
          </cell>
        </row>
        <row r="823">
          <cell r="F823" t="str">
            <v>KLEM BETON NO 20</v>
          </cell>
        </row>
        <row r="824">
          <cell r="F824" t="str">
            <v>KLEM BETON NO.22</v>
          </cell>
        </row>
        <row r="825">
          <cell r="F825" t="str">
            <v>KLEM BEUGEL 1 1/2"</v>
          </cell>
        </row>
        <row r="826">
          <cell r="F826" t="str">
            <v>Klem Beugel 1,5"</v>
          </cell>
        </row>
        <row r="827">
          <cell r="F827" t="str">
            <v>KLEM BEUGEL D 11/2</v>
          </cell>
        </row>
        <row r="828">
          <cell r="F828" t="str">
            <v>KLEM BEUGEL D. 2,5"</v>
          </cell>
        </row>
        <row r="829">
          <cell r="F829" t="str">
            <v>Klem PVC 1"</v>
          </cell>
        </row>
        <row r="830">
          <cell r="F830" t="str">
            <v>Klem PVC 1/2"</v>
          </cell>
        </row>
        <row r="831">
          <cell r="F831" t="str">
            <v>Kon. Berbadan logam 35/70 - 35/70 mm</v>
          </cell>
        </row>
        <row r="832">
          <cell r="F832" t="str">
            <v>Konzen ( thimble )</v>
          </cell>
        </row>
        <row r="833">
          <cell r="F833" t="str">
            <v>KOTAK TERMINAL LAYANAN</v>
          </cell>
        </row>
        <row r="834">
          <cell r="F834" t="str">
            <v>Kunci Gembok</v>
          </cell>
        </row>
        <row r="835">
          <cell r="F835" t="str">
            <v>KVARH 3 PHASE 3 X 5 A/25 A</v>
          </cell>
        </row>
        <row r="836">
          <cell r="F836" t="str">
            <v>KVARH Meter 3 Phase 230 - 400 V. 20/60 A ST</v>
          </cell>
        </row>
        <row r="837">
          <cell r="F837" t="str">
            <v>KVARH Meter 3 Phs 20/60 A 230/400 Volt ST Type OR 293.L</v>
          </cell>
        </row>
        <row r="838">
          <cell r="F838" t="str">
            <v>KVARH Meter 3 Phs 230 - 400 V, 5 A ST</v>
          </cell>
        </row>
        <row r="839">
          <cell r="F839" t="str">
            <v>KVARH Meter 5/20 - 5/25 Amper 3 Phs (RELOKASI)</v>
          </cell>
        </row>
        <row r="840">
          <cell r="F840" t="str">
            <v>KVARH MTR 3 PHS 100/3/100 VOLT 5A 220/380 VOLT</v>
          </cell>
        </row>
        <row r="841">
          <cell r="F841" t="str">
            <v>KVARH MTR 3 PHS 20/60 220/380 V</v>
          </cell>
        </row>
        <row r="842">
          <cell r="F842" t="str">
            <v>KVARH MTR 3 PHS 3X5 A 380V</v>
          </cell>
        </row>
        <row r="843">
          <cell r="F843" t="str">
            <v>KVARH MTR 3 PHS 5A 220/380V</v>
          </cell>
        </row>
        <row r="844">
          <cell r="F844" t="str">
            <v>Kwh meter 1 Phs 5/20 Amp. 220 V D T</v>
          </cell>
        </row>
        <row r="845">
          <cell r="F845" t="str">
            <v>Kwh meter elektronik Class 1" 5/40 Amp.</v>
          </cell>
        </row>
        <row r="846">
          <cell r="F846" t="str">
            <v>KWH Elec 1 Phs 5/20 A + MCB 20 A</v>
          </cell>
        </row>
        <row r="847">
          <cell r="F847" t="str">
            <v>KWH Meter 1 Phasa 5/20 A 220 V</v>
          </cell>
        </row>
        <row r="848">
          <cell r="F848" t="str">
            <v>KWH METER 1 PHS 20/60 A</v>
          </cell>
        </row>
        <row r="849">
          <cell r="F849" t="str">
            <v>KWH METER 1 PHS 5/20 A 220 KV</v>
          </cell>
        </row>
        <row r="850">
          <cell r="F850" t="str">
            <v>KWH METER 1 PHS 5/20 A COMBO 4 A</v>
          </cell>
        </row>
        <row r="851">
          <cell r="F851" t="str">
            <v>KWH METER 1 PHS 5/20 A COMBO 6 A</v>
          </cell>
        </row>
        <row r="852">
          <cell r="F852" t="str">
            <v>Kwh Meter 1 phs 5/40 Amp VAC 3200 kwh teknologi mikro processor</v>
          </cell>
        </row>
        <row r="853">
          <cell r="F853" t="str">
            <v>KWH METER 1 PHS 5-20 A</v>
          </cell>
        </row>
        <row r="854">
          <cell r="F854" t="str">
            <v>KWH METER 1 PRABAYAR PHS 5/60A</v>
          </cell>
        </row>
        <row r="855">
          <cell r="F855" t="str">
            <v>KWH METER 1 PRABAYAR PHS 5/60A + MCB 10A</v>
          </cell>
        </row>
        <row r="856">
          <cell r="F856" t="str">
            <v>kWh Meter Mekanik 1 Phs 20/60 A Type Combo+MCB 2 A</v>
          </cell>
        </row>
        <row r="857">
          <cell r="F857" t="str">
            <v>KWH METER 1 PRABAYAR PHS 5/60A + MCB 4A</v>
          </cell>
        </row>
        <row r="858">
          <cell r="F858" t="str">
            <v>KWH METER 1 PRABAYAR PHS 5/60A + MCB 6A</v>
          </cell>
        </row>
        <row r="859">
          <cell r="F859" t="str">
            <v>Kwh Meter 3 Phasa 30/120 A S.T 220/380 V</v>
          </cell>
        </row>
        <row r="860">
          <cell r="F860" t="str">
            <v>Kwh Meter 3 Phasa 600/5 A 4W 57,7/100 V</v>
          </cell>
        </row>
        <row r="861">
          <cell r="F861" t="str">
            <v>KWH METER 3 PHASA ELEKTRONIK 5-20 A CLASS 0.5</v>
          </cell>
        </row>
        <row r="862">
          <cell r="F862" t="str">
            <v>KWH METER 3 PHASA ELEKTRONIK 5-20 A CLASS 1</v>
          </cell>
        </row>
        <row r="863">
          <cell r="F863" t="str">
            <v>KWH METER 3 PHASA ELEKTRONIK CLASS 1,3 X 220/380V 50 Hz 5(10)A</v>
          </cell>
        </row>
        <row r="864">
          <cell r="F864" t="str">
            <v>KWH METER 3 PHASA ELEKTRONIK CLASS 1,3 X 220/380V Hz 5 (100)A</v>
          </cell>
        </row>
        <row r="865">
          <cell r="F865" t="str">
            <v>KWH Meter 3 Phase 50/150 Amp. ST</v>
          </cell>
        </row>
        <row r="866">
          <cell r="F866" t="str">
            <v>KWH METER 3 PHS 20/60 A 220/380 A DT</v>
          </cell>
        </row>
        <row r="867">
          <cell r="F867" t="str">
            <v>KWH METER 3 PHS 20/60 A 220/380 A ST</v>
          </cell>
        </row>
        <row r="868">
          <cell r="F868" t="str">
            <v>KWH Meter 3 Phs 20/60 A. DT</v>
          </cell>
        </row>
        <row r="869">
          <cell r="F869" t="str">
            <v>Kwh Meter 3 Phs 20/60 Amp</v>
          </cell>
        </row>
        <row r="870">
          <cell r="F870" t="str">
            <v>Kwh Meter 3 Phs 20/60 Amp (ST)</v>
          </cell>
        </row>
        <row r="871">
          <cell r="F871" t="str">
            <v>KWH Meter 3 Phs 230 - 400 5/20 DT</v>
          </cell>
        </row>
        <row r="872">
          <cell r="F872" t="str">
            <v>KWH Meter 3 Phs 230-400/5 A ST</v>
          </cell>
        </row>
        <row r="873">
          <cell r="F873" t="str">
            <v>KWH METER 3 PHS 230-400/5A ST</v>
          </cell>
        </row>
        <row r="874">
          <cell r="F874" t="str">
            <v>KWH METER 3 PHS 5 A</v>
          </cell>
        </row>
        <row r="875">
          <cell r="F875" t="str">
            <v>KWH METER 3 PHS 5 A 220/380V</v>
          </cell>
        </row>
        <row r="876">
          <cell r="F876" t="str">
            <v>KWH METER 3 PHS 5/20 A 220/380 A DT</v>
          </cell>
        </row>
        <row r="877">
          <cell r="F877" t="str">
            <v>KWH METER 3 PHS 5/20 AMP (ST)</v>
          </cell>
        </row>
        <row r="878">
          <cell r="F878" t="str">
            <v>KWH METER 5/40 A + MCB 25A</v>
          </cell>
        </row>
        <row r="879">
          <cell r="F879" t="str">
            <v>KWH METER 5/40 A + MCB 35A</v>
          </cell>
        </row>
        <row r="880">
          <cell r="F880" t="str">
            <v>KWH Meter Elec (MC3) 5/100, 220/380 V DT Segel</v>
          </cell>
        </row>
        <row r="881">
          <cell r="F881" t="str">
            <v>KWH Meter Elect 3 Phs 4 Kawat Class 0,5</v>
          </cell>
        </row>
        <row r="882">
          <cell r="F882" t="str">
            <v>KWH Meter Elect 3 Phs 4 Kawat Class 1</v>
          </cell>
        </row>
        <row r="883">
          <cell r="F883" t="str">
            <v>KWH Meter Electromagnetik 3 Phs 20/60A Class 2 ST</v>
          </cell>
        </row>
        <row r="884">
          <cell r="F884" t="str">
            <v>Kwh Meter Electronik 1 Phs 5/20 Amp Klas I Anti Tempering Komplit</v>
          </cell>
        </row>
        <row r="885">
          <cell r="F885" t="str">
            <v>Kwh Meter Electronik 1 Phs 5/40 Amp Combo Tanpa MCB</v>
          </cell>
        </row>
        <row r="886">
          <cell r="F886" t="str">
            <v>Kwh Meter Electronik 1 Phs 5/40 Amp Klas I (Dual Sensing)+MCB+KOTAK</v>
          </cell>
        </row>
        <row r="887">
          <cell r="F887" t="str">
            <v>KWH Meter Electronik 3 Phs 5/80A 220/380 Class 1</v>
          </cell>
        </row>
        <row r="888">
          <cell r="F888" t="str">
            <v>Kwh Meter Electronik 5/40A Class 1,230V combo</v>
          </cell>
        </row>
        <row r="889">
          <cell r="F889" t="str">
            <v>Kwh Meter Elekromekanik 5/30A Class</v>
          </cell>
        </row>
        <row r="890">
          <cell r="F890" t="str">
            <v>kWh Meter Elektromekanik 1 Phs 20/60 A Type Combo+MCB 25 A</v>
          </cell>
        </row>
        <row r="891">
          <cell r="F891" t="str">
            <v>Kwh meter elektronik CL.0,5 s 5(20) A 3 x 57,7- 230 Volt</v>
          </cell>
        </row>
        <row r="892">
          <cell r="F892" t="str">
            <v>Kwh meter elektronik class 0,5</v>
          </cell>
        </row>
        <row r="893">
          <cell r="F893" t="str">
            <v>Kwh meter elektronik class 1" 3 Phs 220/380 V 10/100 A</v>
          </cell>
        </row>
        <row r="894">
          <cell r="F894" t="str">
            <v>Kwh Meter Elektronik 1 Phs 220 Combo</v>
          </cell>
        </row>
        <row r="895">
          <cell r="F895" t="str">
            <v>Kwh Meter Elektronik 1 phs 5/30 Amp Class 1</v>
          </cell>
        </row>
        <row r="896">
          <cell r="F896" t="str">
            <v>KWH METER ELEKTRONIK 1 PHS 5/40</v>
          </cell>
        </row>
        <row r="897">
          <cell r="F897" t="str">
            <v>KWH METER ELEKTRONIK 1 PHS 5/40 A+MCB</v>
          </cell>
        </row>
        <row r="898">
          <cell r="F898" t="str">
            <v>Kwh Meter Elektronik 5(100)Amp. 57,7 / 100 Volt</v>
          </cell>
        </row>
        <row r="899">
          <cell r="F899" t="str">
            <v>Kwh meter elektronik class 1"3 Phs 220/380 V 5/20 A</v>
          </cell>
        </row>
        <row r="900">
          <cell r="F900" t="str">
            <v>KWH METER EM 1 PHASA 20/60 A + MCB 20 A</v>
          </cell>
        </row>
        <row r="901">
          <cell r="F901" t="str">
            <v>KWH Meter Mekanik 1 Phs 220V 5/20A+MCB(Combo) 10A</v>
          </cell>
        </row>
        <row r="902">
          <cell r="F902" t="str">
            <v>Kwh Meter Prabayar 1 Phasa 5/60 A 230v</v>
          </cell>
        </row>
        <row r="903">
          <cell r="F903" t="str">
            <v>KWH Meter Statis Prabayar 5(60).50 Hz + MCB 16 A</v>
          </cell>
        </row>
        <row r="904">
          <cell r="F904" t="str">
            <v>KWH Mtr Eelctromekanik 1 Phs 20/60 A 230 V, 50 HZ Type Combo+ Segel Metrologi + MCB 25 Amp</v>
          </cell>
        </row>
        <row r="905">
          <cell r="F905" t="str">
            <v>KWH Mtr Eelctromekanik 1 Phs 20/60 A 230 V, 50 HZ Type Combo+ Segel Metrologi + MCB 35 Amp</v>
          </cell>
        </row>
        <row r="906">
          <cell r="F906" t="str">
            <v>KWH MTR 3 PHS 15 A</v>
          </cell>
        </row>
        <row r="907">
          <cell r="F907" t="str">
            <v>KWH MTR 3 PHS 30/120 A 230/380 V ST</v>
          </cell>
        </row>
        <row r="908">
          <cell r="F908" t="str">
            <v>KWH MTR 3 PHS 5/20 A ST</v>
          </cell>
        </row>
        <row r="909">
          <cell r="F909" t="str">
            <v>KWH MTR 3 PHS 50/100 A 230/400 AMP DT</v>
          </cell>
        </row>
        <row r="910">
          <cell r="F910" t="str">
            <v>Kwh Mtr 3 Phs 57,7 A (5 Amp)</v>
          </cell>
        </row>
        <row r="911">
          <cell r="F911" t="str">
            <v>KWH MTR 3 PHS ELEC 5/20 AMP</v>
          </cell>
        </row>
        <row r="912">
          <cell r="F912" t="str">
            <v>KWH MTR 3PH 10/30 AMP 220/380V ST</v>
          </cell>
        </row>
        <row r="913">
          <cell r="F913" t="str">
            <v>KWH MTR 3PHS 15/60A 127/220/380V ST</v>
          </cell>
        </row>
        <row r="914">
          <cell r="F914" t="str">
            <v>KWH Mtr Electromagnetik 3 Phs 5/20A Class 2 ST</v>
          </cell>
        </row>
        <row r="915">
          <cell r="F915" t="str">
            <v>KWH Mtr Electronic 1Phs 5/40 A lass.1 anti tempering</v>
          </cell>
        </row>
        <row r="916">
          <cell r="F916" t="str">
            <v>KWH Mtr Electronic 3 Phs , 230/400 V, 5-100 A</v>
          </cell>
        </row>
        <row r="917">
          <cell r="F917" t="str">
            <v>KWH Mtr Electronik 5-40A COMBO MCB 10 A</v>
          </cell>
        </row>
        <row r="918">
          <cell r="F918" t="str">
            <v>Kwh Mtr Elek 3 Phs Cls 0,2 S,3x57,7/100-240/415V 50 Hz, 5 (10)A</v>
          </cell>
        </row>
        <row r="919">
          <cell r="F919" t="str">
            <v>Kwh Mtr Elektronik 1 phs 5/30 A Class 1 + MCB 35 Amp</v>
          </cell>
        </row>
        <row r="920">
          <cell r="F920" t="str">
            <v>KWH MTR ELEKTRONIK CLASS 1</v>
          </cell>
        </row>
        <row r="921">
          <cell r="F921" t="str">
            <v>Kwh Mtr Elektronik Class 1 5/40 Amp</v>
          </cell>
        </row>
        <row r="922">
          <cell r="F922" t="str">
            <v>Kwh Mtr Elektronik1phs5/30A+Mcb6A</v>
          </cell>
        </row>
        <row r="923">
          <cell r="F923" t="str">
            <v>KWH MTR PRABAYAR 1 PHS 220V 5/60 A+MCB 2A</v>
          </cell>
        </row>
        <row r="924">
          <cell r="F924" t="str">
            <v>KWH Mtr Prabayar 1 Phs 5/60A 230V</v>
          </cell>
        </row>
        <row r="925">
          <cell r="F925" t="str">
            <v>KWH Mtr PRABAYAR 1 PHS COMBO MCB 2 AMP</v>
          </cell>
        </row>
        <row r="926">
          <cell r="F926" t="str">
            <v>KWH Mtr Prabayar 5/60 A Combo + MCB 20 A</v>
          </cell>
        </row>
        <row r="927">
          <cell r="F927" t="str">
            <v>KWH Mtr Prabayar 5/60 A Combo + MCB 35 A</v>
          </cell>
        </row>
        <row r="928">
          <cell r="F928" t="str">
            <v>L ARESTER 20 KV</v>
          </cell>
        </row>
        <row r="929">
          <cell r="F929" t="str">
            <v>L ARRESTER 24 KV</v>
          </cell>
        </row>
        <row r="930">
          <cell r="F930" t="str">
            <v>L. BOCH 1"</v>
          </cell>
        </row>
        <row r="931">
          <cell r="F931" t="str">
            <v>L.Boch Plastick 3/4"</v>
          </cell>
        </row>
        <row r="932">
          <cell r="F932" t="str">
            <v>Lampu Pijar Philip 100 Watt</v>
          </cell>
        </row>
        <row r="933">
          <cell r="F933" t="str">
            <v>LAMPU SINYAL KUNING</v>
          </cell>
        </row>
        <row r="934">
          <cell r="F934" t="str">
            <v>Lampu sorot U/Mobil</v>
          </cell>
        </row>
        <row r="935">
          <cell r="F935" t="str">
            <v>Large Agle Assembly U/TM</v>
          </cell>
        </row>
        <row r="936">
          <cell r="F936" t="str">
            <v>LARGE ANGLE ASSEMBLY (T-2)</v>
          </cell>
        </row>
        <row r="937">
          <cell r="F937" t="str">
            <v>LARGE ANGLE ASSEMBLY 25-50MM</v>
          </cell>
        </row>
        <row r="938">
          <cell r="F938" t="str">
            <v>LARGE ANGLE ASSEMBLY 50-70</v>
          </cell>
        </row>
        <row r="939">
          <cell r="F939" t="str">
            <v>LARGE ASSEMBLY 20-50MM</v>
          </cell>
        </row>
        <row r="940">
          <cell r="F940" t="str">
            <v>L-Bow 2"</v>
          </cell>
        </row>
        <row r="941">
          <cell r="F941" t="str">
            <v>L-Bow Pipa PVC 1/2"</v>
          </cell>
        </row>
        <row r="942">
          <cell r="F942" t="str">
            <v>LCV 3 Group 3 Phasa 400 A Complete</v>
          </cell>
        </row>
        <row r="943">
          <cell r="F943" t="str">
            <v>LCV MINI 3 Group 3 Phasa 160 A Complete</v>
          </cell>
        </row>
        <row r="944">
          <cell r="F944" t="str">
            <v>Lem Pipa PVC</v>
          </cell>
        </row>
        <row r="945">
          <cell r="F945" t="str">
            <v>Lem PVC.</v>
          </cell>
        </row>
        <row r="946">
          <cell r="F946" t="str">
            <v>Lem Silikon Ukuran Besar</v>
          </cell>
        </row>
        <row r="947">
          <cell r="F947" t="str">
            <v>LEMARI BAGI 2 JURUSAN 250 A LKGP</v>
          </cell>
        </row>
        <row r="948">
          <cell r="F948" t="str">
            <v>LEMARI BAGI 2 JURUSAN 250 ABOX FIBER NH FUSE</v>
          </cell>
        </row>
        <row r="949">
          <cell r="F949" t="str">
            <v>LEMARI BAGI 4 JURUSAN 630 A BOX FIBER NH FUSE</v>
          </cell>
        </row>
        <row r="950">
          <cell r="F950" t="str">
            <v>Lighting Arester 20 - 24 KV</v>
          </cell>
        </row>
        <row r="951">
          <cell r="F951" t="str">
            <v>Lighting Arrester</v>
          </cell>
        </row>
        <row r="952">
          <cell r="F952" t="str">
            <v>Lihgting Arister 9 KV</v>
          </cell>
        </row>
        <row r="953">
          <cell r="F953" t="str">
            <v>Line Guard 1/0 ( 50 mm )</v>
          </cell>
        </row>
        <row r="954">
          <cell r="F954" t="str">
            <v>Line Guard 150 mm</v>
          </cell>
        </row>
        <row r="955">
          <cell r="F955" t="str">
            <v>Line Guard 2 AWG ( 35 mm )</v>
          </cell>
        </row>
        <row r="956">
          <cell r="F956" t="str">
            <v>Line Guard 70"</v>
          </cell>
        </row>
        <row r="957">
          <cell r="F957" t="str">
            <v>Line Guard 95MM</v>
          </cell>
        </row>
        <row r="958">
          <cell r="F958" t="str">
            <v>Link Untuk Pengikat Kabel.</v>
          </cell>
        </row>
        <row r="959">
          <cell r="F959" t="str">
            <v>Load Draad 0,5 mm</v>
          </cell>
        </row>
        <row r="960">
          <cell r="F960" t="str">
            <v>Look Free</v>
          </cell>
        </row>
        <row r="961">
          <cell r="F961" t="str">
            <v>Luck Nut 5/8"</v>
          </cell>
        </row>
        <row r="962">
          <cell r="F962" t="str">
            <v>LVC 4 Group 200 A Complet</v>
          </cell>
        </row>
        <row r="963">
          <cell r="F963" t="str">
            <v>LVC Mini 3 Phasa 4 Group 300 Amp.</v>
          </cell>
        </row>
        <row r="964">
          <cell r="F964" t="str">
            <v>LVC 2 Group 250 Amp</v>
          </cell>
        </row>
        <row r="965">
          <cell r="F965" t="str">
            <v>LVC 3 GROUP</v>
          </cell>
        </row>
        <row r="966">
          <cell r="F966" t="str">
            <v>LVC 3 Group 300 A Lengkap Fuse</v>
          </cell>
        </row>
        <row r="967">
          <cell r="F967" t="str">
            <v>LVC 3 Phasa 2 Group 160 A + MCCB 125 A Lngkp NT Fuse</v>
          </cell>
        </row>
        <row r="968">
          <cell r="F968" t="str">
            <v>LVC 3 Phasa 2 Group 250 Amp Lengkap Fuse</v>
          </cell>
        </row>
        <row r="969">
          <cell r="F969" t="str">
            <v>LVC 3 Phasa 3 Group 40x25x60 cm FH.160 Amp.</v>
          </cell>
        </row>
        <row r="970">
          <cell r="F970" t="str">
            <v>LVC 3 Phasa 4 Group 80x35x120 cm FH.400 Amp.</v>
          </cell>
        </row>
        <row r="971">
          <cell r="F971" t="str">
            <v>LVC 3 PHS 2 GROUP 160 AMP</v>
          </cell>
        </row>
        <row r="972">
          <cell r="F972" t="str">
            <v>LVC 3 PHS 2 GROUP+NT FUSE 35A SIZE 0+MCCB 50-63</v>
          </cell>
        </row>
        <row r="973">
          <cell r="F973" t="str">
            <v>LVC 3 PHS 2 GROUP+NT FUSE 63A SIZE 1+MCCB 125A</v>
          </cell>
        </row>
        <row r="974">
          <cell r="F974" t="str">
            <v>LVC 3 PHS 3 GROUP 200 A+HOLDER+NT FUSE</v>
          </cell>
        </row>
        <row r="975">
          <cell r="F975" t="str">
            <v>LVC 3 PHS, 3GROUP 400A LENGKAP NT-1 80</v>
          </cell>
        </row>
        <row r="976">
          <cell r="F976" t="str">
            <v>LVC 3 PHS, 3GROUP 400A, LENGKAP NT-1 100</v>
          </cell>
        </row>
        <row r="977">
          <cell r="F977" t="str">
            <v>LVC 4 GROUP 3 PHASA 400 A COMPLET</v>
          </cell>
        </row>
        <row r="978">
          <cell r="F978" t="str">
            <v>LVC MINI</v>
          </cell>
        </row>
        <row r="979">
          <cell r="F979" t="str">
            <v>LVCB 3 Phasa 50 KVA</v>
          </cell>
        </row>
        <row r="980">
          <cell r="F980" t="str">
            <v>LVCB 3 PHS 50 KVA.</v>
          </cell>
        </row>
        <row r="981">
          <cell r="F981" t="str">
            <v>LVSB;DIST;3P;380V;400A;3LINE;OD</v>
          </cell>
        </row>
        <row r="982">
          <cell r="F982" t="str">
            <v>M C C B 3 PHS 40 AMP</v>
          </cell>
        </row>
        <row r="983">
          <cell r="F983" t="str">
            <v>MACROFLEX (PENGUKUR PANJANG KABEL)</v>
          </cell>
        </row>
        <row r="984">
          <cell r="F984" t="str">
            <v>MCB 1 PHASA 40 A</v>
          </cell>
        </row>
        <row r="985">
          <cell r="F985" t="str">
            <v>MCB 1 PHASA 63 A</v>
          </cell>
        </row>
        <row r="986">
          <cell r="F986" t="str">
            <v>MCB 1 PHS 2 A 220/250V</v>
          </cell>
        </row>
        <row r="987">
          <cell r="F987" t="str">
            <v>MCB 1 PHS 10 A 220V</v>
          </cell>
        </row>
        <row r="988">
          <cell r="F988" t="str">
            <v>MCB 1 PHS 10 A 230V</v>
          </cell>
        </row>
        <row r="989">
          <cell r="F989" t="str">
            <v>MCB 1 PHS 10 A + BOX</v>
          </cell>
        </row>
        <row r="990">
          <cell r="F990" t="str">
            <v>MCB 1 PHS 10A TIDAK PAKAI BOX</v>
          </cell>
        </row>
        <row r="991">
          <cell r="F991" t="str">
            <v>MCB 1 PHS 16 A 220V</v>
          </cell>
        </row>
        <row r="992">
          <cell r="F992" t="str">
            <v>MCB 1 PHS 16 A 230V</v>
          </cell>
        </row>
        <row r="993">
          <cell r="F993" t="str">
            <v>MCB 1 PHS 16 A TIDAK PAKAI BOX</v>
          </cell>
        </row>
        <row r="994">
          <cell r="F994" t="str">
            <v>MCB 1 PHS 2 A 230/400V</v>
          </cell>
        </row>
        <row r="995">
          <cell r="F995" t="str">
            <v>MCB 1 PHS 2 A TANPA BOX</v>
          </cell>
        </row>
        <row r="996">
          <cell r="F996" t="str">
            <v>MCB 1 PHS 20 A 220V</v>
          </cell>
        </row>
        <row r="997">
          <cell r="F997" t="str">
            <v>MCB 1 PHS 20 A 230V</v>
          </cell>
        </row>
        <row r="998">
          <cell r="F998" t="str">
            <v>MCB 1 PHS 20A TIDAK PAKAI BOX</v>
          </cell>
        </row>
        <row r="999">
          <cell r="F999" t="str">
            <v>MCB 1 PHS 25 A 220V</v>
          </cell>
        </row>
        <row r="1000">
          <cell r="F1000" t="str">
            <v>MCB 1 PHS 25 A 230V</v>
          </cell>
        </row>
        <row r="1001">
          <cell r="F1001" t="str">
            <v>MCB 1 PHS 25 A TIDAK PAKAI BOX</v>
          </cell>
        </row>
        <row r="1002">
          <cell r="F1002" t="str">
            <v>MCB 1 PHS 35 A 220V</v>
          </cell>
        </row>
        <row r="1003">
          <cell r="F1003" t="str">
            <v>MCB 1 PHS 35 A 230V</v>
          </cell>
        </row>
        <row r="1004">
          <cell r="F1004" t="str">
            <v>MCB 1 PHS 35 A TANPA BOX</v>
          </cell>
        </row>
        <row r="1005">
          <cell r="F1005" t="str">
            <v>MCB 1 PHS 4 A 220V</v>
          </cell>
        </row>
        <row r="1006">
          <cell r="F1006" t="str">
            <v>MCB 1 PHS 4 A 230V</v>
          </cell>
        </row>
        <row r="1007">
          <cell r="F1007" t="str">
            <v>MCB 1 PHS 4A TIDAK PAKAI BOX</v>
          </cell>
        </row>
        <row r="1008">
          <cell r="F1008" t="str">
            <v>MCB 1 PHS 50 A 220V</v>
          </cell>
        </row>
        <row r="1009">
          <cell r="F1009" t="str">
            <v>MCB 1 PHS 50 A 230V</v>
          </cell>
        </row>
        <row r="1010">
          <cell r="F1010" t="str">
            <v>MCB 1 PHS 6 A 220V</v>
          </cell>
        </row>
        <row r="1011">
          <cell r="F1011" t="str">
            <v>MCB 1 PHS 6 A 230V</v>
          </cell>
        </row>
        <row r="1012">
          <cell r="F1012" t="str">
            <v>MCB 1 PHS 63 A</v>
          </cell>
        </row>
        <row r="1013">
          <cell r="F1013" t="str">
            <v>MCB 1 PHS 6A TIDAK PAKAI BOX</v>
          </cell>
        </row>
        <row r="1014">
          <cell r="F1014" t="str">
            <v>MCB 3 PHASA 50 A</v>
          </cell>
        </row>
        <row r="1015">
          <cell r="F1015" t="str">
            <v>MCB 3 PHASA 63 A</v>
          </cell>
        </row>
        <row r="1016">
          <cell r="F1016" t="str">
            <v>MCB 3 PHS 10 A</v>
          </cell>
        </row>
        <row r="1017">
          <cell r="F1017" t="str">
            <v>MCB 3 PHS 100 A</v>
          </cell>
        </row>
        <row r="1018">
          <cell r="F1018" t="str">
            <v>MCB 3 PHS 125 A</v>
          </cell>
        </row>
        <row r="1019">
          <cell r="F1019" t="str">
            <v>MCB 3 PHS 16 A</v>
          </cell>
        </row>
        <row r="1020">
          <cell r="F1020" t="str">
            <v>MCB 3 PHS 20 A</v>
          </cell>
        </row>
        <row r="1021">
          <cell r="F1021" t="str">
            <v>MCB 3 PHS 25 A</v>
          </cell>
        </row>
        <row r="1022">
          <cell r="F1022" t="str">
            <v>MCB 3 PHS 250 A</v>
          </cell>
        </row>
        <row r="1023">
          <cell r="F1023" t="str">
            <v>MCB 3 PHS 35 A</v>
          </cell>
        </row>
        <row r="1024">
          <cell r="F1024" t="str">
            <v>MCB 3 PHS 50 A</v>
          </cell>
        </row>
        <row r="1025">
          <cell r="F1025" t="str">
            <v>Mcb 3 Phs 50 Amp tanpa box</v>
          </cell>
        </row>
        <row r="1026">
          <cell r="F1026" t="str">
            <v>MCB 3 PHS 6 A</v>
          </cell>
        </row>
        <row r="1027">
          <cell r="F1027" t="str">
            <v>MCB 63 Amp</v>
          </cell>
        </row>
        <row r="1028">
          <cell r="F1028" t="str">
            <v>MCB THREE POLE 250V-3x6 AMP</v>
          </cell>
        </row>
        <row r="1029">
          <cell r="F1029" t="str">
            <v>MCCB 100 A</v>
          </cell>
        </row>
        <row r="1030">
          <cell r="F1030" t="str">
            <v>MCCB 160 A</v>
          </cell>
        </row>
        <row r="1031">
          <cell r="F1031" t="str">
            <v>MCCB 160-300 A</v>
          </cell>
        </row>
        <row r="1032">
          <cell r="F1032" t="str">
            <v>MCCB 200 A</v>
          </cell>
        </row>
        <row r="1033">
          <cell r="F1033" t="str">
            <v>MCCB 3 PHASA 200A</v>
          </cell>
        </row>
        <row r="1034">
          <cell r="F1034" t="str">
            <v>MCCB 3 PHASA 220/380V, 15 A</v>
          </cell>
        </row>
        <row r="1035">
          <cell r="F1035" t="str">
            <v>MCCB 3 PHASA 220/380V, 20 A</v>
          </cell>
        </row>
        <row r="1036">
          <cell r="F1036" t="str">
            <v>MCCB 3 PHASA 220/380V, 25 A</v>
          </cell>
        </row>
        <row r="1037">
          <cell r="F1037" t="str">
            <v>MCCB 3 Phasa 75 A 380/400 V</v>
          </cell>
        </row>
        <row r="1038">
          <cell r="F1038" t="str">
            <v>MCCB 3 PHASA 80-100A</v>
          </cell>
        </row>
        <row r="1039">
          <cell r="F1039" t="str">
            <v>MCCB 3 X 225 Amper</v>
          </cell>
        </row>
        <row r="1040">
          <cell r="F1040" t="str">
            <v>MCCB 3PHS 100-125 AMP NS 160 N</v>
          </cell>
        </row>
        <row r="1041">
          <cell r="F1041" t="str">
            <v>MCCB 3PHS 160- 200 AMP NS 250 N</v>
          </cell>
        </row>
        <row r="1042">
          <cell r="F1042" t="str">
            <v>MCCB 3PHS 200- 250 AMP NS 250 N</v>
          </cell>
        </row>
        <row r="1043">
          <cell r="F1043" t="str">
            <v>MCCB 3PHS 63-80 AMP NS 100N</v>
          </cell>
        </row>
        <row r="1044">
          <cell r="F1044" t="str">
            <v>MCCB 63-80 A</v>
          </cell>
        </row>
        <row r="1045">
          <cell r="F1045" t="str">
            <v>MCCB 80 A</v>
          </cell>
        </row>
        <row r="1046">
          <cell r="F1046" t="str">
            <v>MEDITRAN - SAE 40</v>
          </cell>
        </row>
        <row r="1047">
          <cell r="F1047" t="str">
            <v>Meditran S 30</v>
          </cell>
        </row>
        <row r="1048">
          <cell r="F1048" t="str">
            <v>MEDITRAN S 40</v>
          </cell>
        </row>
        <row r="1049">
          <cell r="F1049" t="str">
            <v>MEDITRANS 15 W SAE 40</v>
          </cell>
        </row>
        <row r="1050">
          <cell r="F1050" t="str">
            <v>MEMBER TOWER NO. 69</v>
          </cell>
        </row>
        <row r="1051">
          <cell r="F1051" t="str">
            <v>Metran form strom binen 5/10</v>
          </cell>
        </row>
        <row r="1052">
          <cell r="F1052" t="str">
            <v>Metrans form strom binen 5/5</v>
          </cell>
        </row>
        <row r="1053">
          <cell r="F1053" t="str">
            <v>Minyak Mobil Guard</v>
          </cell>
        </row>
        <row r="1054">
          <cell r="F1054" t="str">
            <v>Minyak Trafo</v>
          </cell>
        </row>
        <row r="1055">
          <cell r="F1055" t="str">
            <v>MOBIL DALVAC</v>
          </cell>
        </row>
        <row r="1056">
          <cell r="F1056" t="str">
            <v>MODEM GSM + SIM CARD CLASS 1</v>
          </cell>
        </row>
        <row r="1057">
          <cell r="F1057" t="str">
            <v>Modem GSM Class</v>
          </cell>
        </row>
        <row r="1058">
          <cell r="F1058" t="str">
            <v>Modem GSM Class</v>
          </cell>
        </row>
        <row r="1059">
          <cell r="F1059" t="str">
            <v>MODEM GSM+Kabel Data,antena,power Modem</v>
          </cell>
        </row>
        <row r="1060">
          <cell r="F1060" t="str">
            <v>MODEM GSM+SIM CARD</v>
          </cell>
        </row>
        <row r="1061">
          <cell r="F1061" t="str">
            <v>MODEM GSM+SIM CARD CLASS 0,5</v>
          </cell>
        </row>
        <row r="1062">
          <cell r="F1062" t="str">
            <v>Moer Baut 1/4 x 2"</v>
          </cell>
        </row>
        <row r="1063">
          <cell r="F1063" t="str">
            <v>MOER BAUT SENG 3/16 x 1"</v>
          </cell>
        </row>
        <row r="1064">
          <cell r="F1064" t="str">
            <v>MOER BAUT SENG 3/16X1"</v>
          </cell>
        </row>
        <row r="1065">
          <cell r="F1065" t="str">
            <v>Mour Baut 1 1/2x5"</v>
          </cell>
        </row>
        <row r="1066">
          <cell r="F1066" t="str">
            <v>Mour Bout 0,50 x 1".</v>
          </cell>
        </row>
        <row r="1067">
          <cell r="F1067" t="str">
            <v>Mour Bout 0,50 x 4".</v>
          </cell>
        </row>
        <row r="1068">
          <cell r="F1068" t="str">
            <v>Mour Bout 1 x 7".</v>
          </cell>
        </row>
        <row r="1069">
          <cell r="F1069" t="str">
            <v>Mour Bout 3/4 x 6".</v>
          </cell>
        </row>
        <row r="1070">
          <cell r="F1070" t="str">
            <v>MTR ACC;KAWAT SEGEL</v>
          </cell>
        </row>
        <row r="1071">
          <cell r="F1071" t="str">
            <v>MTR;kVARH M;;3P;220/380V;50-100A;3;ST;</v>
          </cell>
        </row>
        <row r="1072">
          <cell r="F1072" t="str">
            <v>MTR;kVARH M;;3P;220/380V;5-20A;3;ST;4W</v>
          </cell>
        </row>
        <row r="1073">
          <cell r="F1073" t="str">
            <v>MTR;kWH E;;3P;57.7/240V;5-10A;0.5;;4W</v>
          </cell>
        </row>
        <row r="1074">
          <cell r="F1074" t="str">
            <v>MTR;kWH ECOM;;1P;230V;5-30A-4A;1;ST;2W</v>
          </cell>
        </row>
        <row r="1075">
          <cell r="F1075" t="str">
            <v>MTR;kWH ECOM;;1P;230V;5-40A-10A;1;;2W</v>
          </cell>
        </row>
        <row r="1076">
          <cell r="F1076" t="str">
            <v>MTR;kWH ECOM;;1P;230V;5-40A-2A;1;;2W</v>
          </cell>
        </row>
        <row r="1077">
          <cell r="F1077" t="str">
            <v>MTR;kWH ECOM;;1P;230V;5-40A-4A;1;ST;2W</v>
          </cell>
        </row>
        <row r="1078">
          <cell r="F1078" t="str">
            <v>MTR;kWH ECOM;;1P;230V;5-40A-6A;1;;2W</v>
          </cell>
        </row>
        <row r="1079">
          <cell r="F1079" t="str">
            <v>MTR;kWH M;;1P;220V;50-100A;2;ST;2W</v>
          </cell>
        </row>
        <row r="1080">
          <cell r="F1080" t="str">
            <v>MTR;kWH M;;3P;220/380V;20-60A;1;DT;4W</v>
          </cell>
        </row>
        <row r="1081">
          <cell r="F1081" t="str">
            <v>MTR;kWH M;;3P;220/380V;50-100A;2;DT;4W</v>
          </cell>
        </row>
        <row r="1082">
          <cell r="F1082" t="str">
            <v>MTR;kWH M;;3P;220/380V;50-100A;2;ST;4W</v>
          </cell>
        </row>
        <row r="1083">
          <cell r="F1083" t="str">
            <v>MTR;kWH MCOM;;1P;230V;20-60A-20A;2;ST;2W</v>
          </cell>
        </row>
        <row r="1084">
          <cell r="F1084" t="str">
            <v>MTR;kWH MCOM;;1P;230V;20-60A-25A;2;ST;2W</v>
          </cell>
        </row>
        <row r="1085">
          <cell r="F1085" t="str">
            <v>MTR;kWH MCOM;;1P;230V;20-60A-35A;2;ST;2W</v>
          </cell>
        </row>
        <row r="1086">
          <cell r="F1086" t="str">
            <v>MTR;kWH MCOM;;1P;230V;20-60A-50A;2;ST;2W</v>
          </cell>
        </row>
        <row r="1087">
          <cell r="F1087" t="str">
            <v>MTR;KWHMCOM;;1P;230V;20-60A MINMCB;;ST;</v>
          </cell>
        </row>
        <row r="1088">
          <cell r="F1088" t="str">
            <v>Mufen 5/8" S</v>
          </cell>
        </row>
        <row r="1089">
          <cell r="F1089" t="str">
            <v>MUR BAUT 5/8 X 2"</v>
          </cell>
        </row>
        <row r="1090">
          <cell r="F1090" t="str">
            <v>N T. fuse 32 Amp.</v>
          </cell>
        </row>
        <row r="1091">
          <cell r="F1091" t="str">
            <v>N T. fuse 65 Amp. Panjang</v>
          </cell>
        </row>
        <row r="1092">
          <cell r="F1092" t="str">
            <v>N T. fuse 250 Amp.</v>
          </cell>
        </row>
        <row r="1093">
          <cell r="F1093" t="str">
            <v>Non tension comp.joint 70 mm2</v>
          </cell>
        </row>
        <row r="1094">
          <cell r="F1094" t="str">
            <v>Non Tension Joint AL 35-35 mm² + H</v>
          </cell>
        </row>
        <row r="1095">
          <cell r="F1095" t="str">
            <v>NT Fuse 25 Amp ( Kaki Panjang )</v>
          </cell>
        </row>
        <row r="1096">
          <cell r="F1096" t="str">
            <v>NT Fuse 300 Amp ( Kaki Panjang )</v>
          </cell>
        </row>
        <row r="1097">
          <cell r="F1097" t="str">
            <v>NT Fuse 40 Amp ( Kaki Panjang )</v>
          </cell>
        </row>
        <row r="1098">
          <cell r="F1098" t="str">
            <v>NT Fuse 400 Amp ( Kaki Panjang )</v>
          </cell>
        </row>
        <row r="1099">
          <cell r="F1099" t="str">
            <v>NT Fuse 50 Amp ( Kaki Panjang )</v>
          </cell>
        </row>
        <row r="1100">
          <cell r="F1100" t="str">
            <v>NT Fuse 63 Amp ( Kaki Panjang )</v>
          </cell>
        </row>
        <row r="1101">
          <cell r="F1101" t="str">
            <v>NT Fuse 125 Amp ( Kaki Pendek )</v>
          </cell>
        </row>
        <row r="1102">
          <cell r="F1102" t="str">
            <v>NT Fuse 20 Amp ( Kaki Pendek )</v>
          </cell>
        </row>
        <row r="1103">
          <cell r="F1103" t="str">
            <v>NT Fuse 300 AmP KAKI PANJANG</v>
          </cell>
        </row>
        <row r="1104">
          <cell r="F1104" t="str">
            <v>NT Fuse 350 AmP KAKI PANJANG</v>
          </cell>
        </row>
        <row r="1105">
          <cell r="F1105" t="str">
            <v>NT Fuse 355 AmP KAKI PANJANG</v>
          </cell>
        </row>
        <row r="1106">
          <cell r="F1106" t="str">
            <v>NT Fuse 50 Amp ( Kaki Pendek )</v>
          </cell>
        </row>
        <row r="1107">
          <cell r="F1107" t="str">
            <v>NT Fuse 63 Amp ( Kaki Pendek )</v>
          </cell>
        </row>
        <row r="1108">
          <cell r="F1108" t="str">
            <v>NT FUSE 10 A</v>
          </cell>
        </row>
        <row r="1109">
          <cell r="F1109" t="str">
            <v>NT Fuse 100 A</v>
          </cell>
        </row>
        <row r="1110">
          <cell r="F1110" t="str">
            <v>NT FUSE 125 A PANJANG</v>
          </cell>
        </row>
        <row r="1111">
          <cell r="F1111" t="str">
            <v>NT Fuse 160 A</v>
          </cell>
        </row>
        <row r="1112">
          <cell r="F1112" t="str">
            <v>NT FUSE 200A PANJANG</v>
          </cell>
        </row>
        <row r="1113">
          <cell r="F1113" t="str">
            <v>Nt fuse 225 amp</v>
          </cell>
        </row>
        <row r="1114">
          <cell r="F1114" t="str">
            <v>NT FUSE 25 A</v>
          </cell>
        </row>
        <row r="1115">
          <cell r="F1115" t="str">
            <v>NT Fuse 250 Amp. KAKI PANJANG</v>
          </cell>
        </row>
        <row r="1116">
          <cell r="F1116" t="str">
            <v>Nt fuse 300-315 amp</v>
          </cell>
        </row>
        <row r="1117">
          <cell r="F1117" t="str">
            <v>NT FUSE 35 AMP PANJANG</v>
          </cell>
        </row>
        <row r="1118">
          <cell r="F1118" t="str">
            <v>NT FUSE 35 AMP PENDEK</v>
          </cell>
        </row>
        <row r="1119">
          <cell r="F1119" t="str">
            <v>NT Fuse 355 A</v>
          </cell>
        </row>
        <row r="1120">
          <cell r="F1120" t="str">
            <v>NT FUSE 355A</v>
          </cell>
        </row>
        <row r="1121">
          <cell r="F1121" t="str">
            <v>NT FUSE 40 A</v>
          </cell>
        </row>
        <row r="1122">
          <cell r="F1122" t="str">
            <v>NT Fuse 400 A</v>
          </cell>
        </row>
        <row r="1123">
          <cell r="F1123" t="str">
            <v>NT Fuse 400 A (Kaki panjang)</v>
          </cell>
        </row>
        <row r="1124">
          <cell r="F1124" t="str">
            <v>NT FUSE 50 A KAKI PENDEK</v>
          </cell>
        </row>
        <row r="1125">
          <cell r="F1125" t="str">
            <v>NT FUSE 63 A PENDEK</v>
          </cell>
        </row>
        <row r="1126">
          <cell r="F1126" t="str">
            <v>NT FUSE 80 A</v>
          </cell>
        </row>
        <row r="1127">
          <cell r="F1127" t="str">
            <v>NT Fuse 80 A (Kaki Panjang)</v>
          </cell>
        </row>
        <row r="1128">
          <cell r="F1128" t="str">
            <v>NT Fuse 80 Amp (Kaki Pendek)</v>
          </cell>
        </row>
        <row r="1129">
          <cell r="F1129" t="str">
            <v>NT FUSE HOLDER 200 A</v>
          </cell>
        </row>
        <row r="1130">
          <cell r="F1130" t="str">
            <v>Nt fuso 160 amp</v>
          </cell>
        </row>
        <row r="1131">
          <cell r="F1131" t="str">
            <v>NT Houder 250 Amp</v>
          </cell>
        </row>
        <row r="1132">
          <cell r="F1132" t="str">
            <v>NT Houder 630 Amp</v>
          </cell>
        </row>
        <row r="1133">
          <cell r="F1133" t="str">
            <v>NT. Fuse 35 A Kaki Pendek</v>
          </cell>
        </row>
        <row r="1134">
          <cell r="F1134" t="str">
            <v>NT. Fuse 50 A Kaki Pendek</v>
          </cell>
        </row>
        <row r="1135">
          <cell r="F1135" t="str">
            <v>NYY 4X95mm2</v>
          </cell>
        </row>
        <row r="1136">
          <cell r="F1136" t="str">
            <v>NYYHY;1X16mm</v>
          </cell>
        </row>
        <row r="1137">
          <cell r="F1137" t="str">
            <v>OK I</v>
          </cell>
        </row>
        <row r="1138">
          <cell r="F1138" t="str">
            <v>OK -III</v>
          </cell>
        </row>
        <row r="1139">
          <cell r="F1139" t="str">
            <v>OMC ( Outdoor Metering Cubicle )</v>
          </cell>
        </row>
        <row r="1140">
          <cell r="F1140" t="str">
            <v>OPERATING ROD FOR MOUNTED FUSE SWITCH DISC</v>
          </cell>
        </row>
        <row r="1141">
          <cell r="F1141" t="str">
            <v>OPTICAL COMUNICATION PROBE</v>
          </cell>
        </row>
        <row r="1142">
          <cell r="F1142" t="str">
            <v>OUT OUT10DAMP</v>
          </cell>
        </row>
        <row r="1143">
          <cell r="F1143" t="str">
            <v>Outoor Metering Cubicle ( OMC ), Ratio 10/5</v>
          </cell>
        </row>
        <row r="1144">
          <cell r="F1144" t="str">
            <v>Outoor Metering Cubicle ( OMC ), Ratio 20/5</v>
          </cell>
        </row>
        <row r="1145">
          <cell r="F1145" t="str">
            <v>Outoor Metering Cubicle ( OMC ), Ratio 40/5</v>
          </cell>
        </row>
        <row r="1146">
          <cell r="F1146" t="str">
            <v>Outoor Metering Cubicle ( OMC ), Ratio 50/5</v>
          </cell>
        </row>
        <row r="1147">
          <cell r="F1147" t="str">
            <v>Over Current dan Earth Faul Relay</v>
          </cell>
        </row>
        <row r="1148">
          <cell r="F1148" t="str">
            <v>OVERHEAD CAB.NYA2XBY 3X95+50 MM</v>
          </cell>
        </row>
        <row r="1149">
          <cell r="F1149" t="str">
            <v>P 3 NDD - KWH Meter Equipment</v>
          </cell>
        </row>
        <row r="1150">
          <cell r="F1150" t="str">
            <v>P M B C 24 kV, 630 A, 25 KA</v>
          </cell>
        </row>
        <row r="1151">
          <cell r="F1151" t="str">
            <v>P3 NDD1 Kwh Meter Equipment.</v>
          </cell>
        </row>
        <row r="1152">
          <cell r="F1152" t="str">
            <v>PACKING BUSSING LV</v>
          </cell>
        </row>
        <row r="1153">
          <cell r="F1153" t="str">
            <v>Packing Gabus 2mm</v>
          </cell>
        </row>
        <row r="1154">
          <cell r="F1154" t="str">
            <v>Packing Klingrid 1/32"</v>
          </cell>
        </row>
        <row r="1155">
          <cell r="F1155" t="str">
            <v>Paket JTR Kumis (25/35-10/16 mm) CCO 3T1</v>
          </cell>
        </row>
        <row r="1156">
          <cell r="F1156" t="str">
            <v>Paket JTR Kumis (50/70-25/35 mm) CCO 5T3</v>
          </cell>
        </row>
        <row r="1157">
          <cell r="F1157" t="str">
            <v>PAKET KUMIS</v>
          </cell>
        </row>
        <row r="1158">
          <cell r="F1158" t="str">
            <v>PAKU BETON / SPORT</v>
          </cell>
        </row>
        <row r="1159">
          <cell r="F1159" t="str">
            <v>Paku Scroup 2 1/2 x 10"</v>
          </cell>
        </row>
        <row r="1160">
          <cell r="F1160" t="str">
            <v>Paku Scroup 2 x 10 "</v>
          </cell>
        </row>
        <row r="1161">
          <cell r="F1161" t="str">
            <v>Paku Skrup 1 x 7"</v>
          </cell>
        </row>
        <row r="1162">
          <cell r="F1162" t="str">
            <v>Pal Zekring 1 x 25 A</v>
          </cell>
        </row>
        <row r="1163">
          <cell r="F1163" t="str">
            <v>Pancer Sekring 3 Phs 60 Amp</v>
          </cell>
        </row>
        <row r="1164">
          <cell r="F1164" t="str">
            <v>Panel Box KWH Elektronik</v>
          </cell>
        </row>
        <row r="1165">
          <cell r="F1165" t="str">
            <v>Papan Damar Laut 1 x 20 Cm x 5 Mtr</v>
          </cell>
        </row>
        <row r="1166">
          <cell r="F1166" t="str">
            <v>PAPAN METER 1 PHS</v>
          </cell>
        </row>
        <row r="1167">
          <cell r="F1167" t="str">
            <v>Papan Meter Type III</v>
          </cell>
        </row>
        <row r="1168">
          <cell r="F1168" t="str">
            <v>Papan Uk.2,5 x 20 x 240 Cm U/Rack Trafo</v>
          </cell>
        </row>
        <row r="1169">
          <cell r="F1169" t="str">
            <v>Paralel Group 150/35-70 mm</v>
          </cell>
        </row>
        <row r="1170">
          <cell r="F1170" t="str">
            <v>Paralel Group 240 mm</v>
          </cell>
        </row>
        <row r="1171">
          <cell r="F1171" t="str">
            <v>PARALEL GROUP 35-70 MM</v>
          </cell>
        </row>
        <row r="1172">
          <cell r="F1172" t="str">
            <v>PARALEL GROUP 50 MM</v>
          </cell>
        </row>
        <row r="1173">
          <cell r="F1173" t="str">
            <v>PARALEL GROUP 70 MM 1 BAUT</v>
          </cell>
        </row>
        <row r="1174">
          <cell r="F1174" t="str">
            <v>PARALEL GROUP AL/CU 6 - 70 MM</v>
          </cell>
        </row>
        <row r="1175">
          <cell r="F1175" t="str">
            <v>Parallel Group 70-150 mm2 (3 baut)</v>
          </cell>
        </row>
        <row r="1176">
          <cell r="F1176" t="str">
            <v>Parallel Group 150-240 mm2 (3 baut)</v>
          </cell>
        </row>
        <row r="1177">
          <cell r="F1177" t="str">
            <v>Pascroup/Pasring 10 Amp</v>
          </cell>
        </row>
        <row r="1178">
          <cell r="F1178" t="str">
            <v>PASIR</v>
          </cell>
        </row>
        <row r="1179">
          <cell r="F1179" t="str">
            <v>Pasta Solder</v>
          </cell>
        </row>
        <row r="1180">
          <cell r="F1180" t="str">
            <v>Patok Skur</v>
          </cell>
        </row>
        <row r="1181">
          <cell r="F1181" t="str">
            <v>PDC</v>
          </cell>
        </row>
        <row r="1182">
          <cell r="F1182" t="str">
            <v>Pelumas DTE Light</v>
          </cell>
        </row>
        <row r="1183">
          <cell r="F1183" t="str">
            <v>Pelumas Heavy Medium</v>
          </cell>
        </row>
        <row r="1184">
          <cell r="F1184" t="str">
            <v>Pelumas Medripal 3 D</v>
          </cell>
        </row>
        <row r="1185">
          <cell r="F1185" t="str">
            <v>Pelumas Medripal 312</v>
          </cell>
        </row>
        <row r="1186">
          <cell r="F1186" t="str">
            <v>Pelumas Mobil Gard 412</v>
          </cell>
        </row>
        <row r="1187">
          <cell r="F1187" t="str">
            <v>Pelumas Rotella S-30</v>
          </cell>
        </row>
        <row r="1188">
          <cell r="F1188" t="str">
            <v>Pelumas Shell Argina S-30</v>
          </cell>
        </row>
        <row r="1189">
          <cell r="F1189" t="str">
            <v>Pelumas Shell Argina S-40</v>
          </cell>
        </row>
        <row r="1190">
          <cell r="F1190" t="str">
            <v>Pelumas Shell Omala 320</v>
          </cell>
        </row>
        <row r="1191">
          <cell r="F1191" t="str">
            <v>Pelumas Tellus Oil 68</v>
          </cell>
        </row>
        <row r="1192">
          <cell r="F1192" t="str">
            <v>Pierching Connector 6-25/37-70 mm</v>
          </cell>
        </row>
        <row r="1193">
          <cell r="F1193" t="str">
            <v>Piercing Connector 6-25/25-70 mm</v>
          </cell>
        </row>
        <row r="1194">
          <cell r="F1194" t="str">
            <v>Piercing Connector 6-25/6-25 mm</v>
          </cell>
        </row>
        <row r="1195">
          <cell r="F1195" t="str">
            <v>Pin cross arm stell for 20 Kv</v>
          </cell>
        </row>
        <row r="1196">
          <cell r="F1196" t="str">
            <v>PIN ISOLATOR KAKI PENDEK</v>
          </cell>
        </row>
        <row r="1197">
          <cell r="F1197" t="str">
            <v>PIN POST ISOLATOR 20 KV</v>
          </cell>
        </row>
        <row r="1198">
          <cell r="F1198" t="str">
            <v>PIPA BESI 6" TEBAL 5MM GALV</v>
          </cell>
        </row>
        <row r="1199">
          <cell r="F1199" t="str">
            <v>PIPA AIR BESI GALV 3/4" @ 6 MTR</v>
          </cell>
        </row>
        <row r="1200">
          <cell r="F1200" t="str">
            <v>Pipa Besi 0,50" ( Moulding Ground Wire )</v>
          </cell>
        </row>
        <row r="1201">
          <cell r="F1201" t="str">
            <v>Pipa besi 1/2" a 6 MTR</v>
          </cell>
        </row>
        <row r="1202">
          <cell r="F1202" t="str">
            <v>PIPA BESI 1/2" X 3 MM @ 6 METER</v>
          </cell>
        </row>
        <row r="1203">
          <cell r="F1203" t="str">
            <v>PIPA BESI 2.5" TEBAL 3MM@6MTR GALV</v>
          </cell>
        </row>
        <row r="1204">
          <cell r="F1204" t="str">
            <v>Pipa Besi 3" Tebal 3 mm @ 6 mtr Galv</v>
          </cell>
        </row>
        <row r="1205">
          <cell r="F1205" t="str">
            <v>PIPA BESI GALVANIS 1/2"@6000 MM</v>
          </cell>
        </row>
        <row r="1206">
          <cell r="F1206" t="str">
            <v>PIPA BESI GALVANIS 3"@ 6M</v>
          </cell>
        </row>
        <row r="1207">
          <cell r="F1207" t="str">
            <v>PIPA GALVANIS 1/2"x3000 mm2</v>
          </cell>
        </row>
        <row r="1208">
          <cell r="F1208" t="str">
            <v>Pipa PVC 1,5 @ 6 Meter</v>
          </cell>
        </row>
        <row r="1209">
          <cell r="F1209" t="str">
            <v>Pipa PVC 1/2 "</v>
          </cell>
        </row>
        <row r="1210">
          <cell r="F1210" t="str">
            <v>PIPA PVC 2 1/2@6MTR</v>
          </cell>
        </row>
        <row r="1211">
          <cell r="F1211" t="str">
            <v>Pipa PVC 2" @ 6 mtr.</v>
          </cell>
        </row>
        <row r="1212">
          <cell r="F1212" t="str">
            <v>Pipa PVC 2x4"</v>
          </cell>
        </row>
        <row r="1213">
          <cell r="F1213" t="str">
            <v>Pipa PVC 3" @ 6 Meter</v>
          </cell>
        </row>
        <row r="1214">
          <cell r="F1214" t="str">
            <v>Pipa PVC 3/4" @ 6 Meter Galv</v>
          </cell>
        </row>
        <row r="1215">
          <cell r="F1215" t="str">
            <v>Pipa pvc 4" 6 mtr</v>
          </cell>
        </row>
        <row r="1216">
          <cell r="F1216" t="str">
            <v>Pipa PVC 5".</v>
          </cell>
        </row>
        <row r="1217">
          <cell r="F1217" t="str">
            <v>Pipa PVC 6".</v>
          </cell>
        </row>
        <row r="1218">
          <cell r="F1218" t="str">
            <v>Pipa PVC Merk Vinilon ½"</v>
          </cell>
        </row>
        <row r="1219">
          <cell r="F1219" t="str">
            <v>Pipa PVC Merk Vinilon ⅝"</v>
          </cell>
        </row>
        <row r="1220">
          <cell r="F1220" t="str">
            <v>Pipa PVC Merk Vinilon 1"</v>
          </cell>
        </row>
        <row r="1221">
          <cell r="F1221" t="str">
            <v>Pipa PVC. 2,5"</v>
          </cell>
        </row>
        <row r="1222">
          <cell r="F1222" t="str">
            <v>Pipa PVC. 3"</v>
          </cell>
        </row>
        <row r="1223">
          <cell r="F1223" t="str">
            <v>Pipa Spiral/Slang Spiral</v>
          </cell>
        </row>
        <row r="1224">
          <cell r="F1224" t="str">
            <v>Plastic strap for twisted kabel</v>
          </cell>
        </row>
        <row r="1225">
          <cell r="F1225" t="str">
            <v>Plastic Tree Guard 35 mm</v>
          </cell>
        </row>
        <row r="1226">
          <cell r="F1226" t="str">
            <v>Plastik for Service Strap</v>
          </cell>
        </row>
        <row r="1227">
          <cell r="F1227" t="str">
            <v>Plastik for Strap</v>
          </cell>
        </row>
        <row r="1228">
          <cell r="F1228" t="str">
            <v>Plastik Strap</v>
          </cell>
        </row>
        <row r="1229">
          <cell r="F1229" t="str">
            <v>Plat Copper 0,5 x 5 x 400 Cm</v>
          </cell>
        </row>
        <row r="1230">
          <cell r="F1230" t="str">
            <v>Plat Tanda Bahaya</v>
          </cell>
        </row>
        <row r="1231">
          <cell r="F1231" t="str">
            <v>POLE ACC;BOLT DOUBLE ARMING 5/8"x10"</v>
          </cell>
        </row>
        <row r="1232">
          <cell r="F1232" t="str">
            <v>POLE ACC;BOLT DOUBLE ARMING 5/8"x8"</v>
          </cell>
        </row>
        <row r="1233">
          <cell r="F1233" t="str">
            <v>POLE ACC;BOLT MACHINE 5/8"X10"</v>
          </cell>
        </row>
        <row r="1234">
          <cell r="F1234" t="str">
            <v>POLE ACC;BRACE STEEL 770 mm</v>
          </cell>
        </row>
        <row r="1235">
          <cell r="F1235" t="str">
            <v>POLE ACC;CENTER BRACKET 6KN</v>
          </cell>
        </row>
        <row r="1236">
          <cell r="F1236" t="str">
            <v>POLE ACC;CR ARM A2 UNP2400mm GALV</v>
          </cell>
        </row>
        <row r="1237">
          <cell r="F1237" t="str">
            <v>POLE ACC;GUY ATTACHMENT</v>
          </cell>
        </row>
        <row r="1238">
          <cell r="F1238" t="str">
            <v>POLE ACC;SQUARE WASHER</v>
          </cell>
        </row>
        <row r="1239">
          <cell r="F1239" t="str">
            <v>POLE BRACKET COMPLETE</v>
          </cell>
        </row>
        <row r="1240">
          <cell r="F1240" t="str">
            <v>POLE MOUNTED CIRCUIT BREAKER (PMCB)</v>
          </cell>
        </row>
        <row r="1241">
          <cell r="F1241" t="str">
            <v>POLE MOUNTED CIRCUIT BREAKER(PMCB)100-200/5/5</v>
          </cell>
        </row>
        <row r="1242">
          <cell r="F1242" t="str">
            <v>Pole Mounted Switch Gear.</v>
          </cell>
        </row>
        <row r="1243">
          <cell r="F1243" t="str">
            <v>Pole Mounting Bracket (kaki CO)</v>
          </cell>
        </row>
        <row r="1244">
          <cell r="F1244" t="str">
            <v>Polymer Arrester 21 Kv - 10 Ka</v>
          </cell>
        </row>
        <row r="1245">
          <cell r="F1245" t="str">
            <v>Polymer Cut Out 27 KV, 125 BIL 100 A + Bracket</v>
          </cell>
        </row>
        <row r="1246">
          <cell r="F1246" t="str">
            <v>Polymer LA 21 KV, MCOV 17 KV, 10 KV</v>
          </cell>
        </row>
        <row r="1247">
          <cell r="F1247" t="str">
            <v>Preformed Dead End 150 mm</v>
          </cell>
        </row>
        <row r="1248">
          <cell r="F1248" t="str">
            <v>PREFORMED DEADEND 1/4"</v>
          </cell>
        </row>
        <row r="1249">
          <cell r="F1249" t="str">
            <v>PREFORMED DEADEND 120 MM</v>
          </cell>
        </row>
        <row r="1250">
          <cell r="F1250" t="str">
            <v>Preformed Deadend 170 mm2</v>
          </cell>
        </row>
        <row r="1251">
          <cell r="F1251" t="str">
            <v>PREFORMED DEADEND 2/0 AWG</v>
          </cell>
        </row>
        <row r="1252">
          <cell r="F1252" t="str">
            <v>Preformed Deadend 240 mm</v>
          </cell>
        </row>
        <row r="1253">
          <cell r="F1253" t="str">
            <v>PREFORMED DEADEND 3/0 MM</v>
          </cell>
        </row>
        <row r="1254">
          <cell r="F1254" t="str">
            <v>PREFORMED DEADEND 3/8 AWG</v>
          </cell>
        </row>
        <row r="1255">
          <cell r="F1255" t="str">
            <v>Preformed Deadend 336,4</v>
          </cell>
        </row>
        <row r="1256">
          <cell r="F1256" t="str">
            <v>Preformed Deadend 35 mm (2wg)</v>
          </cell>
        </row>
        <row r="1257">
          <cell r="F1257" t="str">
            <v>Preformed Deadend 4 AWG</v>
          </cell>
        </row>
        <row r="1258">
          <cell r="F1258" t="str">
            <v>Preformed Deadend 70 mm</v>
          </cell>
        </row>
        <row r="1259">
          <cell r="F1259" t="str">
            <v>Preformed Deadend 70mm(2/0)</v>
          </cell>
        </row>
        <row r="1260">
          <cell r="F1260" t="str">
            <v>Preformed Deadend 95mm(3/0)</v>
          </cell>
        </row>
        <row r="1261">
          <cell r="F1261" t="str">
            <v>Preformed Deadend for Guy 3/8"</v>
          </cell>
        </row>
        <row r="1262">
          <cell r="F1262" t="str">
            <v>PREFORMED DEADEND FOR GUY STR</v>
          </cell>
        </row>
        <row r="1263">
          <cell r="F1263" t="str">
            <v>Preformed Deadend Splices 2 Awg</v>
          </cell>
        </row>
        <row r="1264">
          <cell r="F1264" t="str">
            <v>PREFORMED FOR GUY 35 MM</v>
          </cell>
        </row>
        <row r="1265">
          <cell r="F1265" t="str">
            <v>Preformed Guy Wire 22 mm</v>
          </cell>
        </row>
        <row r="1266">
          <cell r="F1266" t="str">
            <v>Preformed Splices 240 mm</v>
          </cell>
        </row>
        <row r="1267">
          <cell r="F1267" t="str">
            <v>Preformed Splices 70 mm2</v>
          </cell>
        </row>
        <row r="1268">
          <cell r="F1268" t="str">
            <v>PREFORMED TEMINATION 70 MM</v>
          </cell>
        </row>
        <row r="1269">
          <cell r="F1269" t="str">
            <v>Proformed dead and 150 mm</v>
          </cell>
        </row>
        <row r="1270">
          <cell r="F1270" t="str">
            <v>Proformed dead and 3 awg</v>
          </cell>
        </row>
        <row r="1271">
          <cell r="F1271" t="str">
            <v>Proformed dead and 336,4 mm</v>
          </cell>
        </row>
        <row r="1272">
          <cell r="F1272" t="str">
            <v>Proformed dead and 4 awg</v>
          </cell>
        </row>
        <row r="1273">
          <cell r="F1273" t="str">
            <v>Proformed dead and 70 mm (2/0 awg)</v>
          </cell>
        </row>
        <row r="1274">
          <cell r="F1274" t="str">
            <v>Proformed dead and 90 mm (3/0 awg)</v>
          </cell>
        </row>
        <row r="1275">
          <cell r="F1275" t="str">
            <v>Proformed Dead End 1/0 AWG</v>
          </cell>
        </row>
        <row r="1276">
          <cell r="F1276" t="str">
            <v>Proformed slices 4 awg</v>
          </cell>
        </row>
        <row r="1277">
          <cell r="F1277" t="str">
            <v>Proformed spilices 336,4 mcm</v>
          </cell>
        </row>
        <row r="1278">
          <cell r="F1278" t="str">
            <v>Proformed splices 170 mm</v>
          </cell>
        </row>
        <row r="1279">
          <cell r="F1279" t="str">
            <v>Proformed splices 3 awg</v>
          </cell>
        </row>
        <row r="1280">
          <cell r="F1280" t="str">
            <v>Proformed Splices 3/0 awg (95 mm)</v>
          </cell>
        </row>
        <row r="1281">
          <cell r="F1281" t="str">
            <v>Proformed termination 35 mm for AAAC</v>
          </cell>
        </row>
        <row r="1282">
          <cell r="F1282" t="str">
            <v>Prorormed splices 90 mm (3/0 awg)</v>
          </cell>
        </row>
        <row r="1283">
          <cell r="F1283" t="str">
            <v>PROTECTIVE CUP</v>
          </cell>
        </row>
        <row r="1284">
          <cell r="F1284" t="str">
            <v>PROTECTIVE CUP 1 1/2</v>
          </cell>
        </row>
        <row r="1285">
          <cell r="F1285" t="str">
            <v>PROTECTIVE CUP 2,5"</v>
          </cell>
        </row>
        <row r="1286">
          <cell r="F1286" t="str">
            <v>PROTECTIVE CUP DIVECE 1 1/4"</v>
          </cell>
        </row>
        <row r="1287">
          <cell r="F1287" t="str">
            <v>PROTECTIVE PVC HAPE TAPE</v>
          </cell>
        </row>
        <row r="1288">
          <cell r="F1288" t="str">
            <v>PROTETIP CUP 1 1/4"</v>
          </cell>
        </row>
        <row r="1289">
          <cell r="F1289" t="str">
            <v>PT Type FKPG 2-7-12,22V-6 KV</v>
          </cell>
        </row>
        <row r="1290">
          <cell r="F1290" t="str">
            <v>PT. 20.000/V3/100/V3 IN Door</v>
          </cell>
        </row>
        <row r="1291">
          <cell r="F1291" t="str">
            <v>PT. 24.000/V3 - 100/V3 IN Door</v>
          </cell>
        </row>
        <row r="1292">
          <cell r="F1292" t="str">
            <v>PT.20000/V3/100V3 VOLT OD</v>
          </cell>
        </row>
        <row r="1293">
          <cell r="F1293" t="str">
            <v>R M U 24 KV.</v>
          </cell>
        </row>
        <row r="1294">
          <cell r="F1294" t="str">
            <v>R.Sock 1,5 x 1"</v>
          </cell>
        </row>
        <row r="1295">
          <cell r="F1295" t="str">
            <v>R.Sock 2 x 1"</v>
          </cell>
        </row>
        <row r="1296">
          <cell r="F1296" t="str">
            <v>R.Sock 2 x 1,5</v>
          </cell>
        </row>
        <row r="1297">
          <cell r="F1297" t="str">
            <v>Rack Trafo Single Pole UNP 10 Hot Deep</v>
          </cell>
        </row>
        <row r="1298">
          <cell r="F1298" t="str">
            <v>Rack Trafo UNP 10 Complete 2 Pole Hot Deep</v>
          </cell>
        </row>
        <row r="1299">
          <cell r="F1299" t="str">
            <v>Rak CT</v>
          </cell>
        </row>
        <row r="1300">
          <cell r="F1300" t="str">
            <v>Rak PT</v>
          </cell>
        </row>
        <row r="1301">
          <cell r="F1301" t="str">
            <v>Rak Trafo 1 Pole</v>
          </cell>
        </row>
        <row r="1302">
          <cell r="F1302" t="str">
            <v>Ranjau TT</v>
          </cell>
        </row>
        <row r="1303">
          <cell r="F1303" t="str">
            <v>Reflextoren</v>
          </cell>
        </row>
        <row r="1304">
          <cell r="F1304" t="str">
            <v>Rekte Steun Kaki Isolator S III</v>
          </cell>
        </row>
        <row r="1305">
          <cell r="F1305" t="str">
            <v>Relay primery in 32 amp Sace</v>
          </cell>
        </row>
        <row r="1306">
          <cell r="F1306" t="str">
            <v>Relay Scunder 1 - 5 A</v>
          </cell>
        </row>
        <row r="1307">
          <cell r="F1307" t="str">
            <v>Relay Scunder Merk.Microlectrica</v>
          </cell>
        </row>
        <row r="1308">
          <cell r="F1308" t="str">
            <v>Relay Secundair.</v>
          </cell>
        </row>
        <row r="1309">
          <cell r="F1309" t="str">
            <v>RELAY SECUNDER</v>
          </cell>
        </row>
        <row r="1310">
          <cell r="F1310" t="str">
            <v>RELAY SPAJ</v>
          </cell>
        </row>
        <row r="1311">
          <cell r="F1311" t="str">
            <v>Rod Anchor Thimble Eye</v>
          </cell>
        </row>
        <row r="1312">
          <cell r="F1312" t="str">
            <v>Rod Anchor 3/4"</v>
          </cell>
        </row>
        <row r="1313">
          <cell r="F1313" t="str">
            <v>ROD ANCHOR 5/8 x 6"</v>
          </cell>
        </row>
        <row r="1314">
          <cell r="F1314" t="str">
            <v>Rod Anchor Thimble Eye 5/8 x 8" Galv</v>
          </cell>
        </row>
        <row r="1315">
          <cell r="F1315" t="str">
            <v>Round Rail Copper 10 mm.</v>
          </cell>
        </row>
        <row r="1316">
          <cell r="F1316" t="str">
            <v>S K A 3 L 1</v>
          </cell>
        </row>
        <row r="1317">
          <cell r="F1317" t="str">
            <v>S K A 9 L 1</v>
          </cell>
        </row>
        <row r="1318">
          <cell r="F1318" t="str">
            <v>S K A 9 L 2</v>
          </cell>
        </row>
        <row r="1319">
          <cell r="F1319" t="str">
            <v>SAA 8 T 8 JOINT SLEEVE 150 MM 2</v>
          </cell>
        </row>
        <row r="1320">
          <cell r="F1320" t="str">
            <v>Sadal Besi 3/4 "</v>
          </cell>
        </row>
        <row r="1321">
          <cell r="F1321" t="str">
            <v>Safety Belt</v>
          </cell>
        </row>
        <row r="1322">
          <cell r="F1322" t="str">
            <v>Sakapen Warna Hijau 750 Gram</v>
          </cell>
        </row>
        <row r="1323">
          <cell r="F1323" t="str">
            <v>Sakelar Engkel In Bow 220 Volt.</v>
          </cell>
        </row>
        <row r="1324">
          <cell r="F1324" t="str">
            <v>Sakelar Seri In Bow 220 Volt.</v>
          </cell>
        </row>
        <row r="1325">
          <cell r="F1325" t="str">
            <v>SALYX 420</v>
          </cell>
        </row>
        <row r="1326">
          <cell r="F1326" t="str">
            <v>SARUNG TANGAN 20 KV</v>
          </cell>
        </row>
        <row r="1327">
          <cell r="F1327" t="str">
            <v>Sarung Tangan Kerja</v>
          </cell>
        </row>
        <row r="1328">
          <cell r="F1328" t="str">
            <v>SAT 4 T 4 ALL - CU CONNECTOR 50-50 MM2</v>
          </cell>
        </row>
        <row r="1329">
          <cell r="F1329" t="str">
            <v>Schoor Bougels</v>
          </cell>
        </row>
        <row r="1330">
          <cell r="F1330" t="str">
            <v>SCOOTH U/CCOA 70-70 MM2</v>
          </cell>
        </row>
        <row r="1331">
          <cell r="F1331" t="str">
            <v>SECTIONALIZER 400 A WITH BYPASS</v>
          </cell>
        </row>
        <row r="1332">
          <cell r="F1332" t="str">
            <v>SEGEL PLASTIK</v>
          </cell>
        </row>
        <row r="1333">
          <cell r="F1333" t="str">
            <v>SEGEL PUNTIR</v>
          </cell>
        </row>
        <row r="1334">
          <cell r="F1334" t="str">
            <v>SEGEL PUTAR WARNA BIRU</v>
          </cell>
        </row>
        <row r="1335">
          <cell r="F1335" t="str">
            <v>SEGEL PUTAR WARNA KUNING</v>
          </cell>
        </row>
        <row r="1336">
          <cell r="F1336" t="str">
            <v>SEGEL PUTAR WARNA MERAH</v>
          </cell>
        </row>
        <row r="1337">
          <cell r="F1337" t="str">
            <v>Sepatu Kabel Bimetal 50 mm² AL/CU ( 2 lubang)</v>
          </cell>
        </row>
        <row r="1338">
          <cell r="F1338" t="str">
            <v>Sepatu Kabel Bulat 4 mm</v>
          </cell>
        </row>
        <row r="1339">
          <cell r="F1339" t="str">
            <v>Sepatu Kabel Lidi 4 mm</v>
          </cell>
        </row>
        <row r="1340">
          <cell r="F1340" t="str">
            <v>Service Dead End Clemp</v>
          </cell>
        </row>
        <row r="1341">
          <cell r="F1341" t="str">
            <v>SERVICE WIDGE CLAMP 2 X 10 MM</v>
          </cell>
        </row>
        <row r="1342">
          <cell r="F1342" t="str">
            <v>SERVICE WIDGE CLAMP 2 X 16 MM</v>
          </cell>
        </row>
        <row r="1343">
          <cell r="F1343" t="str">
            <v>SHEEL RIMULA X 15/40</v>
          </cell>
        </row>
        <row r="1344">
          <cell r="F1344" t="str">
            <v>SIDE BRACKET</v>
          </cell>
        </row>
        <row r="1345">
          <cell r="F1345" t="str">
            <v>SKAT 10 LOBANG 2 /KABEL SCHOEN 240 MM2</v>
          </cell>
        </row>
        <row r="1346">
          <cell r="F1346" t="str">
            <v>SKAT 8 LOBANG 2 / KABEL SCHOEN 150 MM2</v>
          </cell>
        </row>
        <row r="1347">
          <cell r="F1347" t="str">
            <v>SMALL ANGLE ASSY (T1) (PLASTIK)</v>
          </cell>
        </row>
        <row r="1348">
          <cell r="F1348" t="str">
            <v>Small Draad 75 Amp</v>
          </cell>
        </row>
        <row r="1349">
          <cell r="F1349" t="str">
            <v>SNATCH BLOCK</v>
          </cell>
        </row>
        <row r="1350">
          <cell r="F1350" t="str">
            <v>Socket 3"</v>
          </cell>
        </row>
        <row r="1351">
          <cell r="F1351" t="str">
            <v>Socket 1,5 "</v>
          </cell>
        </row>
        <row r="1352">
          <cell r="F1352" t="str">
            <v>Socket 2,5 "</v>
          </cell>
        </row>
        <row r="1353">
          <cell r="F1353" t="str">
            <v>Socket 4"</v>
          </cell>
        </row>
        <row r="1354">
          <cell r="F1354" t="str">
            <v>SOCKET BESI U/TIANG BETON @ 2,7 MM GALV SIVER</v>
          </cell>
        </row>
        <row r="1355">
          <cell r="F1355" t="str">
            <v>Socket Eye</v>
          </cell>
        </row>
        <row r="1356">
          <cell r="F1356" t="str">
            <v>Socket PVC 1".</v>
          </cell>
        </row>
        <row r="1357">
          <cell r="F1357" t="str">
            <v>Socket PVC 3"</v>
          </cell>
        </row>
        <row r="1358">
          <cell r="F1358" t="str">
            <v>Spleces 150 MM</v>
          </cell>
        </row>
        <row r="1359">
          <cell r="F1359" t="str">
            <v>Spleces 336,4 MCM</v>
          </cell>
        </row>
        <row r="1360">
          <cell r="F1360" t="str">
            <v>Spleces 35mm 2 AWG</v>
          </cell>
        </row>
        <row r="1361">
          <cell r="F1361" t="str">
            <v>Spleces 50mm 1/0 AWG</v>
          </cell>
        </row>
        <row r="1362">
          <cell r="F1362" t="str">
            <v>Spleces 70mm 2/0 AWG</v>
          </cell>
        </row>
        <row r="1363">
          <cell r="F1363" t="str">
            <v>Spleces 95mm 3/0 AWG</v>
          </cell>
        </row>
        <row r="1364">
          <cell r="F1364" t="str">
            <v>Splices 3/0 AWG ( 95 mm).</v>
          </cell>
        </row>
        <row r="1365">
          <cell r="F1365" t="str">
            <v>Split Bolt Line Top</v>
          </cell>
        </row>
        <row r="1366">
          <cell r="F1366" t="str">
            <v>SPOEL ISOLATOR A.II</v>
          </cell>
        </row>
        <row r="1367">
          <cell r="F1367" t="str">
            <v>Spool Isolator</v>
          </cell>
        </row>
        <row r="1368">
          <cell r="F1368" t="str">
            <v>Spool isolator A.II</v>
          </cell>
        </row>
        <row r="1369">
          <cell r="F1369" t="str">
            <v>Spring Hydrometer</v>
          </cell>
        </row>
        <row r="1370">
          <cell r="F1370" t="str">
            <v>Spring With Ampere 287051</v>
          </cell>
        </row>
        <row r="1371">
          <cell r="F1371" t="str">
            <v>STAINLES STEEL STRAP</v>
          </cell>
        </row>
        <row r="1372">
          <cell r="F1372" t="str">
            <v>STAINLES STELL TRAP 20 X 0.7 MM</v>
          </cell>
        </row>
        <row r="1373">
          <cell r="F1373" t="str">
            <v>STAINLESS STEELL STRAP + BUCKLE</v>
          </cell>
        </row>
        <row r="1374">
          <cell r="F1374" t="str">
            <v>STALL CLAMP 1/4"</v>
          </cell>
        </row>
        <row r="1375">
          <cell r="F1375" t="str">
            <v>Stall Clamp 3/8"</v>
          </cell>
        </row>
        <row r="1376">
          <cell r="F1376" t="str">
            <v>Steun Isolator S I</v>
          </cell>
        </row>
        <row r="1377">
          <cell r="F1377" t="str">
            <v>Steun u/Panel A III</v>
          </cell>
        </row>
        <row r="1378">
          <cell r="F1378" t="str">
            <v>Steun u/Scour</v>
          </cell>
        </row>
        <row r="1379">
          <cell r="F1379" t="str">
            <v>STOP KONTAK</v>
          </cell>
        </row>
        <row r="1380">
          <cell r="F1380" t="str">
            <v>Stoping Buckle</v>
          </cell>
        </row>
        <row r="1381">
          <cell r="F1381" t="str">
            <v>STOZ TYPE 201 - 1270</v>
          </cell>
        </row>
        <row r="1382">
          <cell r="F1382" t="str">
            <v>Strain Clamp 150 mm²</v>
          </cell>
        </row>
        <row r="1383">
          <cell r="F1383" t="str">
            <v>STRAIN CLAMP 25-70 MM</v>
          </cell>
        </row>
        <row r="1384">
          <cell r="F1384" t="str">
            <v>STRAIN CLAMP CONNECTOR 150 - 240 mm2</v>
          </cell>
        </row>
        <row r="1385">
          <cell r="F1385" t="str">
            <v>STRAIN CLAMP CONNECTOR 70 - 240 mm2</v>
          </cell>
        </row>
        <row r="1386">
          <cell r="F1386" t="str">
            <v>STRAIN HOCK TANPA U.BOLT</v>
          </cell>
        </row>
        <row r="1387">
          <cell r="F1387" t="str">
            <v>Strain Hock ( Service Dead End Fitting)</v>
          </cell>
        </row>
        <row r="1388">
          <cell r="F1388" t="str">
            <v>STRAIN HOCK 1,5" TANPA U.BOLT</v>
          </cell>
        </row>
        <row r="1389">
          <cell r="F1389" t="str">
            <v>STRAIN HOCK 3" TANPA U/BOLT</v>
          </cell>
        </row>
        <row r="1390">
          <cell r="F1390" t="str">
            <v>STRAIN HOOK 1,5 "</v>
          </cell>
        </row>
        <row r="1391">
          <cell r="F1391" t="str">
            <v>STRAINGHT JOINT KIT 3 X 240 MM</v>
          </cell>
        </row>
        <row r="1392">
          <cell r="F1392" t="str">
            <v>STRINGSET ACC;STRAIN CLAMP 150-240 mm2</v>
          </cell>
        </row>
        <row r="1393">
          <cell r="F1393" t="str">
            <v>Strom tranformator u/TR</v>
          </cell>
        </row>
        <row r="1394">
          <cell r="F1394" t="str">
            <v>Strom transf.100/5 amp 7,2 kv</v>
          </cell>
        </row>
        <row r="1395">
          <cell r="F1395" t="str">
            <v>SUSPENSION ASSEMBLY (T1)</v>
          </cell>
        </row>
        <row r="1396">
          <cell r="F1396" t="str">
            <v>SUSPENSION BRECKET ASS 25-70</v>
          </cell>
        </row>
        <row r="1397">
          <cell r="F1397" t="str">
            <v>SUSPENSION ISOLATOR</v>
          </cell>
        </row>
        <row r="1398">
          <cell r="F1398" t="str">
            <v>SUSPENTION INSULATOR 20 KV</v>
          </cell>
        </row>
        <row r="1399">
          <cell r="F1399" t="str">
            <v>T I C 2 x 35 mm.</v>
          </cell>
        </row>
        <row r="1400">
          <cell r="F1400" t="str">
            <v>T Stuck</v>
          </cell>
        </row>
        <row r="1401">
          <cell r="F1401" t="str">
            <v>T. Dos 1,5"</v>
          </cell>
        </row>
        <row r="1402">
          <cell r="F1402" t="str">
            <v>T. Stuck</v>
          </cell>
        </row>
        <row r="1403">
          <cell r="F1403" t="str">
            <v>T.Bow 1,50".</v>
          </cell>
        </row>
        <row r="1404">
          <cell r="F1404" t="str">
            <v>T.DOZE 3/4"</v>
          </cell>
        </row>
        <row r="1405">
          <cell r="F1405" t="str">
            <v>Tali Panjat</v>
          </cell>
        </row>
        <row r="1406">
          <cell r="F1406" t="str">
            <v>Tangga Fiber 12 Meter</v>
          </cell>
        </row>
        <row r="1407">
          <cell r="F1407" t="str">
            <v>TANGGA FIBERGLASS</v>
          </cell>
        </row>
        <row r="1408">
          <cell r="F1408" t="str">
            <v>TAP CONNECTOR 50-70/50-70MM</v>
          </cell>
        </row>
        <row r="1409">
          <cell r="F1409" t="str">
            <v>Tarfers Besi 2 Pole</v>
          </cell>
        </row>
        <row r="1410">
          <cell r="F1410" t="str">
            <v>TELESCOPIC HOT STICK 24 KV 10.5 MTR</v>
          </cell>
        </row>
        <row r="1411">
          <cell r="F1411" t="str">
            <v>TELESCOPIC HOT STICK 24 KV 12 MTR</v>
          </cell>
        </row>
        <row r="1412">
          <cell r="F1412" t="str">
            <v>TERM ACC;TERM CABLE;20KV;1X240mm2;ID</v>
          </cell>
        </row>
        <row r="1413">
          <cell r="F1413" t="str">
            <v>TERM ACC;TERM CABLE;20KV;3X240;ID</v>
          </cell>
        </row>
        <row r="1414">
          <cell r="F1414" t="str">
            <v>TERM ACC;TERM CABLE;20KV;3X240;ID</v>
          </cell>
        </row>
        <row r="1415">
          <cell r="F1415" t="str">
            <v>TERM ACC;TERM CABLE;20KV;3X300;OD</v>
          </cell>
        </row>
        <row r="1416">
          <cell r="F1416" t="str">
            <v>TERM ACC;TERM CABLE;20KV;3X50;ID</v>
          </cell>
        </row>
        <row r="1417">
          <cell r="F1417" t="str">
            <v>Terminal lug 16/10 mm</v>
          </cell>
        </row>
        <row r="1418">
          <cell r="F1418" t="str">
            <v>TERMINAL STRIP 10 A</v>
          </cell>
        </row>
        <row r="1419">
          <cell r="F1419" t="str">
            <v>Terminating 3 x 120 -185 mm2 20 kV</v>
          </cell>
        </row>
        <row r="1420">
          <cell r="F1420" t="str">
            <v>Terminating 3x120-180 mm² ID</v>
          </cell>
        </row>
        <row r="1421">
          <cell r="F1421" t="str">
            <v>Terminating 3x120-180 mm² OD</v>
          </cell>
        </row>
        <row r="1422">
          <cell r="F1422" t="str">
            <v>Terminating 3x1x50 mm² OD</v>
          </cell>
        </row>
        <row r="1423">
          <cell r="F1423" t="str">
            <v>Terminating Kit 150 mm In Door</v>
          </cell>
        </row>
        <row r="1424">
          <cell r="F1424" t="str">
            <v>Terminating Kit 3 x 300 mm In Door</v>
          </cell>
        </row>
        <row r="1425">
          <cell r="F1425" t="str">
            <v>Terminating XLPE 3 x 240 mm² ID</v>
          </cell>
        </row>
        <row r="1426">
          <cell r="F1426" t="str">
            <v>Terminating XLPE 3 x 240 mm² OD</v>
          </cell>
        </row>
        <row r="1427">
          <cell r="F1427" t="str">
            <v>TERMINATING 1 CORE COND.20 KV 240 MM OD</v>
          </cell>
        </row>
        <row r="1428">
          <cell r="F1428" t="str">
            <v>TERMINATING 3X240 MM</v>
          </cell>
        </row>
        <row r="1429">
          <cell r="F1429" t="str">
            <v>Terminating Kit 3 x 240 - 300 mm ID 20 kV</v>
          </cell>
        </row>
        <row r="1430">
          <cell r="F1430" t="str">
            <v>Terminating Kit 3 x 240 - 300 mm OD 20 kV</v>
          </cell>
        </row>
        <row r="1431">
          <cell r="F1431" t="str">
            <v>Terminating Kit 3 x 300 - 400 mm OD 20 kV</v>
          </cell>
        </row>
        <row r="1432">
          <cell r="F1432" t="str">
            <v>Terminating Kit 3 M 20 kV 3x240 - 400 mm² (ID)</v>
          </cell>
        </row>
        <row r="1433">
          <cell r="F1433" t="str">
            <v>Terminating Kit 3 M 20 kV 3x240 - 400 mm² (OD)</v>
          </cell>
        </row>
        <row r="1434">
          <cell r="F1434" t="str">
            <v>Terminating Kit 3 M 20 kV 3x50 mm² (OD)</v>
          </cell>
        </row>
        <row r="1435">
          <cell r="F1435" t="str">
            <v>TERMINATING KIT 3 X 70 MM OD</v>
          </cell>
        </row>
        <row r="1436">
          <cell r="F1436" t="str">
            <v>Terminating Kit 3x240 mm² - 20 Kv (OD)</v>
          </cell>
        </row>
        <row r="1437">
          <cell r="F1437" t="str">
            <v>TERMINATING KIT 70/120 MM OD</v>
          </cell>
        </row>
        <row r="1438">
          <cell r="F1438" t="str">
            <v>TERMINATING KIT FOR A3</v>
          </cell>
        </row>
        <row r="1439">
          <cell r="F1439" t="str">
            <v>Thible Clevis 202</v>
          </cell>
        </row>
        <row r="1440">
          <cell r="F1440" t="str">
            <v>TIANG BESI 11 METER 156 daN</v>
          </cell>
        </row>
        <row r="1441">
          <cell r="F1441" t="str">
            <v>Tiang Besi 12 Mtr 200 daN</v>
          </cell>
        </row>
        <row r="1442">
          <cell r="F1442" t="str">
            <v>Tiang Besi 9 m 156 daN</v>
          </cell>
        </row>
        <row r="1443">
          <cell r="F1443" t="str">
            <v>TIANG BESI 9 METER 156 daN</v>
          </cell>
        </row>
        <row r="1444">
          <cell r="F1444" t="str">
            <v>Tiang Beton 14 - 350 daN</v>
          </cell>
        </row>
        <row r="1445">
          <cell r="F1445" t="str">
            <v>Tiang beton 11 Meter 350 daN</v>
          </cell>
        </row>
        <row r="1446">
          <cell r="F1446" t="str">
            <v>TIANG BETON 12 M 350 Dan</v>
          </cell>
        </row>
        <row r="1447">
          <cell r="F1447" t="str">
            <v>TIANG BETON 12M 350 daN</v>
          </cell>
        </row>
        <row r="1448">
          <cell r="F1448" t="str">
            <v>Tiang beton 7 Meter 100 daN</v>
          </cell>
        </row>
        <row r="1449">
          <cell r="F1449" t="str">
            <v>Tiang Beton 9-200 daN</v>
          </cell>
        </row>
        <row r="1450">
          <cell r="F1450" t="str">
            <v>TIANG BETON 9-200 daN + E</v>
          </cell>
        </row>
        <row r="1451">
          <cell r="F1451" t="str">
            <v>TIMAH SEGEL</v>
          </cell>
        </row>
        <row r="1452">
          <cell r="F1452" t="str">
            <v>Timah Solder</v>
          </cell>
        </row>
        <row r="1453">
          <cell r="F1453" t="str">
            <v>TIME SWITCH 16 A</v>
          </cell>
        </row>
        <row r="1454">
          <cell r="F1454" t="str">
            <v>TIME SWICTH 16 AMP 220 V</v>
          </cell>
        </row>
        <row r="1455">
          <cell r="F1455" t="str">
            <v>TIME SWICTH AA 220 V</v>
          </cell>
        </row>
        <row r="1456">
          <cell r="F1456" t="str">
            <v>Time Switch 100-240 AC TB 388</v>
          </cell>
        </row>
        <row r="1457">
          <cell r="F1457" t="str">
            <v>Time Switch 15/16 Amp 110/220V</v>
          </cell>
        </row>
        <row r="1458">
          <cell r="F1458" t="str">
            <v>TIME SWITCH 15A 110-220 V</v>
          </cell>
        </row>
        <row r="1459">
          <cell r="F1459" t="str">
            <v>Time Switch 20 A 110/220 V</v>
          </cell>
        </row>
        <row r="1460">
          <cell r="F1460" t="str">
            <v>Time switch TP PN 26 15 amp 220 V</v>
          </cell>
        </row>
        <row r="1461">
          <cell r="F1461" t="str">
            <v>TIME SWITH DIGITAL TYPE 6110187 MEREK NAIS</v>
          </cell>
        </row>
        <row r="1462">
          <cell r="F1462" t="str">
            <v>Top conector 35-70 mm (2 baut)</v>
          </cell>
        </row>
        <row r="1463">
          <cell r="F1463" t="str">
            <v>Top T. doze 3/4"</v>
          </cell>
        </row>
        <row r="1464">
          <cell r="F1464" t="str">
            <v>Top T.Dozt 3/4 ".</v>
          </cell>
        </row>
        <row r="1465">
          <cell r="F1465" t="str">
            <v>Top T-Doze 3/5 "</v>
          </cell>
        </row>
        <row r="1466">
          <cell r="F1466" t="str">
            <v>Track Scour Angker 3/4 "</v>
          </cell>
        </row>
        <row r="1467">
          <cell r="F1467" t="str">
            <v>TRAFO 1 PHASA 25 KVA</v>
          </cell>
        </row>
        <row r="1468">
          <cell r="F1468" t="str">
            <v>TRAFO 1 PHASA 50 KVA</v>
          </cell>
        </row>
        <row r="1469">
          <cell r="F1469" t="str">
            <v>Trafo Arus ( CT ) 20/5 Amp Out Door</v>
          </cell>
        </row>
        <row r="1470">
          <cell r="F1470" t="str">
            <v>Trafo Dist 1 Phs 25 KVA 20 KV, 231/462 V</v>
          </cell>
        </row>
        <row r="1471">
          <cell r="F1471" t="str">
            <v>Trafo Dist 1 Phs 50 KVA 20 KV, 231/400 V</v>
          </cell>
        </row>
        <row r="1472">
          <cell r="F1472" t="str">
            <v>TRAFO DIST 3 PHS 100 KVA</v>
          </cell>
        </row>
        <row r="1473">
          <cell r="F1473" t="str">
            <v>Trafo Dist 3 Phs 100 KVA 20 KV, 231/400 V</v>
          </cell>
        </row>
        <row r="1474">
          <cell r="F1474" t="str">
            <v>TRAFO DIST 3 PHS 160 KVA</v>
          </cell>
        </row>
        <row r="1475">
          <cell r="F1475" t="str">
            <v>TRAFO DIST 3 PHS 200 KVA</v>
          </cell>
        </row>
        <row r="1476">
          <cell r="F1476" t="str">
            <v>TRAFO DIST 3 PHS 25 KVA 20 KV</v>
          </cell>
        </row>
        <row r="1477">
          <cell r="F1477" t="str">
            <v>TRAFO DIST 3 PHS 250 KVA 20 KV</v>
          </cell>
        </row>
        <row r="1478">
          <cell r="F1478" t="str">
            <v>TRAFO DIST 3 PHS 50 KVA 20 KV</v>
          </cell>
        </row>
        <row r="1479">
          <cell r="F1479" t="str">
            <v>Trafo Dist 3 Phs 50 KVA 20 KV, 231/400 V</v>
          </cell>
        </row>
        <row r="1480">
          <cell r="F1480" t="str">
            <v>Trafo Distribusi 30 Phasa 500 KVA</v>
          </cell>
        </row>
        <row r="1481">
          <cell r="F1481" t="str">
            <v>Trafo Distribusi 315 KVA 20 KV</v>
          </cell>
        </row>
        <row r="1482">
          <cell r="F1482" t="str">
            <v>TRANSPARAN 1 PHASE</v>
          </cell>
        </row>
        <row r="1483">
          <cell r="F1483" t="str">
            <v>Tree Guard 20 kV</v>
          </cell>
        </row>
        <row r="1484">
          <cell r="F1484" t="str">
            <v>TRF AUTO;STABIL;220/380V;3P;10 kVA;;ID</v>
          </cell>
        </row>
        <row r="1485">
          <cell r="F1485" t="str">
            <v>TUI INSULATOR 3/8" U/GUY</v>
          </cell>
        </row>
        <row r="1486">
          <cell r="F1486" t="str">
            <v>TUI ISOLATOR</v>
          </cell>
        </row>
        <row r="1487">
          <cell r="F1487" t="str">
            <v>TUI ISOLATOR TM</v>
          </cell>
        </row>
        <row r="1488">
          <cell r="F1488" t="str">
            <v>Tui Isolator TR.</v>
          </cell>
        </row>
        <row r="1489">
          <cell r="F1489" t="str">
            <v>TUI SOLATOR TR</v>
          </cell>
        </row>
        <row r="1490">
          <cell r="F1490" t="str">
            <v>Tullen</v>
          </cell>
        </row>
        <row r="1491">
          <cell r="F1491" t="str">
            <v>Turn Buckle</v>
          </cell>
        </row>
        <row r="1492">
          <cell r="F1492" t="str">
            <v>Tutup ELCB</v>
          </cell>
        </row>
        <row r="1493">
          <cell r="F1493" t="str">
            <v>TUTUP METER TRANSPARAN</v>
          </cell>
        </row>
        <row r="1494">
          <cell r="F1494" t="str">
            <v>TUTUP TIANG ATAP</v>
          </cell>
        </row>
        <row r="1495">
          <cell r="F1495" t="str">
            <v>TUTUP TIANG ATAP 1 1/2"</v>
          </cell>
        </row>
        <row r="1496">
          <cell r="F1496" t="str">
            <v>U - Bolt 5/8 x 4,3 x 14" ( 10 " )</v>
          </cell>
        </row>
        <row r="1497">
          <cell r="F1497" t="str">
            <v>U - Bolt, 5/8 x 8 x 14"</v>
          </cell>
        </row>
        <row r="1498">
          <cell r="F1498" t="str">
            <v>U BOLT 5/8 X 10 X 12</v>
          </cell>
        </row>
        <row r="1499">
          <cell r="F1499" t="str">
            <v>U Bolt 5/8 x 14"</v>
          </cell>
        </row>
        <row r="1500">
          <cell r="F1500" t="str">
            <v>U Bolt 5/8 x 6 x 8"</v>
          </cell>
        </row>
        <row r="1501">
          <cell r="F1501" t="str">
            <v>U Bolt 5/8 x 6 x10"</v>
          </cell>
        </row>
        <row r="1502">
          <cell r="F1502" t="str">
            <v>U Bolt 5/8 x 6 x11"</v>
          </cell>
        </row>
        <row r="1503">
          <cell r="F1503" t="str">
            <v>U BOLT 5/8 X 8</v>
          </cell>
        </row>
        <row r="1504">
          <cell r="F1504" t="str">
            <v>U BOLT 5/8 X 8 X 12</v>
          </cell>
        </row>
        <row r="1505">
          <cell r="F1505" t="str">
            <v>U BOLT 5/8 X12 X 14</v>
          </cell>
        </row>
        <row r="1506">
          <cell r="F1506" t="str">
            <v>U BOLT 5/8x4x4"</v>
          </cell>
        </row>
        <row r="1507">
          <cell r="F1507" t="str">
            <v>U BOLT UNTUK SR</v>
          </cell>
        </row>
        <row r="1508">
          <cell r="F1508" t="str">
            <v>U.BOLT 5/5X6X10"</v>
          </cell>
        </row>
        <row r="1509">
          <cell r="F1509" t="str">
            <v>U.BOLT 5/8 X 10 X 14"</v>
          </cell>
        </row>
        <row r="1510">
          <cell r="F1510" t="str">
            <v>U.Bolt 5/8 x 12 x 9"</v>
          </cell>
        </row>
        <row r="1511">
          <cell r="F1511" t="str">
            <v>U.BOLT 5/8 x 4 x 6"</v>
          </cell>
        </row>
        <row r="1512">
          <cell r="F1512" t="str">
            <v>U.BOLT 5/8X12X12"</v>
          </cell>
        </row>
        <row r="1513">
          <cell r="F1513" t="str">
            <v>U.BOLT 5/8X4X 8"</v>
          </cell>
        </row>
        <row r="1514">
          <cell r="F1514" t="str">
            <v>U.BOLT 5/8X4X10"</v>
          </cell>
        </row>
        <row r="1515">
          <cell r="F1515" t="str">
            <v>U.BOLT 5/8X4X8"</v>
          </cell>
        </row>
        <row r="1516">
          <cell r="F1516" t="str">
            <v>U-BOLT 12"</v>
          </cell>
        </row>
        <row r="1517">
          <cell r="F1517" t="str">
            <v>U-BOLT 4"</v>
          </cell>
        </row>
        <row r="1518">
          <cell r="F1518" t="str">
            <v>Ubolt 5/8 10 x 5</v>
          </cell>
        </row>
        <row r="1519">
          <cell r="F1519" t="str">
            <v>Ubolt 5/8 x 6X4</v>
          </cell>
        </row>
        <row r="1520">
          <cell r="F1520" t="str">
            <v>U-BOLT 5/8"x10"x12"</v>
          </cell>
        </row>
        <row r="1521">
          <cell r="F1521" t="str">
            <v>U-BOLT 5/8"x6"x8"</v>
          </cell>
        </row>
        <row r="1522">
          <cell r="F1522" t="str">
            <v>U-BOLT 5/8"x8"x11''</v>
          </cell>
        </row>
        <row r="1523">
          <cell r="F1523" t="str">
            <v>U-bolt 5/8x10x14"</v>
          </cell>
        </row>
        <row r="1524">
          <cell r="F1524" t="str">
            <v>U-Bolt 5/8x12x14"</v>
          </cell>
        </row>
        <row r="1525">
          <cell r="F1525" t="str">
            <v>U-Bolt 5/8X4"X8" Galvanis</v>
          </cell>
        </row>
        <row r="1526">
          <cell r="F1526" t="str">
            <v>U-bolt 5/8x4x5"</v>
          </cell>
        </row>
        <row r="1527">
          <cell r="F1527" t="str">
            <v>U-bolt 5/8x6x12"</v>
          </cell>
        </row>
        <row r="1528">
          <cell r="F1528" t="str">
            <v>U-BOLT 5/8x8x12"</v>
          </cell>
        </row>
        <row r="1529">
          <cell r="F1529" t="str">
            <v>U-bolt 5/8x9x10"</v>
          </cell>
        </row>
        <row r="1530">
          <cell r="F1530" t="str">
            <v>U-bolt 5/8x9x14"</v>
          </cell>
        </row>
        <row r="1531">
          <cell r="F1531" t="str">
            <v>U-BOLT 6"</v>
          </cell>
        </row>
        <row r="1532">
          <cell r="F1532" t="str">
            <v>Unimax Clamp 25 mm</v>
          </cell>
        </row>
        <row r="1533">
          <cell r="F1533" t="str">
            <v>Unimex clamp. 6 - 50 mm2</v>
          </cell>
        </row>
        <row r="1534">
          <cell r="F1534" t="str">
            <v>Unimex klem 25 mm</v>
          </cell>
        </row>
        <row r="1535">
          <cell r="F1535" t="str">
            <v>UNIV ACC;SENG DAK PAN 1,5"</v>
          </cell>
        </row>
        <row r="1536">
          <cell r="F1536" t="str">
            <v>Vecom Bush Extra Powder</v>
          </cell>
        </row>
        <row r="1537">
          <cell r="F1537" t="str">
            <v>Vecom ECS</v>
          </cell>
        </row>
        <row r="1538">
          <cell r="F1538" t="str">
            <v>Voltage Indicator.</v>
          </cell>
        </row>
        <row r="1539">
          <cell r="F1539" t="str">
            <v>VOLTAGE TRANSFORMATOR</v>
          </cell>
        </row>
        <row r="1540">
          <cell r="F1540" t="str">
            <v>WASHER 11/16 HOLE</v>
          </cell>
        </row>
        <row r="1541">
          <cell r="F1541" t="str">
            <v>WASHER SQUARE 13/16"</v>
          </cell>
        </row>
        <row r="1542">
          <cell r="F1542" t="str">
            <v>WATER MOUR</v>
          </cell>
        </row>
        <row r="1543">
          <cell r="F1543" t="str">
            <v>WIRE HOLDING</v>
          </cell>
        </row>
        <row r="1544">
          <cell r="F1544" t="str">
            <v>Zinken Dakphan</v>
          </cell>
        </row>
        <row r="1545">
          <cell r="F1545" t="str">
            <v>JOINT SLEVE 120 MM AL</v>
          </cell>
        </row>
        <row r="1546">
          <cell r="F1546" t="str">
            <v>BAND POLE 4"x1/2"</v>
          </cell>
        </row>
        <row r="1547">
          <cell r="F1547" t="str">
            <v>BAND POLE 4"x2"</v>
          </cell>
        </row>
        <row r="1548">
          <cell r="F1548" t="str">
            <v>DIGITAL CLAMP METER IEC 61010-1 MERK KYORITSU</v>
          </cell>
        </row>
        <row r="1549">
          <cell r="F1549" t="str">
            <v>BATTERAY 12 VOLT 24 Ah</v>
          </cell>
        </row>
        <row r="1550">
          <cell r="F1550" t="str">
            <v>Besi Siku 50x50x2,4</v>
          </cell>
        </row>
        <row r="1551">
          <cell r="F1551" t="str">
            <v>MINYAK PELUMAS SHELL TURBO T</v>
          </cell>
        </row>
        <row r="1552">
          <cell r="F1552" t="str">
            <v>TIANG BETON 13 M 350 Dan</v>
          </cell>
        </row>
        <row r="1553">
          <cell r="F1553" t="str">
            <v>Mesin gulung Kumparan trafo</v>
          </cell>
        </row>
        <row r="1554">
          <cell r="F1554" t="str">
            <v>Polymer Arester 32 KV , 20 kA</v>
          </cell>
        </row>
        <row r="1555">
          <cell r="F1555" t="str">
            <v>Tiang Beton 11 Meter 200 daN</v>
          </cell>
        </row>
        <row r="1556">
          <cell r="F1556" t="str">
            <v>LVC 2 Group 3 Phasa Uk 100 x 500 x 300 cm FH 80 A</v>
          </cell>
        </row>
        <row r="1557">
          <cell r="F1557" t="str">
            <v>Tiang Beton 12 meter 350 daN + E</v>
          </cell>
        </row>
        <row r="1558">
          <cell r="F1558" t="str">
            <v>KWH Meter Elect 3 Phs 3 x 5(80)A 220/380 V Klas 1 (pengukuran langsung)</v>
          </cell>
        </row>
        <row r="1559">
          <cell r="F1559" t="str">
            <v>Kwh Meter Electro mekanik 1 Phasa 50/100 A 220/380 V</v>
          </cell>
        </row>
        <row r="1560">
          <cell r="F1560" t="str">
            <v>Jointing Kit 3 x 240 - 300 mm 20 kV</v>
          </cell>
        </row>
        <row r="1561">
          <cell r="F1561" t="str">
            <v>Live Line Connector 70/150 mm</v>
          </cell>
        </row>
        <row r="1562">
          <cell r="F1562" t="str">
            <v>Live Line Connector 35/70 mm</v>
          </cell>
        </row>
        <row r="1563">
          <cell r="F1563" t="str">
            <v>Kabel NYY 1 x 185 mm 1 KV</v>
          </cell>
        </row>
        <row r="1564">
          <cell r="F1564" t="str">
            <v>Tiang Beton 13 meter, 250 daN</v>
          </cell>
        </row>
        <row r="1565">
          <cell r="F1565" t="str">
            <v>Tiang Beton 12 meter, 250 daN</v>
          </cell>
        </row>
        <row r="1566">
          <cell r="F1566" t="str">
            <v>Ground Rod With Clamp 5/8 x 6 "</v>
          </cell>
        </row>
        <row r="1567">
          <cell r="F1567" t="str">
            <v>Trafo Dist 3 Phasa 400 KVA 20 KV</v>
          </cell>
        </row>
        <row r="1568">
          <cell r="F1568" t="str">
            <v>P.T.20.000 /V3/100/V3 V; 0,2; 50 Va ID</v>
          </cell>
        </row>
        <row r="1569">
          <cell r="F1569" t="str">
            <v>P.T.20.000 /V3/100/V3 V; 0,2; 50 Va OD</v>
          </cell>
        </row>
        <row r="1570">
          <cell r="F1570" t="str">
            <v>SILICON</v>
          </cell>
        </row>
        <row r="1571">
          <cell r="F1571" t="str">
            <v>Bushing LV 100 KVA-160 KVA</v>
          </cell>
        </row>
        <row r="1572">
          <cell r="F1572" t="str">
            <v>Bushing LV 200 KVA-250 KVA</v>
          </cell>
        </row>
        <row r="1573">
          <cell r="F1573" t="str">
            <v>Bushing LV 315 KVA-400 KVA</v>
          </cell>
        </row>
        <row r="1574">
          <cell r="F1574" t="str">
            <v>Conductor Rod+Mur LV 100 KVA-160 KVA</v>
          </cell>
        </row>
        <row r="1575">
          <cell r="F1575" t="str">
            <v>Conductor Rod+Mur LV 200 KVA-250 KVA</v>
          </cell>
        </row>
        <row r="1576">
          <cell r="F1576" t="str">
            <v>Conductor Rod+Mur LV 315 KVA-400 KVA</v>
          </cell>
        </row>
        <row r="1577">
          <cell r="F1577" t="str">
            <v>Packing Case 100 KVA-250 KVA</v>
          </cell>
        </row>
        <row r="1578">
          <cell r="F1578" t="str">
            <v>Packing Case 315 KVA-400KVA</v>
          </cell>
        </row>
        <row r="1579">
          <cell r="F1579" t="str">
            <v>Paper Insulting</v>
          </cell>
        </row>
        <row r="1580">
          <cell r="F1580" t="str">
            <v>Mur+Baut Casing u/100 KVA s/d 160 KVA</v>
          </cell>
        </row>
        <row r="1581">
          <cell r="F1581" t="str">
            <v>Mur+Baut Casing u/200 KVA s/d 250 KVA</v>
          </cell>
        </row>
        <row r="1582">
          <cell r="F1582" t="str">
            <v>Email Class 0 Type F 1,1 mm</v>
          </cell>
        </row>
        <row r="1583">
          <cell r="F1583" t="str">
            <v>Email Class 0 Type F 1,6 mm</v>
          </cell>
        </row>
        <row r="1584">
          <cell r="F1584" t="str">
            <v>Email Class 0 Type F 1,3 mm</v>
          </cell>
        </row>
        <row r="1585">
          <cell r="F1585" t="str">
            <v>Email Class 0 Type F 1,4 mm</v>
          </cell>
        </row>
        <row r="1586">
          <cell r="F1586" t="str">
            <v>Email Class 0 Type F 1,5 mm</v>
          </cell>
        </row>
        <row r="1587">
          <cell r="F1587" t="str">
            <v>Email Class 0 Type F 1,2 mm</v>
          </cell>
        </row>
        <row r="1588">
          <cell r="F1588" t="str">
            <v>Current Trafo 20/5-5 A OD 20 KV</v>
          </cell>
        </row>
        <row r="1589">
          <cell r="F1589" t="str">
            <v>Current Trafo 10/5-5 A OD 20 KV</v>
          </cell>
        </row>
        <row r="1590">
          <cell r="F1590" t="str">
            <v>Bola Lampu Sorot 100 Watt</v>
          </cell>
        </row>
        <row r="1591">
          <cell r="F1591" t="str">
            <v>Email Class 0 Type F 0,8 mm</v>
          </cell>
        </row>
        <row r="1592">
          <cell r="F1592" t="str">
            <v>Email Class 0 Type F 1,7 mm</v>
          </cell>
        </row>
        <row r="1593">
          <cell r="F1593" t="str">
            <v>Email Class 0 Type F 1,8 mm</v>
          </cell>
        </row>
        <row r="1594">
          <cell r="F1594" t="str">
            <v>Email Class 0 Type F 1,9 mm</v>
          </cell>
        </row>
        <row r="1595">
          <cell r="F1595" t="str">
            <v>Email Class 0 Type F 2 mm</v>
          </cell>
        </row>
        <row r="1596">
          <cell r="F1596" t="str">
            <v>Email Class 0 Type F 2,1 mm</v>
          </cell>
        </row>
        <row r="1597">
          <cell r="F1597" t="str">
            <v>Lemari Bagi 3 Jurusan 250 Amp</v>
          </cell>
        </row>
        <row r="1598">
          <cell r="F1598" t="str">
            <v>Rak TR 6 Jurusan 1250 Amp</v>
          </cell>
        </row>
        <row r="1599">
          <cell r="F1599" t="str">
            <v>CT TM 25/5-5 A  20 kV Indoor Class 0,2 S</v>
          </cell>
        </row>
        <row r="1600">
          <cell r="F1600" t="str">
            <v>CT TM 40/5-5 A  20 kV Indoor Class 0,2 S</v>
          </cell>
        </row>
        <row r="1601">
          <cell r="F1601" t="str">
            <v>CT TM 125/5-5 A  20 kV Indoor Class 0,2 S</v>
          </cell>
        </row>
        <row r="1602">
          <cell r="F1602" t="str">
            <v>KWH Meter Elektronik 5/10 A  220/380 V  Class 1</v>
          </cell>
        </row>
        <row r="1603">
          <cell r="F1603" t="str">
            <v>CCOA 240-240 MM2</v>
          </cell>
        </row>
        <row r="1604">
          <cell r="F1604" t="str">
            <v>Strain Clamp 50-70 mm²</v>
          </cell>
        </row>
        <row r="1605">
          <cell r="F1605" t="str">
            <v>Comp Joint CU 5-10/16 mm²</v>
          </cell>
        </row>
        <row r="1606">
          <cell r="F1606" t="str">
            <v>Comp Joint CU 10-10 mm²</v>
          </cell>
        </row>
        <row r="1607">
          <cell r="F1607" t="str">
            <v>Comp Joint CU 16-16 mm²</v>
          </cell>
        </row>
        <row r="1608">
          <cell r="F1608" t="str">
            <v>Multifunction Handheld for on Site meter Testing</v>
          </cell>
        </row>
        <row r="1609">
          <cell r="F1609" t="str">
            <v>Konektor pres AL-CU 10 mm / 6 mm</v>
          </cell>
        </row>
        <row r="1610">
          <cell r="F1610" t="str">
            <v>Grounding Set</v>
          </cell>
        </row>
        <row r="1611">
          <cell r="F1611" t="str">
            <v>Digital Earth Tester</v>
          </cell>
        </row>
        <row r="1612">
          <cell r="F1612" t="str">
            <v>Teropong</v>
          </cell>
        </row>
        <row r="1613">
          <cell r="F1613" t="str">
            <v>Senter</v>
          </cell>
        </row>
        <row r="1614">
          <cell r="F1614" t="str">
            <v>Arrester Default Detector</v>
          </cell>
        </row>
        <row r="1615">
          <cell r="F1615" t="str">
            <v>Hand Operated Hydraulic Tool, Dies 50 - 240 mm2</v>
          </cell>
        </row>
        <row r="1616">
          <cell r="F1616" t="str">
            <v>Kotrek 1,5 Ton + Grip 2 Ton</v>
          </cell>
        </row>
        <row r="1617">
          <cell r="F1617" t="str">
            <v>Clamp On Powerful Hitester</v>
          </cell>
        </row>
        <row r="1618">
          <cell r="F1618" t="str">
            <v>Merger 10.000 V</v>
          </cell>
        </row>
        <row r="1619">
          <cell r="F1619" t="str">
            <v>Sepatu 20 kV</v>
          </cell>
        </row>
        <row r="1620">
          <cell r="F1620" t="str">
            <v>Mantel Hujan</v>
          </cell>
        </row>
        <row r="1621">
          <cell r="F1621" t="str">
            <v>Lemari Kaca APD uk. 0,80 x 2 mtr</v>
          </cell>
        </row>
        <row r="1622">
          <cell r="F1622" t="str">
            <v>L BOUW 1,5"</v>
          </cell>
        </row>
        <row r="1623">
          <cell r="F1623" t="str">
            <v>BOX APP IC1 (KOSONG)</v>
          </cell>
        </row>
        <row r="1624">
          <cell r="F1624" t="str">
            <v>Tang Press Hidraulic</v>
          </cell>
        </row>
        <row r="1625">
          <cell r="F1625" t="str">
            <v>TIANG BESI 9 METER 200 DAN</v>
          </cell>
        </row>
        <row r="1626">
          <cell r="F1626" t="str">
            <v>TIANG BESI 11 METER 200 DAN</v>
          </cell>
        </row>
        <row r="1627">
          <cell r="F1627" t="str">
            <v>LBS 630 A 20 KV 16 KA</v>
          </cell>
        </row>
        <row r="1628">
          <cell r="F1628" t="str">
            <v>ISOLATION PAPER 0,50 MM</v>
          </cell>
        </row>
        <row r="1629">
          <cell r="F1629" t="str">
            <v>ISOLATION PAPER 0,70 MM</v>
          </cell>
        </row>
        <row r="1630">
          <cell r="F1630" t="str">
            <v>INSULATION PAPER 0,40 MM</v>
          </cell>
        </row>
        <row r="1631">
          <cell r="F1631" t="str">
            <v>ISOLATION PAPER 0,60 MM</v>
          </cell>
        </row>
        <row r="1632">
          <cell r="F1632" t="str">
            <v>INSULATION EXELTIOR 3 MM</v>
          </cell>
        </row>
        <row r="1633">
          <cell r="F1633" t="str">
            <v>INSULATION EXELTIOR 4 MM</v>
          </cell>
        </row>
        <row r="1634">
          <cell r="F1634" t="str">
            <v>EMAIL DRAAD 0,6 MM</v>
          </cell>
        </row>
        <row r="1635">
          <cell r="F1635" t="str">
            <v>Cross Arm Steel 100 x 50 x 5 x 1800 Mm2</v>
          </cell>
        </row>
        <row r="1636">
          <cell r="F1636" t="str">
            <v>U Bolt 5 "</v>
          </cell>
        </row>
        <row r="1637">
          <cell r="F1637" t="str">
            <v>Kabel XLPE 3 x 300 Mm2 20 KV AL.</v>
          </cell>
        </row>
        <row r="1638">
          <cell r="F1638" t="str">
            <v xml:space="preserve">Kabel NYRFGBY 4 x 150 Mm2 Al </v>
          </cell>
        </row>
        <row r="1639">
          <cell r="F1639" t="str">
            <v xml:space="preserve">Kabel NYA 50 Mm2 </v>
          </cell>
        </row>
        <row r="1640">
          <cell r="F1640" t="str">
            <v>CT. 50/5/5 Amp 20 KV OD</v>
          </cell>
        </row>
        <row r="1641">
          <cell r="F1641" t="str">
            <v>CT TM 20/5 Amp 20 KV OD</v>
          </cell>
        </row>
        <row r="1642">
          <cell r="F1642" t="str">
            <v>Strain Clamp 35 Mm2</v>
          </cell>
        </row>
        <row r="1643">
          <cell r="F1643" t="str">
            <v>Small Angle Assembly</v>
          </cell>
        </row>
        <row r="1644">
          <cell r="F1644" t="str">
            <v>CT. 30/5 - 15/5 Amp 24 KV ID</v>
          </cell>
        </row>
        <row r="1645">
          <cell r="F1645" t="str">
            <v>CT. 50/5 Amp 20 KV Indoor</v>
          </cell>
        </row>
        <row r="1646">
          <cell r="F1646" t="str">
            <v>CT. 200/5 Amp U/. TR</v>
          </cell>
        </row>
        <row r="1647">
          <cell r="F1647" t="str">
            <v xml:space="preserve">CT. 300/5 Amp, 24 KV, 15 VA ID </v>
          </cell>
        </row>
        <row r="1648">
          <cell r="F1648" t="str">
            <v>CT. 1000/5 Amp 24 KV ID</v>
          </cell>
        </row>
        <row r="1649">
          <cell r="F1649" t="str">
            <v>CT 300/5/5 Amp 20 KV ID</v>
          </cell>
        </row>
        <row r="1650">
          <cell r="F1650" t="str">
            <v>CT 10/5 Amp 24 KV ID</v>
          </cell>
        </row>
        <row r="1651">
          <cell r="F1651" t="str">
            <v>Box APP Khusus Type ICI Lengkap</v>
          </cell>
        </row>
        <row r="1652">
          <cell r="F1652" t="str">
            <v>Cross Arm Clevis</v>
          </cell>
        </row>
        <row r="1653">
          <cell r="F1653" t="str">
            <v>Preformed Side Tie Double 35 Mm</v>
          </cell>
        </row>
        <row r="1654">
          <cell r="F1654" t="str">
            <v xml:space="preserve">Spare Grease  </v>
          </cell>
        </row>
        <row r="1655">
          <cell r="F1655" t="str">
            <v>Insulated Non Tension Joint 25 U/. LVTC</v>
          </cell>
        </row>
        <row r="1656">
          <cell r="F1656" t="str">
            <v>KVA Max 58/100 V 3 x 5 Amp (Alat Ukur) Ex.Bius</v>
          </cell>
        </row>
        <row r="1657">
          <cell r="F1657" t="str">
            <v>KVAR Meter 3 Phs 5 Amp 220/380 V (DT)</v>
          </cell>
        </row>
        <row r="1658">
          <cell r="F1658" t="str">
            <v>Load Break Tools</v>
          </cell>
        </row>
        <row r="1659">
          <cell r="F1659" t="str">
            <v>Baut Kuningan 0,5 x 1 "</v>
          </cell>
        </row>
        <row r="1660">
          <cell r="F1660" t="str">
            <v>batere kering 12 v 100 ah</v>
          </cell>
        </row>
        <row r="1661">
          <cell r="F1661" t="str">
            <v>batere kering 12 v 200 ah</v>
          </cell>
        </row>
        <row r="1662">
          <cell r="F1662" t="str">
            <v>batere basah 12 v 100 ah</v>
          </cell>
        </row>
        <row r="1663">
          <cell r="F1663" t="str">
            <v>batere basah 12 v 200 ah</v>
          </cell>
        </row>
        <row r="1664">
          <cell r="F1664" t="str">
            <v>KABEL SCHOEN garpu 6 MM</v>
          </cell>
        </row>
        <row r="1665">
          <cell r="F1665" t="str">
            <v>KABEL SCHOEN pin 6 MM</v>
          </cell>
        </row>
        <row r="1666">
          <cell r="F1666" t="str">
            <v>KABEL SCHOEN ring 6 MM</v>
          </cell>
        </row>
        <row r="1667">
          <cell r="F1667" t="str">
            <v>KABEL SCHOEN garpu 2,5 MM</v>
          </cell>
        </row>
        <row r="1668">
          <cell r="F1668" t="str">
            <v>KABEL SCHOEN pin 2,5 MM</v>
          </cell>
        </row>
        <row r="1669">
          <cell r="F1669" t="str">
            <v>KABEL SCHOEN ring 2,5 MM</v>
          </cell>
        </row>
        <row r="1670">
          <cell r="F1670" t="str">
            <v>oil gauge (u/trafo)</v>
          </cell>
        </row>
        <row r="1671">
          <cell r="F1671" t="str">
            <v>gate valve</v>
          </cell>
        </row>
        <row r="1672">
          <cell r="F1672" t="str">
            <v>swich angin</v>
          </cell>
        </row>
        <row r="1673">
          <cell r="F1673" t="str">
            <v>arching horn</v>
          </cell>
        </row>
        <row r="1674">
          <cell r="F1674" t="str">
            <v>thermometer</v>
          </cell>
        </row>
        <row r="1675">
          <cell r="F1675" t="str">
            <v>plate phase u-v-w</v>
          </cell>
        </row>
        <row r="1676">
          <cell r="F1676" t="str">
            <v>enamel wire phase 1,15 mm2</v>
          </cell>
        </row>
        <row r="1677">
          <cell r="F1677" t="str">
            <v xml:space="preserve">rectangular cooper wire phase </v>
          </cell>
        </row>
        <row r="1678">
          <cell r="F1678" t="str">
            <v>tap changer complit</v>
          </cell>
        </row>
        <row r="1679">
          <cell r="F1679" t="str">
            <v>insulating paper</v>
          </cell>
        </row>
        <row r="1680">
          <cell r="F1680" t="str">
            <v>NYY 1 X 25 mm2</v>
          </cell>
        </row>
        <row r="1681">
          <cell r="F1681" t="str">
            <v>NYY 1 X 35 mm2</v>
          </cell>
        </row>
        <row r="1682">
          <cell r="F1682" t="str">
            <v>Kabel NYY 4 X 25 mm²</v>
          </cell>
        </row>
        <row r="1683">
          <cell r="F1683" t="str">
            <v>Kabel NYY 4 X 120 mm²</v>
          </cell>
        </row>
        <row r="1684">
          <cell r="F1684" t="str">
            <v>Kabel NYY 4 X 150 mm²</v>
          </cell>
        </row>
        <row r="1685">
          <cell r="F1685" t="str">
            <v>Grimping Tool Hidrolic  10 - 300 mm</v>
          </cell>
        </row>
        <row r="1686">
          <cell r="F1686" t="str">
            <v>tali raun 25 m</v>
          </cell>
        </row>
        <row r="1687">
          <cell r="F1687" t="str">
            <v>phase sequence</v>
          </cell>
        </row>
        <row r="1688">
          <cell r="F1688" t="str">
            <v>TRAFO 1 PHASA 10 KVA</v>
          </cell>
        </row>
        <row r="1689">
          <cell r="F1689" t="str">
            <v>TRAFO 1 PHASA 16 KVA</v>
          </cell>
        </row>
        <row r="1690">
          <cell r="F1690" t="str">
            <v>TRAFO 1 PHASA 15 KVA</v>
          </cell>
        </row>
        <row r="1691">
          <cell r="F1691" t="str">
            <v>TIANG BESI 13 METER 350 daN</v>
          </cell>
        </row>
        <row r="1692">
          <cell r="F1692" t="str">
            <v>Cable Fulling Sock ( Split Type )</v>
          </cell>
        </row>
        <row r="1693">
          <cell r="F1693" t="str">
            <v>Elektronik Poly Phs Mtr 1 Amp</v>
          </cell>
        </row>
        <row r="1694">
          <cell r="F1694" t="str">
            <v>FUSE LINK 140 AMP</v>
          </cell>
        </row>
        <row r="1695">
          <cell r="F1695" t="str">
            <v>Box Afoor Plastik KTLP4-304</v>
          </cell>
        </row>
        <row r="1696">
          <cell r="F1696" t="str">
            <v>NT FUSE 1000 AMP</v>
          </cell>
        </row>
        <row r="1697">
          <cell r="F1697" t="str">
            <v>Mur Baut 4/8 X 2"</v>
          </cell>
        </row>
        <row r="1698">
          <cell r="F1698" t="str">
            <v>Bolt Machine 5/8X1 1/2"</v>
          </cell>
        </row>
        <row r="1699">
          <cell r="F1699" t="str">
            <v>Bolt Machine 5/8X2 1/2"</v>
          </cell>
        </row>
        <row r="1700">
          <cell r="F1700" t="str">
            <v>Paku Skrup 3 x 14mm2</v>
          </cell>
        </row>
        <row r="1701">
          <cell r="F1701" t="str">
            <v>Bolt Machine 5/8X18"</v>
          </cell>
        </row>
        <row r="1702">
          <cell r="F1702" t="str">
            <v>Bolt Machine 3/4X8"</v>
          </cell>
        </row>
        <row r="1703">
          <cell r="F1703" t="str">
            <v>Rak Trafo 2 Pole</v>
          </cell>
        </row>
        <row r="1704">
          <cell r="F1704" t="str">
            <v>Paralel Grouv 35 - 70 mm AL/CU.</v>
          </cell>
        </row>
        <row r="1705">
          <cell r="F1705" t="str">
            <v>KWH METER ELEKT 3 Q 5/20A CLASS 0,5</v>
          </cell>
        </row>
        <row r="1706">
          <cell r="F1706" t="str">
            <v>Box  LPJU lengkap dengan gembok</v>
          </cell>
        </row>
        <row r="1707">
          <cell r="F1707" t="str">
            <v>Current Trafo 20/5-5 A  20 kV Indoor Class 0,2 S</v>
          </cell>
        </row>
        <row r="1708">
          <cell r="F1708" t="str">
            <v>KWH Meter Elektronik 5/10 A  220/380 V Class 1</v>
          </cell>
        </row>
        <row r="1709">
          <cell r="F1709" t="str">
            <v>Kabel NYY  4 x 70 mm²</v>
          </cell>
        </row>
        <row r="1710">
          <cell r="F1710" t="str">
            <v>Bundle Conductor Kedap Air ukuran.6-25/35-70 mm²</v>
          </cell>
        </row>
        <row r="1711">
          <cell r="F1711" t="str">
            <v>KWH Meter Elektronik 3 Phasa 230/400 V, 5 A Kelas 1</v>
          </cell>
        </row>
        <row r="1712">
          <cell r="F1712" t="str">
            <v>KWH Meter Elektronik 3x57,7/100 V, 5 A Kelas 0,5</v>
          </cell>
        </row>
        <row r="1713">
          <cell r="F1713" t="str">
            <v>Current Trafo 15/5-5 A  20 kV Indoor Class 0,2 S</v>
          </cell>
        </row>
        <row r="1714">
          <cell r="F1714" t="str">
            <v>Current Trafo 30/5-5 A  20 kV Indoor Class 0,2 S</v>
          </cell>
        </row>
        <row r="1715">
          <cell r="F1715" t="str">
            <v>Current Trafo 50/5-5 A  20 kV Indoor Class 0,2 S</v>
          </cell>
        </row>
        <row r="1716">
          <cell r="F1716" t="str">
            <v>Masker</v>
          </cell>
        </row>
        <row r="1717">
          <cell r="F1717" t="str">
            <v>Safety Shoes</v>
          </cell>
        </row>
        <row r="1718">
          <cell r="F1718" t="str">
            <v>Tool Set</v>
          </cell>
        </row>
        <row r="1719">
          <cell r="F1719" t="str">
            <v>Infrared Camera</v>
          </cell>
        </row>
        <row r="1720">
          <cell r="F1720" t="str">
            <v>Voltstick 0-30 kV</v>
          </cell>
        </row>
        <row r="1721">
          <cell r="F1721" t="str">
            <v>Ampstick 0-1000 Amp</v>
          </cell>
        </row>
        <row r="1722">
          <cell r="F1722" t="str">
            <v>MDC-Helmet Mounted Mdl mini Vol-Detector</v>
          </cell>
        </row>
        <row r="1723">
          <cell r="F1723" t="str">
            <v>Tie Back Connector</v>
          </cell>
        </row>
        <row r="1724">
          <cell r="F1724" t="str">
            <v>CT 40/5/5 A 10 VA Class 0,5</v>
          </cell>
        </row>
        <row r="1725">
          <cell r="F1725" t="str">
            <v>Tool Box 3 Step 466x210x232 mm Lengkap</v>
          </cell>
        </row>
        <row r="1726">
          <cell r="F1726" t="str">
            <v>Camera Digital APS-C Digital SLR, 12.2 MP 18-55mm</v>
          </cell>
        </row>
        <row r="1727">
          <cell r="F1727" t="str">
            <v>Joint Compond AL</v>
          </cell>
        </row>
        <row r="1728">
          <cell r="F1728" t="str">
            <v>Kwh Meter Elektronik 3 Phs 220/380 V 5 A Class 1</v>
          </cell>
        </row>
        <row r="1729">
          <cell r="F1729" t="str">
            <v>Kwh Meter Elektronik 3 x 5 A 58/100 V Class 0,5</v>
          </cell>
        </row>
        <row r="1730">
          <cell r="F1730" t="str">
            <v>Besi untuk Penyambung Tiang</v>
          </cell>
        </row>
        <row r="1731">
          <cell r="F1731" t="str">
            <v>Filter Flushing P/N FF828 SAP</v>
          </cell>
        </row>
        <row r="1732">
          <cell r="F1732" t="str">
            <v>Filter Flushing P/N FF388 SAP</v>
          </cell>
        </row>
        <row r="1733">
          <cell r="F1733" t="str">
            <v>Catting Weel Uk. 4 x 1/4 x 5/8</v>
          </cell>
        </row>
        <row r="1734">
          <cell r="F1734" t="str">
            <v>Welding Electrodes (kobe steel) RB 26</v>
          </cell>
        </row>
        <row r="1735">
          <cell r="F1735" t="str">
            <v>Selang Plastik Kawat Uk. 1''</v>
          </cell>
        </row>
        <row r="1736">
          <cell r="F1736" t="str">
            <v>Diesel Oil Transfer Pump dan Acessories</v>
          </cell>
        </row>
        <row r="1737">
          <cell r="F1737" t="str">
            <v>Mata Bor 25 mm Taper Shank</v>
          </cell>
        </row>
        <row r="1738">
          <cell r="F1738" t="str">
            <v>Bor Duduk 25 mm dengan Acessories</v>
          </cell>
        </row>
        <row r="1739">
          <cell r="F1739" t="str">
            <v>Sarung Tangan Kombinasi</v>
          </cell>
        </row>
        <row r="1740">
          <cell r="F1740" t="str">
            <v>Cat Minyak (Merah, Kuning, Biru)</v>
          </cell>
        </row>
        <row r="1741">
          <cell r="F1741" t="str">
            <v>Radio Base Station GM 338 45 Watt S/N. 103TNQA853, 103TNQA828</v>
          </cell>
        </row>
        <row r="1742">
          <cell r="F1742" t="str">
            <v>Antena HT Motorolla GP 2000 + Connector</v>
          </cell>
        </row>
        <row r="1743">
          <cell r="F1743" t="str">
            <v>LVC 3 PHS 3 GROUP 250A+NT FUSE 80A SIZE 1+MCCB 160A</v>
          </cell>
        </row>
        <row r="1744">
          <cell r="F1744" t="str">
            <v>LVC 3 PHS 3 GROUP 250A+NT FUSE 100A SIZE 1+MCCB 160A</v>
          </cell>
        </row>
        <row r="1745">
          <cell r="F1745" t="str">
            <v>LVC 3 PHS 3 GROUP 160A+NT FUSE 35A SIZE 1+MCCB 10A</v>
          </cell>
        </row>
        <row r="1746">
          <cell r="F1746" t="str">
            <v>LVC 3 PHS 3 GROUP 400A+NT FUSE 80A SIZE 1+MCCB 160A</v>
          </cell>
        </row>
        <row r="1747">
          <cell r="F1747" t="str">
            <v>LVC 3 PHS 3 GROUP 400A+NT FUSE 100A SIZE 1+MCCB 160A</v>
          </cell>
        </row>
        <row r="1748">
          <cell r="F1748" t="str">
            <v>KABEL NYY 4 X 150 MM 230/380V</v>
          </cell>
        </row>
        <row r="1749">
          <cell r="F1749" t="str">
            <v>KABEL SCHOEN 195 MM AL/CU</v>
          </cell>
        </row>
        <row r="1750">
          <cell r="F1750" t="str">
            <v>KWH METER ELEKTRONIK 3 PHS 5/100 A</v>
          </cell>
        </row>
        <row r="1751">
          <cell r="F1751" t="str">
            <v>PENGHALANG PANJAT</v>
          </cell>
        </row>
        <row r="1752">
          <cell r="F1752" t="str">
            <v>PIN POLTOP 10 KV</v>
          </cell>
        </row>
        <row r="1753">
          <cell r="F1753" t="str">
            <v>KAWAT AAAC 35 MM</v>
          </cell>
        </row>
        <row r="1754">
          <cell r="F1754" t="str">
            <v>KABEL DUPLEX 6 MM</v>
          </cell>
        </row>
        <row r="1755">
          <cell r="F1755" t="str">
            <v>KABEL NA2XSX 1 X 240 MM - 12 / 20 KV</v>
          </cell>
        </row>
        <row r="1756">
          <cell r="F1756" t="str">
            <v>TANG AMPERE DIGITAL TRUE RMS</v>
          </cell>
        </row>
        <row r="1757">
          <cell r="F1757" t="str">
            <v>TIC 3 X 25 + 1 X 25 AMP</v>
          </cell>
        </row>
        <row r="1758">
          <cell r="F1758" t="str">
            <v>10 T 5 COMP. CONNECTOR ALUM. FOR JUMPER 150-240/50-70mm2</v>
          </cell>
        </row>
        <row r="1759">
          <cell r="F1759" t="str">
            <v>4 T 4 COMP. CONNECTOR CU FOR GROUNDING CU</v>
          </cell>
        </row>
        <row r="1760">
          <cell r="F1760" t="str">
            <v>8 T 5 COMP. CONNECTOR ALUM. FOR JUMPER 70-150/50-70mm2</v>
          </cell>
        </row>
        <row r="1761">
          <cell r="F1761" t="str">
            <v>Trafo 3 phs 100 KVA</v>
          </cell>
        </row>
        <row r="1762">
          <cell r="F1762" t="str">
            <v>Trafo Distribusi 3 PHS 25 KVA.</v>
          </cell>
        </row>
        <row r="1763">
          <cell r="F1763" t="str">
            <v>TRAFO DIST.3 PHS 160 KVA</v>
          </cell>
        </row>
        <row r="1764">
          <cell r="F1764" t="str">
            <v>MCB 1 PHS 4 AMP 230V TANPA BOX</v>
          </cell>
        </row>
        <row r="1765">
          <cell r="F1765" t="str">
            <v>MCB 1 PHS 6 AMP 230V TANPA BOX</v>
          </cell>
        </row>
        <row r="1766">
          <cell r="F1766" t="str">
            <v>MCB 1 PHS 10 AMP 230 VOLT TANPA BOX</v>
          </cell>
        </row>
        <row r="1767">
          <cell r="F1767" t="str">
            <v>MCB 1 PHS 16 AMP 230 VOLT TANPA BOX</v>
          </cell>
        </row>
        <row r="1768">
          <cell r="F1768" t="str">
            <v>MCB 1 PHS 35 AMP 230 VOLT TANPA BOX</v>
          </cell>
        </row>
        <row r="1769">
          <cell r="F1769" t="str">
            <v>MCB 1 PHS 50 AMP 230 VOLT TANPA BOX</v>
          </cell>
        </row>
        <row r="1770">
          <cell r="F1770" t="str">
            <v>MCB 1 PHS 63 AMP 230 VOLT TANPA BOX</v>
          </cell>
        </row>
        <row r="1771">
          <cell r="F1771" t="str">
            <v>MCB 1 PHS 20 AMP 230 VOLT TANPA BOX</v>
          </cell>
        </row>
        <row r="1772">
          <cell r="F1772" t="str">
            <v>MCB 1 PHS 25 AMP 230 VOLT TANPA BOX</v>
          </cell>
        </row>
        <row r="1773">
          <cell r="F1773" t="str">
            <v>FUSE CUT OUT  20 KV, 5 KA (CERAMIC)</v>
          </cell>
        </row>
        <row r="1774">
          <cell r="F1774" t="str">
            <v>KABEL 20 KV XLPE</v>
          </cell>
        </row>
        <row r="1775">
          <cell r="F1775" t="str">
            <v>TIANG BETON 11 METER 350 DAN + E</v>
          </cell>
        </row>
        <row r="1776">
          <cell r="F1776" t="str">
            <v>LBS Motorized Ready SCADA 20 kV 630 A 12,5 kA</v>
          </cell>
        </row>
        <row r="1777">
          <cell r="F1777" t="str">
            <v>Current Trafo 20/5 A 24 KV OD Class 0.5</v>
          </cell>
        </row>
        <row r="1778">
          <cell r="F1778" t="str">
            <v>Current Trafo 30/5 A 20 kV ID Class 0'5</v>
          </cell>
        </row>
        <row r="1779">
          <cell r="F1779" t="str">
            <v>KWH METER 1 PRABAYAR PHS 5/60A + MCB 2A</v>
          </cell>
        </row>
        <row r="1780">
          <cell r="F1780" t="str">
            <v>LVC 3 PHS 2 GROUP 250A+NT FUSE 80A SIZE 1+MCCB 80A</v>
          </cell>
        </row>
        <row r="1781">
          <cell r="F1781" t="str">
            <v>LVC 3 PHS 3 GROUP 250A+NT FUSE 100A SIZE 1+MCCB 80A</v>
          </cell>
        </row>
        <row r="1782">
          <cell r="F1782" t="str">
            <v>KABEL NA2XSY 1 X 50 MM</v>
          </cell>
        </row>
        <row r="1783">
          <cell r="F1783" t="str">
            <v>BOX APP KHUSUS TYPE 1 A + MCCB 160 A</v>
          </cell>
        </row>
        <row r="1784">
          <cell r="F1784" t="str">
            <v>BOX APP KHUSUS TYPE 1 A LENGKAP+MCCB 300 A</v>
          </cell>
        </row>
        <row r="1785">
          <cell r="F1785" t="str">
            <v>FUSE LINK 4 A</v>
          </cell>
        </row>
        <row r="1786">
          <cell r="F1786" t="str">
            <v>SOCKET TIANG BESI 4"-6"-9"</v>
          </cell>
        </row>
        <row r="1787">
          <cell r="F1787" t="str">
            <v>Kabel XLPE 1x35 mm 20 KV</v>
          </cell>
        </row>
        <row r="1788">
          <cell r="F1788" t="str">
            <v>GPS NAVIGATION 2 GB MICRO SD LENGKP INDOMAP</v>
          </cell>
        </row>
        <row r="1789">
          <cell r="F1789" t="str">
            <v>TIANG BETON 9 METER 200 DAN SPAND GUY</v>
          </cell>
        </row>
        <row r="1790">
          <cell r="F1790" t="str">
            <v>Bundle Cond Conn 6-35/6-35 mm</v>
          </cell>
        </row>
        <row r="1791">
          <cell r="F1791" t="str">
            <v>Paralel Group 150-150 mm2 (3 baut)</v>
          </cell>
        </row>
        <row r="1792">
          <cell r="F1792" t="str">
            <v>Paralel Group 70-70 mm2 (3 baut)</v>
          </cell>
        </row>
        <row r="1793">
          <cell r="F1793" t="str">
            <v>PIPA BESI 4" TEBAL 3MM @ 6 MTR GALVANIS</v>
          </cell>
        </row>
        <row r="1794">
          <cell r="F1794" t="str">
            <v>NT.FUSE 355 AMP.</v>
          </cell>
        </row>
        <row r="1795">
          <cell r="F1795" t="str">
            <v>ANTENA RADIO BASE STATION LENGKAP ACESSORIES</v>
          </cell>
        </row>
        <row r="1796">
          <cell r="F1796" t="str">
            <v>CHAIN SAW</v>
          </cell>
        </row>
        <row r="1797">
          <cell r="F1797" t="str">
            <v>TANDA KABEL</v>
          </cell>
        </row>
        <row r="1798">
          <cell r="F1798" t="str">
            <v>TANDA JOINTING</v>
          </cell>
        </row>
      </sheetData>
      <sheetData sheetId="1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 5000"/>
      <sheetName val="SO10000"/>
      <sheetName val="SO10000 (2)"/>
      <sheetName val="MO"/>
      <sheetName val="MO (2)"/>
      <sheetName val="Material Distribusi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NERACA"/>
      <sheetName val="10 INDIKATOR"/>
      <sheetName val="VALUE"/>
      <sheetName val="Indikator210"/>
      <sheetName val="Indikator215"/>
      <sheetName val="Hal-1"/>
      <sheetName val="Hal-2"/>
      <sheetName val="Hal-3"/>
      <sheetName val="Hal-4"/>
      <sheetName val="Hal-5"/>
      <sheetName val="Hal-6"/>
      <sheetName val="Hal-7"/>
      <sheetName val="Hal8-13"/>
      <sheetName val="Hal-14"/>
      <sheetName val="Hal-15"/>
      <sheetName val="Hal-16"/>
      <sheetName val="aruskas"/>
      <sheetName val="PEND-ARUS"/>
      <sheetName val="PEND-BBM"/>
      <sheetName val="PEND-HAR"/>
      <sheetName val="PEND-PEG"/>
      <sheetName val="PEND-ADM"/>
      <sheetName val="FORMA"/>
      <sheetName val="FORMB"/>
      <sheetName val="REKAP"/>
      <sheetName val="SCHEDULE"/>
      <sheetName val="PENDUKUNG"/>
      <sheetName val="Hal_1"/>
      <sheetName val="M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UMSI"/>
      <sheetName val="ANALISABBM"/>
      <sheetName val="LR"/>
      <sheetName val="NR"/>
      <sheetName val="CF"/>
      <sheetName val="PSO2005"/>
      <sheetName val="PENJ2005"/>
      <sheetName val="HPP"/>
      <sheetName val="KOKIN"/>
      <sheetName val="K2004"/>
      <sheetName val="SALDO KAS"/>
      <sheetName val="SBDN"/>
      <sheetName val="PEREK"/>
      <sheetName val="PSO2004"/>
      <sheetName val="INV-T"/>
      <sheetName val="datNR"/>
      <sheetName val="BBM"/>
      <sheetName val="datLR"/>
      <sheetName val="Sheet1"/>
      <sheetName val="PENJ2004"/>
      <sheetName val="L6"/>
      <sheetName val="L6l"/>
      <sheetName val="IPP VOLUME"/>
      <sheetName val="HPP04"/>
      <sheetName val="STAT"/>
      <sheetName val="PPSUB"/>
      <sheetName val="SUBhpp"/>
      <sheetName val="LRA"/>
      <sheetName val="NRA"/>
      <sheetName val="LRA1"/>
      <sheetName val="LRU05"/>
      <sheetName val="LRU04"/>
      <sheetName val="LRBACEH"/>
      <sheetName val="Lamp"/>
      <sheetName val="LISWAS"/>
      <sheetName val="PenBP"/>
      <sheetName val="PSUSUT"/>
      <sheetName val="BDOP5"/>
      <sheetName val="ad51"/>
      <sheetName val="ad52"/>
      <sheetName val="SewD"/>
      <sheetName val="LMNR"/>
      <sheetName val="JKP"/>
      <sheetName val="AKT"/>
      <sheetName val="LM1NR"/>
      <sheetName val="NRU"/>
      <sheetName val="DRNRU"/>
      <sheetName val="datBAB"/>
      <sheetName val="JELAS"/>
      <sheetName val="FUNGSI"/>
      <sheetName val="Rp.kWh"/>
      <sheetName val="L1"/>
      <sheetName val="L2"/>
      <sheetName val="L3"/>
      <sheetName val="Pembelian"/>
      <sheetName val="L5"/>
      <sheetName val="L7"/>
      <sheetName val="L8"/>
      <sheetName val="L9"/>
      <sheetName val="Resume"/>
      <sheetName val="ONK"/>
      <sheetName val="PembelianL"/>
      <sheetName val="SewaDL"/>
      <sheetName val="PENDAPATAN"/>
      <sheetName val="HAR"/>
      <sheetName val="HRT1"/>
      <sheetName val="L11PEG"/>
      <sheetName val="PEG"/>
      <sheetName val="datPEG"/>
      <sheetName val="L12ADM"/>
      <sheetName val="ADM"/>
      <sheetName val="ADM05"/>
      <sheetName val="BDOP"/>
      <sheetName val="BDOP1"/>
      <sheetName val="datBDOP"/>
      <sheetName val="DLOP"/>
      <sheetName val="DLOP1"/>
      <sheetName val="L21"/>
      <sheetName val="INF-UN"/>
      <sheetName val="Piutang"/>
      <sheetName val="datpen"/>
      <sheetName val="L4"/>
      <sheetName val="arusk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ik Wil"/>
      <sheetName val="Resume"/>
    </sheetNames>
    <sheetDataSet>
      <sheetData sheetId="0" refreshError="1"/>
      <sheetData sheetId="1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tunjuk"/>
      <sheetName val="Kamus"/>
      <sheetName val="Rekapitulasi"/>
      <sheetName val="Basket"/>
      <sheetName val="JTM"/>
      <sheetName val="JTR"/>
      <sheetName val="Gardu"/>
      <sheetName val="SR"/>
      <sheetName val="KWhmeter"/>
      <sheetName val="UAI"/>
      <sheetName val="Cover"/>
      <sheetName val="Input non sar"/>
      <sheetName val="Input sar"/>
      <sheetName val="F-A12 non sar (1)"/>
      <sheetName val="F-A12 non sar (2)"/>
      <sheetName val="F-A12 sar (1)"/>
      <sheetName val="F-A12 sar (2)"/>
      <sheetName val="rab sar"/>
      <sheetName val="rab non sar"/>
      <sheetName val="perbandingan"/>
      <sheetName val="FORM A12"/>
      <sheetName val="Rekap000"/>
      <sheetName val="Basket000"/>
      <sheetName val="JTM000"/>
      <sheetName val="JTR000"/>
      <sheetName val="Gardu000"/>
      <sheetName val="SR000"/>
      <sheetName val="kWhmeter0"/>
      <sheetName val="UAI000"/>
      <sheetName val="Grafik W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7">
          <cell r="B7" t="str">
            <v>Jawa Timur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Daftar Isi"/>
      <sheetName val="Asumsi"/>
      <sheetName val="Penjelas"/>
      <sheetName val="Neraca"/>
      <sheetName val="PiutangLL(4E)"/>
      <sheetName val="PiutangUsahaNetto(5B)"/>
      <sheetName val="PiutLangg-U(5B1)"/>
    </sheetNames>
    <sheetDataSet>
      <sheetData sheetId="0" refreshError="1"/>
      <sheetData sheetId="1" refreshError="1"/>
      <sheetData sheetId="2">
        <row r="2">
          <cell r="U2" t="str">
            <v>2005</v>
          </cell>
        </row>
      </sheetData>
      <sheetData sheetId="3" refreshError="1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bay"/>
      <sheetName val="sept 01-07"/>
      <sheetName val="sept"/>
      <sheetName val="Sheet3"/>
      <sheetName val="TRANS"/>
      <sheetName val="Asumsi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inerja Wil.III"/>
      <sheetName val="Kinerja Unit"/>
      <sheetName val="Kinerja Wil.III-BIKEU"/>
      <sheetName val="Kinerja Unit Revisi-DBIKEU"/>
      <sheetName val="ratio-keu"/>
      <sheetName val="Rl-1999-2000"/>
      <sheetName val="rl-rkap"/>
      <sheetName val="neraca 1999-2000"/>
      <sheetName val="Neraca AO &amp; aktual"/>
      <sheetName val="Biaya Operasi Per Unsur"/>
      <sheetName val="Beban Pemeliharaan"/>
      <sheetName val="B. Pmlhrn - Material"/>
      <sheetName val="B. Pmlhrn - Mat-Instalasi"/>
      <sheetName val="B. Pmlhrn - Mat-Sarana"/>
      <sheetName val="B. Pmlhrn - Jasa Borongan"/>
      <sheetName val="B. Pmlhrn - JB-Instalasi"/>
      <sheetName val="B. Pmlhrn - JB-Sarana"/>
      <sheetName val="Beban Kepegawaian"/>
      <sheetName val="Beban Penyusutan"/>
      <sheetName val="Beban Operasi Lainnya"/>
      <sheetName val="piut-L&amp;R"/>
      <sheetName val="piut-gol"/>
      <sheetName val="tunggakan"/>
      <sheetName val="ratio-mat-har"/>
      <sheetName val="PDP-Per Unsur"/>
      <sheetName val="ratio-mat-pdp"/>
      <sheetName val="Cover-luar"/>
      <sheetName val="Daftar Isi "/>
      <sheetName val="Daftar Isi  (2)"/>
      <sheetName val="cover-dlm"/>
      <sheetName val="cover-dlm (2)"/>
      <sheetName val="RKAP  VS  Neraca"/>
      <sheetName val="RKAP VS LR dengan Tranfer Price"/>
      <sheetName val="NERACA SESUAI PROGRAM GL MAGIC"/>
      <sheetName val="LR Per Unsur Non Transfer Price"/>
      <sheetName val="LR Per Fungsi NonTransfer Price"/>
      <sheetName val="sep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6">
          <cell r="C16">
            <v>1096154497179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  <sheetName val="neraca 1999-2000"/>
    </sheetNames>
    <sheetDataSet>
      <sheetData sheetId="0" refreshError="1"/>
      <sheetData sheetId="1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Alr kWh"/>
      <sheetName val="Rekap"/>
      <sheetName val="N Eng"/>
      <sheetName val="Trm"/>
      <sheetName val="Krm"/>
      <sheetName val="F12"/>
      <sheetName val="F13"/>
      <sheetName val="F13 (2)"/>
      <sheetName val="F14"/>
      <sheetName val="Jual"/>
      <sheetName val="Transver kWh"/>
      <sheetName val="PSSD"/>
      <sheetName val="DbGab"/>
      <sheetName val="Data"/>
      <sheetName val="Data MFO"/>
      <sheetName val="Criteria"/>
      <sheetName val="Laporan Pengusahaan Tek V 217-1"/>
      <sheetName val="c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STEM SUMBAGSEL"/>
      <sheetName val="Transver kWh"/>
    </sheetNames>
    <sheetDataSet>
      <sheetData sheetId="0" refreshError="1"/>
      <sheetData sheetId="1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 2004"/>
      <sheetName val="rumus"/>
      <sheetName val="Sheet3"/>
      <sheetName val="SISTEM SUMBAGSEL"/>
    </sheetNames>
    <sheetDataSet>
      <sheetData sheetId="0">
        <row r="11">
          <cell r="B11">
            <v>11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hDeb00"/>
      <sheetName val="000"/>
      <sheetName val="100"/>
      <sheetName val="001"/>
      <sheetName val="BB2000"/>
      <sheetName val="LK2001"/>
      <sheetName val="KK2000"/>
      <sheetName val="CF2000"/>
      <sheetName val="BB2001"/>
      <sheetName val="KK2001"/>
      <sheetName val="CF2001"/>
      <sheetName val="CFAnggaran"/>
      <sheetName val="SPDana"/>
      <sheetName val="CFLK2001"/>
      <sheetName val="UshDebtw101"/>
      <sheetName val="UshDeb03001"/>
      <sheetName val="GABUNGAN"/>
      <sheetName val="Sheet1"/>
      <sheetName val="Sheet2"/>
      <sheetName val="Sheet3"/>
      <sheetName val="Mar 20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sifikasi"/>
      <sheetName val="Sheet1"/>
      <sheetName val="Shee2"/>
      <sheetName val="Sheet3"/>
      <sheetName val="Seet4"/>
      <sheetName val="Sheet5"/>
      <sheetName val="UshDeb00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sifikasi"/>
      <sheetName val="Sheet1"/>
      <sheetName val="Shee2"/>
      <sheetName val="Sheet3"/>
      <sheetName val="Seet4"/>
      <sheetName val="Sheet5"/>
      <sheetName val="Menu"/>
      <sheetName val="HS"/>
      <sheetName val="UshDeb00"/>
      <sheetName val="ca"/>
      <sheetName val="JOB"/>
      <sheetName val="Resume"/>
      <sheetName val="FIN ANALISIS-DISJAYA-CALL CENTR"/>
      <sheetName val="Cover"/>
      <sheetName val="Kontrol"/>
      <sheetName val="Asumsi"/>
      <sheetName val="Grf Pedp Lain2"/>
      <sheetName val="PRK"/>
      <sheetName val="Kamus"/>
      <sheetName val="LAIN2"/>
      <sheetName val="FIN%20ANALISIS-DISJAYA-CALL%20C"/>
      <sheetName val="NerSubsis"/>
      <sheetName val="Daftar Tabel"/>
      <sheetName val="rekmodiPtk (MAP)"/>
      <sheetName val="TRANS"/>
      <sheetName val="PP"/>
      <sheetName val="database"/>
      <sheetName val="Valuation"/>
      <sheetName val="Rekap"/>
      <sheetName val="daftar hrg mat 07"/>
      <sheetName val="KODE GGN"/>
      <sheetName val="DATA"/>
      <sheetName val="Perintah"/>
      <sheetName val="112-885"/>
      <sheetName val="LIST"/>
      <sheetName val="Murni"/>
      <sheetName val="REKAP KINERJA"/>
      <sheetName val="MATERIAL"/>
      <sheetName val="HARGA SATUAN"/>
      <sheetName val="RAB"/>
      <sheetName val="ACUAN"/>
      <sheetName val="PEN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L2001"/>
      <sheetName val="TDL2002"/>
      <sheetName val="Rekapitulasi"/>
      <sheetName val="UshDeb00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-NAD"/>
      <sheetName val="W-SU"/>
      <sheetName val="W-SB"/>
      <sheetName val="W-R"/>
      <sheetName val="W-SJB"/>
      <sheetName val="W-L"/>
      <sheetName val="W-BB"/>
      <sheetName val="W-KB"/>
      <sheetName val="W-KST"/>
      <sheetName val="W-KT"/>
      <sheetName val="W-SUT"/>
      <sheetName val="W-SSR"/>
      <sheetName val="W-M"/>
      <sheetName val="W-P"/>
      <sheetName val="W-NTB"/>
      <sheetName val="W-NTT"/>
      <sheetName val="D-B"/>
      <sheetName val="D-JTM"/>
      <sheetName val="D-JTG"/>
      <sheetName val="D-JBB"/>
      <sheetName val="D-JRT"/>
      <sheetName val="K-SBU"/>
      <sheetName val="K-SBS"/>
      <sheetName val="P3B-J"/>
      <sheetName val="P3B-S"/>
      <sheetName val="JPP"/>
      <sheetName val="JE"/>
      <sheetName val="JP"/>
      <sheetName val="JMK"/>
      <sheetName val="JS"/>
      <sheetName val="PP"/>
      <sheetName val="KP"/>
      <sheetName val="P-SA"/>
      <sheetName val="P-SSR"/>
      <sheetName val="P-JBN"/>
      <sheetName val="P-S"/>
      <sheetName val="P-K"/>
      <sheetName val="K-TJ"/>
      <sheetName val="K-MTR"/>
      <sheetName val="K-CLG"/>
      <sheetName val="PJB"/>
      <sheetName val="IP"/>
      <sheetName val="BTM"/>
      <sheetName val="ICP"/>
      <sheetName val="PLN E"/>
      <sheetName val="PLN TRK"/>
      <sheetName val="REK WIL"/>
      <sheetName val="REK DIS"/>
      <sheetName val="REK KP"/>
      <sheetName val="REK JP"/>
      <sheetName val="REK PIK"/>
      <sheetName val="REK AP"/>
      <sheetName val="REKAP"/>
      <sheetName val="Raker 9 april"/>
      <sheetName val="REKAP UNIT 1"/>
      <sheetName val="REKAP UNIT 2"/>
      <sheetName val="REKAP UNIT 3"/>
      <sheetName val="RIP 3"/>
      <sheetName val="RIP 1"/>
      <sheetName val="RKAI 1"/>
      <sheetName val="RISD 1"/>
      <sheetName val="RIP"/>
      <sheetName val="RKAI"/>
      <sheetName val="RISD"/>
      <sheetName val="PENYERTAAN"/>
      <sheetName val="DAF PROY"/>
      <sheetName val="TDL20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mus"/>
      <sheetName val="Cover"/>
      <sheetName val="FGTM 03"/>
      <sheetName val="FGTM 03 Pusat"/>
      <sheetName val="Lampiran I"/>
      <sheetName val="W-N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nd&amp;faktor kali"/>
      <sheetName val="kwhpakai_all"/>
      <sheetName val="FORM LU 5"/>
      <sheetName val="terima"/>
      <sheetName val="PS GI"/>
      <sheetName val="kirim"/>
      <sheetName val="A.Terima F(1-2)"/>
      <sheetName val="B.Kirim F(1-3)"/>
      <sheetName val="C.12RB F(1-1)"/>
      <sheetName val="FORM LU 4"/>
      <sheetName val="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T II (CABANG)"/>
      <sheetName val="ALT I (CABANG)"/>
      <sheetName val="Simulasi"/>
      <sheetName val="DATA"/>
      <sheetName val="Rekap"/>
      <sheetName val="beban"/>
      <sheetName val="ALT I"/>
      <sheetName val="ALT II"/>
      <sheetName val="ALT III"/>
      <sheetName val="terim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D"/>
      <sheetName val="REK GRD"/>
      <sheetName val="DATA"/>
      <sheetName val="beban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UMULATIP"/>
      <sheetName val="GRAFIK"/>
      <sheetName val="REKAP"/>
      <sheetName val="JAN"/>
      <sheetName val="FEB"/>
      <sheetName val="MAR"/>
      <sheetName val="APR"/>
      <sheetName val="MAY"/>
      <sheetName val="JUNE"/>
      <sheetName val="JULI"/>
      <sheetName val="AGUS"/>
      <sheetName val="SEPT03"/>
      <sheetName val="OKT"/>
      <sheetName val="NOF"/>
      <sheetName val="DES"/>
      <sheetName val="O"/>
      <sheetName val="GRD"/>
    </sheetNames>
    <sheetDataSet>
      <sheetData sheetId="0">
        <row r="2">
          <cell r="A2" t="str">
            <v>PT. PLN (Persero ) WILAYAH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dah Berjalan"/>
      <sheetName val="Rencana Penambahan"/>
      <sheetName val="KUMULATIP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ba Rugi"/>
      <sheetName val="Cover"/>
      <sheetName val="Daftar Isi"/>
      <sheetName val="Asumsi"/>
      <sheetName val="PTKU"/>
      <sheetName val="LabaRugi Unsur"/>
      <sheetName val="LabaRugi Fungsi"/>
      <sheetName val="Penjelas"/>
      <sheetName val="JualGTarif(11A)"/>
      <sheetName val="PendOpLain(11B)"/>
      <sheetName val="IkhtisarBiop(12.0)"/>
      <sheetName val="SewaPemb(12A2)"/>
      <sheetName val="BBMJenis(12B1)"/>
      <sheetName val="PembelianiTL(12A1"/>
      <sheetName val="ProduksiTL(12B2)"/>
      <sheetName val="HarMat(12C1)"/>
      <sheetName val="HarJabor(12C2)"/>
      <sheetName val="BBaku(12C3)"/>
      <sheetName val="BPeg-F(12D1)"/>
      <sheetName val="Bipeg-U(12D2)"/>
      <sheetName val="BOLain(12E1)"/>
      <sheetName val="BOLain(12E2)"/>
      <sheetName val="PendaLuOp(13)"/>
      <sheetName val="BiLuOp(14)"/>
      <sheetName val="BiPinjamin(15)"/>
      <sheetName val="PenjTL(18)"/>
      <sheetName val="LabaRugi Lainnya 2005(20)"/>
      <sheetName val="LabaRugi Unsur2004(21A)"/>
      <sheetName val="LabaRugi Fungsi2004(21B)"/>
      <sheetName val="00000000"/>
      <sheetName val="Sudah Berja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-R"/>
      <sheetName val="Laba Rugi"/>
    </sheetNames>
    <sheetDataSet>
      <sheetData sheetId="0" refreshError="1"/>
      <sheetData sheetId="1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entra"/>
      <sheetName val="Msa"/>
      <sheetName val="Kontrak MSA 2007"/>
      <sheetName val="L-R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entra"/>
      <sheetName val="Msa"/>
      <sheetName val="Kontrak MSA 2007"/>
    </sheetNames>
    <sheetDataSet>
      <sheetData sheetId="0" refreshError="1"/>
      <sheetData sheetId="1" refreshError="1">
        <row r="13">
          <cell r="C13" t="str">
            <v>Ida Eliza Sihotang</v>
          </cell>
          <cell r="D13" t="str">
            <v>Administrasi</v>
          </cell>
        </row>
        <row r="14">
          <cell r="C14" t="str">
            <v>Aryani R.</v>
          </cell>
          <cell r="D14" t="str">
            <v>Administrasi</v>
          </cell>
        </row>
        <row r="15">
          <cell r="C15" t="str">
            <v>Elwi Rahmawati</v>
          </cell>
          <cell r="D15" t="str">
            <v>Administrasi</v>
          </cell>
        </row>
        <row r="16">
          <cell r="C16" t="str">
            <v>Masrelawati</v>
          </cell>
          <cell r="D16" t="str">
            <v>Administrasi</v>
          </cell>
        </row>
        <row r="17">
          <cell r="C17" t="str">
            <v>Geby Maldina Siregar</v>
          </cell>
          <cell r="D17" t="str">
            <v>Administrasi</v>
          </cell>
        </row>
        <row r="18">
          <cell r="C18" t="str">
            <v>Sry Suningsih</v>
          </cell>
          <cell r="D18" t="str">
            <v>Administrasi</v>
          </cell>
        </row>
        <row r="19">
          <cell r="C19" t="str">
            <v>Sri Farida Koto</v>
          </cell>
          <cell r="D19" t="str">
            <v>Administrasi</v>
          </cell>
        </row>
        <row r="20">
          <cell r="C20" t="str">
            <v>Miranda</v>
          </cell>
          <cell r="D20" t="str">
            <v>Administrasi</v>
          </cell>
        </row>
        <row r="21">
          <cell r="C21" t="str">
            <v>Syufriadi Hrp</v>
          </cell>
          <cell r="D21" t="str">
            <v>Administrasi</v>
          </cell>
        </row>
        <row r="22">
          <cell r="C22" t="str">
            <v>Sutarno</v>
          </cell>
          <cell r="D22" t="str">
            <v>Driver</v>
          </cell>
        </row>
        <row r="23">
          <cell r="C23" t="str">
            <v>Ilfa Suryani</v>
          </cell>
          <cell r="D23" t="str">
            <v>Call Centre</v>
          </cell>
        </row>
        <row r="24">
          <cell r="C24" t="str">
            <v>Rahmadanta Sitepu</v>
          </cell>
          <cell r="D24" t="str">
            <v>Driver</v>
          </cell>
        </row>
        <row r="25">
          <cell r="C25" t="str">
            <v>Abu Hasan Tanjung</v>
          </cell>
          <cell r="D25" t="str">
            <v>Administrasi</v>
          </cell>
        </row>
        <row r="26">
          <cell r="C26" t="str">
            <v>Wildan Rasyid Pakpahan</v>
          </cell>
          <cell r="D26" t="str">
            <v>Administrasi</v>
          </cell>
        </row>
        <row r="27">
          <cell r="C27" t="str">
            <v>Siti Aisyah</v>
          </cell>
          <cell r="D27" t="str">
            <v>Administrasi</v>
          </cell>
        </row>
        <row r="28">
          <cell r="C28" t="str">
            <v>Andriyani Tanjung</v>
          </cell>
          <cell r="D28" t="str">
            <v>Administrasi</v>
          </cell>
        </row>
        <row r="29">
          <cell r="C29" t="str">
            <v>Mhd.Yunus</v>
          </cell>
          <cell r="D29" t="str">
            <v>Administrasi</v>
          </cell>
        </row>
        <row r="30">
          <cell r="C30" t="str">
            <v>Fitriani Daulay</v>
          </cell>
          <cell r="D30" t="str">
            <v>Administrasi</v>
          </cell>
        </row>
        <row r="31">
          <cell r="C31" t="str">
            <v>Samini Saragih</v>
          </cell>
          <cell r="D31" t="str">
            <v>Administrasi</v>
          </cell>
        </row>
        <row r="32">
          <cell r="C32" t="str">
            <v>M.Ali Nafiah Nasution</v>
          </cell>
          <cell r="D32" t="str">
            <v>Administrasi</v>
          </cell>
        </row>
        <row r="33">
          <cell r="C33" t="str">
            <v>Nurhabibah</v>
          </cell>
          <cell r="D33" t="str">
            <v>Administrasi</v>
          </cell>
        </row>
        <row r="34">
          <cell r="C34" t="str">
            <v>Riasma Bondar</v>
          </cell>
          <cell r="D34" t="str">
            <v>Administrasi</v>
          </cell>
        </row>
        <row r="35">
          <cell r="C35" t="str">
            <v>Paisal Reno</v>
          </cell>
          <cell r="D35" t="str">
            <v>Teknik</v>
          </cell>
        </row>
        <row r="36">
          <cell r="C36" t="str">
            <v>Aston Lubis</v>
          </cell>
          <cell r="D36" t="str">
            <v>Teknik</v>
          </cell>
        </row>
        <row r="37">
          <cell r="C37" t="str">
            <v>Hasanuddin Pane</v>
          </cell>
          <cell r="D37" t="str">
            <v>Teknik</v>
          </cell>
        </row>
        <row r="38">
          <cell r="C38" t="str">
            <v>Sudirman</v>
          </cell>
          <cell r="D38" t="str">
            <v>Teknik</v>
          </cell>
        </row>
        <row r="39">
          <cell r="C39" t="str">
            <v>Edi Rusdianto.S</v>
          </cell>
          <cell r="D39" t="str">
            <v>Teknik</v>
          </cell>
        </row>
        <row r="40">
          <cell r="C40" t="str">
            <v>Raflis Salam</v>
          </cell>
          <cell r="D40" t="str">
            <v>Teknik</v>
          </cell>
        </row>
        <row r="41">
          <cell r="C41" t="str">
            <v>Herli Juwita</v>
          </cell>
          <cell r="D41" t="str">
            <v>Administrasi</v>
          </cell>
        </row>
        <row r="42">
          <cell r="C42" t="str">
            <v>Rifana Syahputra Sitepu</v>
          </cell>
          <cell r="D42" t="str">
            <v>Driver</v>
          </cell>
        </row>
        <row r="43">
          <cell r="C43" t="str">
            <v>Musliadi</v>
          </cell>
          <cell r="D43" t="str">
            <v>Teknik</v>
          </cell>
        </row>
        <row r="44">
          <cell r="C44" t="str">
            <v xml:space="preserve"> Sugiono</v>
          </cell>
          <cell r="D44" t="str">
            <v>Teknik</v>
          </cell>
        </row>
        <row r="45">
          <cell r="C45" t="str">
            <v>Jumlah -1</v>
          </cell>
        </row>
        <row r="46">
          <cell r="C46" t="str">
            <v>Rtg. Kotanopan</v>
          </cell>
        </row>
        <row r="47">
          <cell r="C47" t="str">
            <v>Yusnimar Zagoto</v>
          </cell>
          <cell r="D47" t="str">
            <v>Administrasi</v>
          </cell>
        </row>
        <row r="48">
          <cell r="C48" t="str">
            <v>Jumlah-2</v>
          </cell>
        </row>
        <row r="49">
          <cell r="C49" t="str">
            <v>Rtg.Panyabungan</v>
          </cell>
        </row>
        <row r="50">
          <cell r="C50" t="str">
            <v>Baginda Htg</v>
          </cell>
          <cell r="D50" t="str">
            <v>Teknik</v>
          </cell>
        </row>
        <row r="51">
          <cell r="C51" t="str">
            <v>Bernard Pasaribu</v>
          </cell>
          <cell r="D51" t="str">
            <v>Teknik</v>
          </cell>
        </row>
        <row r="52">
          <cell r="C52" t="str">
            <v>Saut Pasaribu</v>
          </cell>
          <cell r="D52" t="str">
            <v>Teknik</v>
          </cell>
        </row>
        <row r="53">
          <cell r="C53" t="str">
            <v>M.Yamin Siregar</v>
          </cell>
          <cell r="D53" t="str">
            <v>Teknik</v>
          </cell>
        </row>
        <row r="54">
          <cell r="C54" t="str">
            <v>Khairul Mahmud</v>
          </cell>
          <cell r="D54" t="str">
            <v>Administrasi</v>
          </cell>
        </row>
        <row r="55">
          <cell r="C55" t="str">
            <v>Burhanuddin Nasution</v>
          </cell>
          <cell r="D55" t="str">
            <v>Administrasi</v>
          </cell>
        </row>
        <row r="56">
          <cell r="C56" t="str">
            <v>Rajab Nasution</v>
          </cell>
          <cell r="D56" t="str">
            <v>Teknik</v>
          </cell>
        </row>
        <row r="57">
          <cell r="C57" t="str">
            <v>Suharni Panggabean</v>
          </cell>
          <cell r="D57" t="str">
            <v>Administrasi</v>
          </cell>
        </row>
        <row r="58">
          <cell r="C58" t="str">
            <v>Amiliria Zebua</v>
          </cell>
          <cell r="D58" t="str">
            <v>Administrasi</v>
          </cell>
        </row>
        <row r="59">
          <cell r="C59" t="str">
            <v>Jumlah-3</v>
          </cell>
        </row>
        <row r="60">
          <cell r="C60" t="str">
            <v>Rtg.Natal</v>
          </cell>
        </row>
        <row r="61">
          <cell r="C61" t="str">
            <v>Islamuddin</v>
          </cell>
          <cell r="D61" t="str">
            <v>Teknik</v>
          </cell>
        </row>
        <row r="62">
          <cell r="C62" t="str">
            <v>Sama'an</v>
          </cell>
          <cell r="D62" t="str">
            <v>Teknik</v>
          </cell>
        </row>
        <row r="63">
          <cell r="C63" t="str">
            <v>Irma Hayani</v>
          </cell>
          <cell r="D63" t="str">
            <v>Administrasi</v>
          </cell>
        </row>
        <row r="64">
          <cell r="C64" t="str">
            <v>Julkifli</v>
          </cell>
          <cell r="D64" t="str">
            <v>Administrasi</v>
          </cell>
        </row>
        <row r="65">
          <cell r="C65" t="str">
            <v>Dasran</v>
          </cell>
          <cell r="D65" t="str">
            <v>Teknik</v>
          </cell>
        </row>
        <row r="66">
          <cell r="C66" t="str">
            <v>Jumlah -4</v>
          </cell>
        </row>
        <row r="67">
          <cell r="C67" t="str">
            <v>Rtg.Sipirok</v>
          </cell>
        </row>
        <row r="68">
          <cell r="C68" t="str">
            <v>Adhartono</v>
          </cell>
          <cell r="D68" t="str">
            <v>Teknik</v>
          </cell>
        </row>
        <row r="69">
          <cell r="C69" t="str">
            <v>Susilawati Lubis</v>
          </cell>
          <cell r="D69" t="str">
            <v>Administrasi</v>
          </cell>
        </row>
        <row r="70">
          <cell r="C70" t="str">
            <v>Darma Sahdi H S</v>
          </cell>
          <cell r="D70" t="str">
            <v>Teknik</v>
          </cell>
        </row>
        <row r="71">
          <cell r="C71" t="str">
            <v>Jumlah-5</v>
          </cell>
        </row>
        <row r="72">
          <cell r="C72" t="str">
            <v>Rtg.Gunung Tua</v>
          </cell>
        </row>
        <row r="73">
          <cell r="C73" t="str">
            <v>Nur Ubawati</v>
          </cell>
          <cell r="D73" t="str">
            <v>Administrasi</v>
          </cell>
        </row>
        <row r="74">
          <cell r="C74" t="str">
            <v>Raja Hudda Srg</v>
          </cell>
          <cell r="D74" t="str">
            <v>Teknik</v>
          </cell>
        </row>
        <row r="75">
          <cell r="C75" t="str">
            <v>Chandra Halim</v>
          </cell>
          <cell r="D75" t="str">
            <v>Teknik</v>
          </cell>
        </row>
        <row r="76">
          <cell r="C76" t="str">
            <v>Juswardi</v>
          </cell>
          <cell r="D76" t="str">
            <v>Teknik</v>
          </cell>
        </row>
        <row r="77">
          <cell r="C77" t="str">
            <v>Jumlah-6</v>
          </cell>
        </row>
        <row r="78">
          <cell r="C78" t="str">
            <v>Rtg.Sibuhuan</v>
          </cell>
        </row>
        <row r="79">
          <cell r="C79" t="str">
            <v>Ronny Iskandar</v>
          </cell>
          <cell r="D79" t="str">
            <v>Administrasi</v>
          </cell>
        </row>
        <row r="80">
          <cell r="C80" t="str">
            <v>Yuli Usman</v>
          </cell>
          <cell r="D80" t="str">
            <v>Teknik</v>
          </cell>
        </row>
        <row r="81">
          <cell r="C81" t="str">
            <v>U.Padomuan</v>
          </cell>
          <cell r="D81" t="str">
            <v>Teknik</v>
          </cell>
        </row>
        <row r="82">
          <cell r="C82" t="str">
            <v>Kholilah</v>
          </cell>
          <cell r="D82" t="str">
            <v>Administrasi</v>
          </cell>
        </row>
        <row r="83">
          <cell r="C83" t="str">
            <v>Sudarno</v>
          </cell>
          <cell r="D83" t="str">
            <v>Teknik</v>
          </cell>
        </row>
        <row r="84">
          <cell r="C84" t="str">
            <v>Laskar Muda Nst</v>
          </cell>
          <cell r="D84" t="str">
            <v>Teknik</v>
          </cell>
        </row>
      </sheetData>
      <sheetData sheetId="2"/>
      <sheetData sheetId="3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entra"/>
    </sheetNames>
    <sheetDataSet>
      <sheetData sheetId="0" refreshError="1"/>
      <sheetData sheetId="1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Biaya"/>
      <sheetName val="Kuantitas &amp; Harga"/>
      <sheetName val="Persentase"/>
      <sheetName val="Rutin"/>
      <sheetName val="Sheet1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Kuantitas &amp; Harga"/>
    </sheetNames>
    <sheetDataSet>
      <sheetData sheetId="0" refreshError="1"/>
      <sheetData sheetId="1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ftar"/>
      <sheetName val="Faktur"/>
      <sheetName val="Kwitansi"/>
      <sheetName val="Surat"/>
      <sheetName val="Sheet2"/>
      <sheetName val="PETUGAS"/>
      <sheetName val="Asumsi"/>
      <sheetName val="Sheet1"/>
      <sheetName val="master"/>
      <sheetName val="KHS GARDU"/>
      <sheetName val="master fln"/>
      <sheetName val="KHS SKTM"/>
    </sheetNames>
    <sheetDataSet>
      <sheetData sheetId="0">
        <row r="8">
          <cell r="A8">
            <v>1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klur Juni 2005"/>
      <sheetName val="montr said &amp; saifi"/>
      <sheetName val="Dasar Pemadaman"/>
      <sheetName val="Daftar"/>
    </sheetNames>
    <sheetDataSet>
      <sheetData sheetId="0"/>
      <sheetData sheetId="1"/>
      <sheetData sheetId="2">
        <row r="8">
          <cell r="C8">
            <v>0.35555555555555557</v>
          </cell>
        </row>
      </sheetData>
      <sheetData sheetId="3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 A"/>
      <sheetName val="1983 Top"/>
      <sheetName val="TOP TAHUNAN"/>
      <sheetName val="TOP"/>
      <sheetName val="01 A (2)"/>
      <sheetName val="01 B"/>
      <sheetName val="02 B "/>
      <sheetName val="04"/>
      <sheetName val="Tickmarks"/>
      <sheetName val="2006"/>
      <sheetName val="TEST"/>
      <sheetName val="0001"/>
      <sheetName val="Appendix A.2-2005"/>
      <sheetName val="Appendix A.2-2006"/>
      <sheetName val="Appendix A.2-2007"/>
      <sheetName val="Summary"/>
      <sheetName val="0002"/>
      <sheetName val="0003"/>
      <sheetName val="0004"/>
      <sheetName val="0005"/>
      <sheetName val="1983 Top (In USD) - 2005"/>
      <sheetName val="1983 Top (In USD) - 2006"/>
      <sheetName val="1983 Top (In USD) - 2007"/>
      <sheetName val="1983 Top (In USD) - 3 yrs-2007"/>
      <sheetName val="1983 Top (In Cncy) - 2005"/>
      <sheetName val="1983 Top (In Cncy) - 2006"/>
      <sheetName val="1983 Top (In Cncy) - 2007"/>
      <sheetName val="1983 Top (In Original Currency)"/>
      <sheetName val="1983 Top (Orig)"/>
      <sheetName val="Laba Rugi"/>
      <sheetName val="Sudah Berjalan"/>
      <sheetName val="Sheet1"/>
      <sheetName val="LAIN2"/>
      <sheetName val="L-R"/>
      <sheetName val="Submission Form"/>
      <sheetName val="rkap2008"/>
      <sheetName val="List"/>
      <sheetName val="Worksheet in 6300 TOP REPORT  A"/>
      <sheetName val="Tabel dan Grafik"/>
      <sheetName val="BA-1"/>
      <sheetName val="#REF"/>
      <sheetName val="o1a"/>
      <sheetName val="Mirrless_PBAAI"/>
      <sheetName val="SFAC_Tes"/>
      <sheetName val="TABEL SFC"/>
      <sheetName val="SAA"/>
      <sheetName val="Bipeg-U(12D2)"/>
      <sheetName val="PRK"/>
      <sheetName val="W-NAD"/>
      <sheetName val="Sheet3"/>
      <sheetName val="TRANS"/>
      <sheetName val="UshDeb00"/>
      <sheetName val="Perintah"/>
      <sheetName val="Cover"/>
      <sheetName val="Kamus"/>
      <sheetName val="beban"/>
      <sheetName val="master rab"/>
      <sheetName val="tabel-JHT"/>
      <sheetName val="W1"/>
      <sheetName val="SL3"/>
      <sheetName val="Input GENERATION-DATA"/>
      <sheetName val="Dasar Pemadaman"/>
      <sheetName val="D-2"/>
      <sheetName val="NerSubsis"/>
      <sheetName val="prev-i"/>
      <sheetName val="SPT"/>
      <sheetName val="usul-KD"/>
      <sheetName val="Kontrol"/>
      <sheetName val="Kantor"/>
      <sheetName val="REFERENSI"/>
      <sheetName val="Har_Sus"/>
      <sheetName val="M-PEG"/>
      <sheetName val="TERBIT"/>
      <sheetName val="aruskas"/>
      <sheetName val="Hal-1"/>
      <sheetName val="Gangg_PL"/>
      <sheetName val="Penjualan"/>
      <sheetName val="ProdSendiri"/>
      <sheetName val="PS&amp;Susut TL"/>
      <sheetName val="SewaBeli"/>
      <sheetName val="Transfer"/>
      <sheetName val="Rekap"/>
      <sheetName val="Wil-2"/>
      <sheetName val="Sch-5"/>
      <sheetName val="Salinan Dari Impress"/>
      <sheetName val="FORM BQ TL PRATU 4cct"/>
      <sheetName val="PkRp"/>
      <sheetName val="FLI - Sec.1"/>
      <sheetName val="Sheet6"/>
      <sheetName val="4"/>
      <sheetName val="DATA TBD"/>
      <sheetName val="A1 pri123"/>
      <sheetName val="D-Analisa1"/>
      <sheetName val="D-Upah&amp;Bahan"/>
      <sheetName val="LabaRugi"/>
      <sheetName val="BAHAN"/>
      <sheetName val="I-Rutin Switchgear"/>
      <sheetName val="I-Rutin SUTT"/>
      <sheetName val="I-Rutin Banghal"/>
      <sheetName val="I-R Kendaraan"/>
      <sheetName val="I-R Perlengkapan Um"/>
      <sheetName val="V-Rutin Banghal"/>
      <sheetName val="V-R Kendaraan"/>
      <sheetName val="V-R Perlengkapan Umum"/>
      <sheetName val="V-NR Banghal"/>
      <sheetName val="I-Rutin Transformator"/>
      <sheetName val="Sentra"/>
      <sheetName val="ASUMSI"/>
      <sheetName val="HPP"/>
      <sheetName val="hrg uph+bhn"/>
      <sheetName val="TABGAJI"/>
      <sheetName val="Pay for Person"/>
      <sheetName val="sept"/>
      <sheetName val="HARGA"/>
      <sheetName val="neraca 1999-2000"/>
      <sheetName val="FEB"/>
      <sheetName val="JAN"/>
      <sheetName val="MAR"/>
      <sheetName val="BOQ"/>
      <sheetName val="Rate"/>
      <sheetName val="sch"/>
      <sheetName val="Smg"/>
      <sheetName val="TARGET UNIT (2)"/>
      <sheetName val="RESUM-MON"/>
      <sheetName val="INPUT HARGA"/>
      <sheetName val="Rupiah"/>
      <sheetName val="Rekapitulasi"/>
      <sheetName val="RAB"/>
      <sheetName val="MDU"/>
      <sheetName val="HARGA SATUAN"/>
      <sheetName val="01_A"/>
      <sheetName val="Aug-06"/>
      <sheetName val="Tabel PTK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9">
          <cell r="K19">
            <v>92675.15</v>
          </cell>
        </row>
      </sheetData>
      <sheetData sheetId="6">
        <row r="19">
          <cell r="K19">
            <v>92675.15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-Q1,Q2,01"/>
      <sheetName val="01 A"/>
    </sheetNames>
    <sheetDataSet>
      <sheetData sheetId="0" refreshError="1"/>
      <sheetData sheetId="1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 Transaction"/>
      <sheetName val="Download_Cover"/>
      <sheetName val="Download_Data"/>
      <sheetName val="Sheet1"/>
      <sheetName val="EAEXCEL.XLS"/>
      <sheetName val="Materi"/>
      <sheetName val="Goal"/>
      <sheetName val="Aprai"/>
      <sheetName val="Training"/>
      <sheetName val="KH-Q1,Q2,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mus"/>
      <sheetName val="Cover"/>
      <sheetName val="Rekapitulasi"/>
      <sheetName val="Basket"/>
      <sheetName val="JTM"/>
      <sheetName val="JTR"/>
      <sheetName val="Gardu"/>
      <sheetName val="SR"/>
      <sheetName val="KWhmeter"/>
      <sheetName val="UAI"/>
      <sheetName val="Rekap000"/>
      <sheetName val="Basket000"/>
      <sheetName val="JTM000"/>
      <sheetName val="JTR000"/>
      <sheetName val="Gardu000"/>
      <sheetName val="SR000"/>
      <sheetName val="kWhmeter0"/>
      <sheetName val="UAI000"/>
      <sheetName val="Download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JAN"/>
      <sheetName val="FEB"/>
      <sheetName val="MAR"/>
      <sheetName val="APR"/>
      <sheetName val="MEI"/>
      <sheetName val="JUN"/>
      <sheetName val="JUL"/>
      <sheetName val="AGT"/>
      <sheetName val="SEP"/>
      <sheetName val="OKT"/>
      <sheetName val="NOV"/>
      <sheetName val="DES"/>
      <sheetName val="PADAM"/>
      <sheetName val="Kamus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MPUL"/>
      <sheetName val="BLKRAB"/>
      <sheetName val="hps mo"/>
      <sheetName val="MTDANA"/>
      <sheetName val="RAB MO"/>
      <sheetName val="RAB"/>
      <sheetName val="JASA"/>
      <sheetName val="ANALISA BARANG"/>
      <sheetName val="ANALISA JASA"/>
      <sheetName val="BARANG"/>
      <sheetName val="MATERIAL3"/>
      <sheetName val="FEB"/>
      <sheetName val="JAN"/>
      <sheetName val="M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Target"/>
      <sheetName val="form_realisasi s.d Maret "/>
      <sheetName val="Kamus"/>
      <sheetName val="Sheet2"/>
      <sheetName val="JA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B pnw"/>
      <sheetName val="Mobilisasi-pnw"/>
      <sheetName val="Land Clearing-pnw"/>
      <sheetName val="Cut &amp; Fill-pnw"/>
      <sheetName val="Peralatan-pnw"/>
      <sheetName val="Kamus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it TW1"/>
      <sheetName val="ProdSendiri"/>
      <sheetName val="NEB Ringkas"/>
      <sheetName val="NE Bulanan"/>
      <sheetName val="Penjualan"/>
      <sheetName val="SewaBeli"/>
      <sheetName val="PS&amp;Susut TL"/>
      <sheetName val="Transfer"/>
      <sheetName val="ProdB"/>
      <sheetName val="Kit"/>
      <sheetName val="LapMasuk"/>
      <sheetName val="Listing"/>
      <sheetName val="Neraca Triwulanan"/>
      <sheetName val="Kit Triwulanan"/>
      <sheetName val="Neraca"/>
      <sheetName val="Ner TW2"/>
      <sheetName val="Kit TW2"/>
      <sheetName val="BBakar"/>
      <sheetName val="Jawa"/>
      <sheetName val="Terpasang"/>
      <sheetName val="Bahan Bakar"/>
      <sheetName val="LM Lamp X"/>
      <sheetName val="Beli"/>
      <sheetName val="Sheet1"/>
      <sheetName val="Produksi"/>
      <sheetName val="Iner"/>
      <sheetName val="Sheet3"/>
      <sheetName val="Sheet2"/>
      <sheetName val="L_23"/>
      <sheetName val="KAS"/>
      <sheetName val="Bln3.4"/>
      <sheetName val="Kurs"/>
      <sheetName val="LabaRugi"/>
      <sheetName val="Top"/>
      <sheetName val="Income Statement"/>
      <sheetName val="Shareholders' Equity"/>
      <sheetName val="Ex-Rate"/>
      <sheetName val="UshDeb00"/>
      <sheetName val="Neraca Energi 2004 (Ver8) Edit"/>
      <sheetName val="Akun"/>
      <sheetName val="Land Clearing-pnw"/>
    </sheetNames>
    <sheetDataSet>
      <sheetData sheetId="0">
        <row r="1">
          <cell r="Q1">
            <v>17</v>
          </cell>
        </row>
      </sheetData>
      <sheetData sheetId="1" refreshError="1"/>
      <sheetData sheetId="2">
        <row r="1">
          <cell r="Q1">
            <v>17</v>
          </cell>
        </row>
      </sheetData>
      <sheetData sheetId="3">
        <row r="1">
          <cell r="U1">
            <v>21</v>
          </cell>
        </row>
      </sheetData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mission Form"/>
      <sheetName val="Feuil2"/>
      <sheetName val="XL4Test5"/>
      <sheetName val="Listing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24510-76DC-437A-9EFC-570A1450015D}">
  <dimension ref="A1:BC862"/>
  <sheetViews>
    <sheetView tabSelected="1" zoomScale="70" zoomScaleNormal="70" workbookViewId="0">
      <pane xSplit="4" ySplit="6" topLeftCell="H7" activePane="bottomRight" state="frozen"/>
      <selection pane="topRight"/>
      <selection pane="bottomLeft"/>
      <selection pane="bottomRight" activeCell="B802" sqref="B802:R842"/>
    </sheetView>
  </sheetViews>
  <sheetFormatPr baseColWidth="10" defaultColWidth="9.1640625" defaultRowHeight="14"/>
  <cols>
    <col min="1" max="1" width="5.33203125" style="2" customWidth="1"/>
    <col min="2" max="2" width="14.5" style="2" customWidth="1"/>
    <col min="3" max="3" width="16.5" style="2" customWidth="1"/>
    <col min="4" max="5" width="13" style="2" customWidth="1"/>
    <col min="6" max="6" width="15.6640625" style="2" customWidth="1"/>
    <col min="7" max="7" width="39.1640625" style="4" customWidth="1"/>
    <col min="8" max="8" width="10" style="2" customWidth="1"/>
    <col min="9" max="9" width="9.6640625" style="2" customWidth="1"/>
    <col min="10" max="10" width="15.33203125" style="2" customWidth="1"/>
    <col min="11" max="11" width="18.33203125" style="2" customWidth="1"/>
    <col min="12" max="13" width="8.33203125" style="2" customWidth="1"/>
    <col min="14" max="14" width="29.33203125" style="2" customWidth="1"/>
    <col min="15" max="15" width="18.6640625" style="2" customWidth="1"/>
    <col min="16" max="16" width="11.6640625" style="2" customWidth="1"/>
    <col min="17" max="17" width="15" style="2" customWidth="1"/>
    <col min="18" max="18" width="12.83203125" style="2" customWidth="1"/>
    <col min="19" max="19" width="17.1640625" style="2" customWidth="1"/>
    <col min="20" max="20" width="21.5" style="2" customWidth="1"/>
    <col min="21" max="21" width="4.33203125" style="2" customWidth="1"/>
    <col min="22" max="24" width="5.33203125" style="2" customWidth="1"/>
    <col min="25" max="25" width="5.5" style="2" customWidth="1"/>
    <col min="26" max="28" width="7.1640625" style="2" customWidth="1"/>
    <col min="29" max="30" width="6.33203125" style="2" customWidth="1"/>
    <col min="31" max="31" width="42.5" style="5" customWidth="1"/>
    <col min="32" max="32" width="9.1640625" style="6"/>
    <col min="33" max="33" width="42.5" style="5" customWidth="1"/>
    <col min="34" max="16384" width="9.1640625" style="6"/>
  </cols>
  <sheetData>
    <row r="1" spans="1:33">
      <c r="A1" s="1"/>
      <c r="F1" s="3"/>
      <c r="H1" s="3"/>
    </row>
    <row r="2" spans="1:33" ht="16">
      <c r="A2" s="227" t="s">
        <v>0</v>
      </c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G2" s="6"/>
    </row>
    <row r="3" spans="1:33" ht="16">
      <c r="A3" s="227" t="s">
        <v>1</v>
      </c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G3" s="6"/>
    </row>
    <row r="4" spans="1:33">
      <c r="A4" s="1"/>
      <c r="F4" s="3"/>
      <c r="H4" s="3"/>
    </row>
    <row r="5" spans="1:33">
      <c r="A5" s="226" t="s">
        <v>2</v>
      </c>
      <c r="B5" s="228" t="s">
        <v>3</v>
      </c>
      <c r="C5" s="226" t="s">
        <v>4</v>
      </c>
      <c r="D5" s="226" t="s">
        <v>5</v>
      </c>
      <c r="E5" s="226"/>
      <c r="F5" s="226"/>
      <c r="G5" s="226"/>
      <c r="H5" s="226"/>
      <c r="I5" s="226"/>
      <c r="J5" s="226"/>
      <c r="K5" s="226"/>
      <c r="L5" s="226" t="s">
        <v>6</v>
      </c>
      <c r="M5" s="226"/>
      <c r="N5" s="226"/>
      <c r="O5" s="226"/>
      <c r="P5" s="226"/>
      <c r="Q5" s="226"/>
      <c r="R5" s="226"/>
      <c r="S5" s="226" t="s">
        <v>7</v>
      </c>
      <c r="T5" s="226"/>
      <c r="U5" s="226"/>
      <c r="V5" s="226"/>
      <c r="W5" s="226"/>
      <c r="X5" s="226"/>
      <c r="Y5" s="226"/>
      <c r="Z5" s="226"/>
      <c r="AA5" s="226"/>
      <c r="AB5" s="226"/>
      <c r="AC5" s="7"/>
      <c r="AD5" s="228" t="s">
        <v>8</v>
      </c>
      <c r="AE5" s="226" t="s">
        <v>9</v>
      </c>
      <c r="AG5" s="226" t="s">
        <v>10</v>
      </c>
    </row>
    <row r="6" spans="1:33" ht="45">
      <c r="A6" s="226"/>
      <c r="B6" s="229"/>
      <c r="C6" s="226"/>
      <c r="D6" s="7" t="s">
        <v>11</v>
      </c>
      <c r="E6" s="7"/>
      <c r="F6" s="7" t="s">
        <v>12</v>
      </c>
      <c r="G6" s="7" t="s">
        <v>13</v>
      </c>
      <c r="H6" s="7" t="s">
        <v>14</v>
      </c>
      <c r="I6" s="7" t="s">
        <v>15</v>
      </c>
      <c r="J6" s="8" t="s">
        <v>16</v>
      </c>
      <c r="K6" s="8" t="s">
        <v>17</v>
      </c>
      <c r="L6" s="8" t="s">
        <v>18</v>
      </c>
      <c r="M6" s="8" t="s">
        <v>19</v>
      </c>
      <c r="N6" s="7" t="s">
        <v>20</v>
      </c>
      <c r="O6" s="7" t="s">
        <v>21</v>
      </c>
      <c r="P6" s="7" t="s">
        <v>22</v>
      </c>
      <c r="Q6" s="8" t="s">
        <v>23</v>
      </c>
      <c r="R6" s="8" t="s">
        <v>24</v>
      </c>
      <c r="S6" s="7" t="s">
        <v>20</v>
      </c>
      <c r="T6" s="7" t="s">
        <v>15</v>
      </c>
      <c r="U6" s="7" t="s">
        <v>25</v>
      </c>
      <c r="V6" s="7" t="s">
        <v>26</v>
      </c>
      <c r="W6" s="7" t="s">
        <v>27</v>
      </c>
      <c r="X6" s="7" t="s">
        <v>28</v>
      </c>
      <c r="Y6" s="7" t="s">
        <v>29</v>
      </c>
      <c r="Z6" s="7" t="s">
        <v>30</v>
      </c>
      <c r="AA6" s="7" t="s">
        <v>31</v>
      </c>
      <c r="AB6" s="7" t="s">
        <v>32</v>
      </c>
      <c r="AC6" s="8" t="s">
        <v>33</v>
      </c>
      <c r="AD6" s="229"/>
      <c r="AE6" s="226"/>
      <c r="AG6" s="226"/>
    </row>
    <row r="7" spans="1:33">
      <c r="A7" s="7"/>
      <c r="B7" s="9"/>
      <c r="C7" s="7"/>
      <c r="D7" s="7"/>
      <c r="E7" s="7"/>
      <c r="F7" s="7"/>
      <c r="G7" s="7"/>
      <c r="H7" s="7"/>
      <c r="I7" s="7"/>
      <c r="J7" s="8"/>
      <c r="K7" s="8"/>
      <c r="L7" s="8"/>
      <c r="M7" s="8"/>
      <c r="N7" s="7"/>
      <c r="O7" s="7"/>
      <c r="P7" s="7"/>
      <c r="Q7" s="8"/>
      <c r="R7" s="8"/>
      <c r="S7" s="7"/>
      <c r="T7" s="7"/>
      <c r="U7" s="7"/>
      <c r="V7" s="7"/>
      <c r="W7" s="7"/>
      <c r="X7" s="7"/>
      <c r="Y7" s="7"/>
      <c r="Z7" s="7"/>
      <c r="AA7" s="7"/>
      <c r="AB7" s="7"/>
      <c r="AC7" s="8"/>
      <c r="AD7" s="8"/>
      <c r="AE7" s="7"/>
      <c r="AG7" s="7"/>
    </row>
    <row r="8" spans="1:33" s="14" customFormat="1">
      <c r="A8" s="10">
        <v>1</v>
      </c>
      <c r="B8" s="11" t="s">
        <v>34</v>
      </c>
      <c r="C8" s="10" t="s">
        <v>35</v>
      </c>
      <c r="D8" s="10" t="s">
        <v>36</v>
      </c>
      <c r="E8" s="10"/>
      <c r="F8" s="10" t="s">
        <v>37</v>
      </c>
      <c r="G8" s="12" t="s">
        <v>38</v>
      </c>
      <c r="H8" s="10" t="s">
        <v>39</v>
      </c>
      <c r="I8" s="10" t="s">
        <v>40</v>
      </c>
      <c r="J8" s="13" t="s">
        <v>41</v>
      </c>
      <c r="K8" s="10" t="s">
        <v>42</v>
      </c>
      <c r="L8" s="10">
        <v>400</v>
      </c>
      <c r="M8" s="10"/>
      <c r="N8" s="10" t="s">
        <v>43</v>
      </c>
      <c r="O8" s="10" t="s">
        <v>44</v>
      </c>
      <c r="P8" s="10">
        <v>1977</v>
      </c>
      <c r="Q8" s="10">
        <v>1</v>
      </c>
      <c r="R8" s="10">
        <v>4</v>
      </c>
      <c r="S8" s="10" t="s">
        <v>45</v>
      </c>
      <c r="T8" s="10" t="s">
        <v>46</v>
      </c>
      <c r="U8" s="10">
        <v>2</v>
      </c>
      <c r="V8" s="10">
        <v>1</v>
      </c>
      <c r="W8" s="10"/>
      <c r="X8" s="10"/>
      <c r="Y8" s="10"/>
      <c r="Z8" s="10"/>
      <c r="AA8" s="10"/>
      <c r="AB8" s="10"/>
      <c r="AC8" s="10">
        <f>SUM(U8:AB8)</f>
        <v>3</v>
      </c>
      <c r="AD8" s="10"/>
      <c r="AE8" s="10"/>
      <c r="AG8" s="15"/>
    </row>
    <row r="9" spans="1:33" s="14" customFormat="1">
      <c r="A9" s="10">
        <f>A8+1</f>
        <v>2</v>
      </c>
      <c r="B9" s="11" t="s">
        <v>34</v>
      </c>
      <c r="C9" s="10" t="s">
        <v>35</v>
      </c>
      <c r="D9" s="10" t="s">
        <v>47</v>
      </c>
      <c r="E9" s="10"/>
      <c r="F9" s="10" t="s">
        <v>48</v>
      </c>
      <c r="G9" s="12" t="s">
        <v>49</v>
      </c>
      <c r="H9" s="10" t="s">
        <v>39</v>
      </c>
      <c r="I9" s="10" t="s">
        <v>50</v>
      </c>
      <c r="J9" s="13" t="s">
        <v>51</v>
      </c>
      <c r="K9" s="10" t="s">
        <v>42</v>
      </c>
      <c r="L9" s="10">
        <v>250</v>
      </c>
      <c r="M9" s="10"/>
      <c r="N9" s="10" t="s">
        <v>43</v>
      </c>
      <c r="O9" s="10">
        <v>17201</v>
      </c>
      <c r="P9" s="10" t="s">
        <v>52</v>
      </c>
      <c r="Q9" s="10"/>
      <c r="R9" s="10">
        <v>3</v>
      </c>
      <c r="S9" s="10" t="s">
        <v>45</v>
      </c>
      <c r="T9" s="10" t="s">
        <v>46</v>
      </c>
      <c r="U9" s="10">
        <v>2</v>
      </c>
      <c r="V9" s="10">
        <v>1</v>
      </c>
      <c r="W9" s="10">
        <v>1</v>
      </c>
      <c r="X9" s="10">
        <v>1</v>
      </c>
      <c r="Y9" s="10"/>
      <c r="Z9" s="10">
        <v>0</v>
      </c>
      <c r="AA9" s="10"/>
      <c r="AB9" s="10"/>
      <c r="AC9" s="10">
        <f>SUM(U9:AB9)</f>
        <v>5</v>
      </c>
      <c r="AD9" s="10"/>
      <c r="AE9" s="10"/>
      <c r="AG9" s="15"/>
    </row>
    <row r="10" spans="1:33" s="14" customFormat="1">
      <c r="A10" s="10">
        <f t="shared" ref="A10:A73" si="0">A9+1</f>
        <v>3</v>
      </c>
      <c r="B10" s="11" t="s">
        <v>34</v>
      </c>
      <c r="C10" s="10" t="s">
        <v>35</v>
      </c>
      <c r="D10" s="10" t="s">
        <v>53</v>
      </c>
      <c r="E10" s="10"/>
      <c r="F10" s="10" t="s">
        <v>37</v>
      </c>
      <c r="G10" s="12" t="s">
        <v>54</v>
      </c>
      <c r="H10" s="10" t="s">
        <v>39</v>
      </c>
      <c r="I10" s="10" t="s">
        <v>50</v>
      </c>
      <c r="J10" s="13" t="s">
        <v>55</v>
      </c>
      <c r="K10" s="10" t="s">
        <v>42</v>
      </c>
      <c r="L10" s="10"/>
      <c r="M10" s="10">
        <v>630</v>
      </c>
      <c r="N10" s="10"/>
      <c r="O10" s="10"/>
      <c r="P10" s="10"/>
      <c r="Q10" s="10"/>
      <c r="R10" s="10">
        <f>IF(H10="CANTOL",2,4)</f>
        <v>4</v>
      </c>
      <c r="S10" s="10" t="s">
        <v>45</v>
      </c>
      <c r="T10" s="10" t="s">
        <v>46</v>
      </c>
      <c r="U10" s="10">
        <v>2</v>
      </c>
      <c r="V10" s="10">
        <v>0</v>
      </c>
      <c r="W10" s="10">
        <v>1</v>
      </c>
      <c r="X10" s="10">
        <v>1</v>
      </c>
      <c r="Y10" s="10"/>
      <c r="Z10" s="10">
        <v>0</v>
      </c>
      <c r="AA10" s="10"/>
      <c r="AB10" s="10"/>
      <c r="AC10" s="10">
        <f t="shared" ref="AC10:AC62" si="1">SUM(U10:AB10)</f>
        <v>4</v>
      </c>
      <c r="AD10" s="10"/>
      <c r="AE10" s="16"/>
      <c r="AG10" s="17"/>
    </row>
    <row r="11" spans="1:33" s="23" customFormat="1">
      <c r="A11" s="18">
        <f t="shared" si="0"/>
        <v>4</v>
      </c>
      <c r="B11" s="19" t="s">
        <v>34</v>
      </c>
      <c r="C11" s="18" t="s">
        <v>35</v>
      </c>
      <c r="D11" s="18" t="s">
        <v>56</v>
      </c>
      <c r="E11" s="18"/>
      <c r="F11" s="18" t="s">
        <v>48</v>
      </c>
      <c r="G11" s="20" t="s">
        <v>57</v>
      </c>
      <c r="H11" s="18" t="s">
        <v>39</v>
      </c>
      <c r="I11" s="18" t="s">
        <v>40</v>
      </c>
      <c r="J11" s="21" t="s">
        <v>58</v>
      </c>
      <c r="K11" s="18" t="s">
        <v>42</v>
      </c>
      <c r="L11" s="18">
        <v>630</v>
      </c>
      <c r="M11" s="18"/>
      <c r="N11" s="18" t="s">
        <v>59</v>
      </c>
      <c r="O11" s="18" t="s">
        <v>60</v>
      </c>
      <c r="P11" s="18">
        <v>2007</v>
      </c>
      <c r="Q11" s="18">
        <v>1</v>
      </c>
      <c r="R11" s="18">
        <v>4</v>
      </c>
      <c r="S11" s="18" t="s">
        <v>45</v>
      </c>
      <c r="T11" s="18" t="s">
        <v>46</v>
      </c>
      <c r="U11" s="18">
        <v>2</v>
      </c>
      <c r="V11" s="18">
        <v>1</v>
      </c>
      <c r="W11" s="18" t="s">
        <v>61</v>
      </c>
      <c r="X11" s="18" t="s">
        <v>61</v>
      </c>
      <c r="Y11" s="18"/>
      <c r="Z11" s="18">
        <v>0</v>
      </c>
      <c r="AA11" s="18"/>
      <c r="AB11" s="18"/>
      <c r="AC11" s="18">
        <f t="shared" si="1"/>
        <v>3</v>
      </c>
      <c r="AD11" s="18"/>
      <c r="AE11" s="22"/>
      <c r="AG11" s="24"/>
    </row>
    <row r="12" spans="1:33" s="14" customFormat="1">
      <c r="A12" s="10">
        <f t="shared" si="0"/>
        <v>5</v>
      </c>
      <c r="B12" s="11" t="s">
        <v>34</v>
      </c>
      <c r="C12" s="10" t="s">
        <v>35</v>
      </c>
      <c r="D12" s="10" t="s">
        <v>62</v>
      </c>
      <c r="E12" s="10"/>
      <c r="F12" s="10" t="s">
        <v>63</v>
      </c>
      <c r="G12" s="12" t="s">
        <v>64</v>
      </c>
      <c r="H12" s="10" t="s">
        <v>39</v>
      </c>
      <c r="I12" s="10" t="s">
        <v>50</v>
      </c>
      <c r="J12" s="13" t="s">
        <v>65</v>
      </c>
      <c r="K12" s="10" t="s">
        <v>42</v>
      </c>
      <c r="L12" s="10">
        <v>630</v>
      </c>
      <c r="M12" s="10"/>
      <c r="N12" s="10" t="s">
        <v>43</v>
      </c>
      <c r="O12" s="10" t="s">
        <v>66</v>
      </c>
      <c r="P12" s="10">
        <v>2005</v>
      </c>
      <c r="Q12" s="10"/>
      <c r="R12" s="10">
        <v>5</v>
      </c>
      <c r="S12" s="10" t="s">
        <v>45</v>
      </c>
      <c r="T12" s="10" t="s">
        <v>46</v>
      </c>
      <c r="U12" s="10">
        <v>2</v>
      </c>
      <c r="V12" s="10">
        <v>1</v>
      </c>
      <c r="W12" s="10" t="s">
        <v>61</v>
      </c>
      <c r="X12" s="10" t="s">
        <v>61</v>
      </c>
      <c r="Y12" s="10"/>
      <c r="Z12" s="10">
        <v>0</v>
      </c>
      <c r="AA12" s="10"/>
      <c r="AB12" s="10"/>
      <c r="AC12" s="10">
        <f t="shared" si="1"/>
        <v>3</v>
      </c>
      <c r="AD12" s="10"/>
      <c r="AE12" s="16"/>
      <c r="AG12" s="17"/>
    </row>
    <row r="13" spans="1:33" s="14" customFormat="1">
      <c r="A13" s="10">
        <f t="shared" si="0"/>
        <v>6</v>
      </c>
      <c r="B13" s="11" t="s">
        <v>34</v>
      </c>
      <c r="C13" s="10" t="s">
        <v>35</v>
      </c>
      <c r="D13" s="10" t="s">
        <v>67</v>
      </c>
      <c r="E13" s="10"/>
      <c r="F13" s="10" t="s">
        <v>63</v>
      </c>
      <c r="G13" s="12" t="s">
        <v>68</v>
      </c>
      <c r="H13" s="10" t="s">
        <v>39</v>
      </c>
      <c r="I13" s="10" t="s">
        <v>50</v>
      </c>
      <c r="J13" s="13" t="s">
        <v>69</v>
      </c>
      <c r="K13" s="10" t="s">
        <v>42</v>
      </c>
      <c r="L13" s="10">
        <v>250</v>
      </c>
      <c r="M13" s="10"/>
      <c r="N13" s="10" t="s">
        <v>70</v>
      </c>
      <c r="O13" s="10">
        <v>12402307</v>
      </c>
      <c r="P13" s="10">
        <v>1983</v>
      </c>
      <c r="Q13" s="10"/>
      <c r="R13" s="10"/>
      <c r="S13" s="10" t="s">
        <v>45</v>
      </c>
      <c r="T13" s="10" t="s">
        <v>46</v>
      </c>
      <c r="U13" s="10">
        <v>2</v>
      </c>
      <c r="V13" s="10">
        <v>0</v>
      </c>
      <c r="W13" s="10">
        <v>1</v>
      </c>
      <c r="X13" s="10">
        <v>0</v>
      </c>
      <c r="Y13" s="10">
        <v>1</v>
      </c>
      <c r="Z13" s="10">
        <v>0</v>
      </c>
      <c r="AA13" s="10"/>
      <c r="AB13" s="10"/>
      <c r="AC13" s="10">
        <f t="shared" si="1"/>
        <v>4</v>
      </c>
      <c r="AD13" s="10"/>
      <c r="AE13" s="16"/>
      <c r="AG13" s="17"/>
    </row>
    <row r="14" spans="1:33" s="14" customFormat="1">
      <c r="A14" s="214">
        <f t="shared" si="0"/>
        <v>7</v>
      </c>
      <c r="B14" s="25" t="s">
        <v>34</v>
      </c>
      <c r="C14" s="26" t="s">
        <v>35</v>
      </c>
      <c r="D14" s="26" t="s">
        <v>71</v>
      </c>
      <c r="E14" s="26"/>
      <c r="F14" s="26" t="s">
        <v>63</v>
      </c>
      <c r="G14" s="27" t="s">
        <v>72</v>
      </c>
      <c r="H14" s="26" t="s">
        <v>39</v>
      </c>
      <c r="I14" s="10" t="s">
        <v>50</v>
      </c>
      <c r="J14" s="28" t="s">
        <v>73</v>
      </c>
      <c r="K14" s="26" t="s">
        <v>42</v>
      </c>
      <c r="L14" s="10">
        <v>630</v>
      </c>
      <c r="M14" s="10"/>
      <c r="N14" s="10" t="s">
        <v>74</v>
      </c>
      <c r="O14" s="10">
        <v>85029736</v>
      </c>
      <c r="P14" s="10">
        <v>1986</v>
      </c>
      <c r="Q14" s="10"/>
      <c r="R14" s="10">
        <v>4</v>
      </c>
      <c r="S14" s="10" t="s">
        <v>45</v>
      </c>
      <c r="T14" s="10" t="s">
        <v>46</v>
      </c>
      <c r="U14" s="10">
        <v>2</v>
      </c>
      <c r="V14" s="10">
        <v>2</v>
      </c>
      <c r="W14" s="10">
        <v>1</v>
      </c>
      <c r="X14" s="10">
        <v>0</v>
      </c>
      <c r="Y14" s="10"/>
      <c r="Z14" s="10">
        <v>0</v>
      </c>
      <c r="AA14" s="10"/>
      <c r="AB14" s="10"/>
      <c r="AC14" s="10">
        <f t="shared" si="1"/>
        <v>5</v>
      </c>
      <c r="AD14" s="10"/>
      <c r="AE14" s="16"/>
      <c r="AG14" s="17"/>
    </row>
    <row r="15" spans="1:33" s="14" customFormat="1">
      <c r="A15" s="215"/>
      <c r="B15" s="29"/>
      <c r="C15" s="30"/>
      <c r="D15" s="30"/>
      <c r="E15" s="30"/>
      <c r="F15" s="30"/>
      <c r="G15" s="31"/>
      <c r="H15" s="30"/>
      <c r="I15" s="30"/>
      <c r="J15" s="30"/>
      <c r="K15" s="30"/>
      <c r="L15" s="10">
        <v>400</v>
      </c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6"/>
      <c r="AG15" s="17"/>
    </row>
    <row r="16" spans="1:33" s="14" customFormat="1">
      <c r="A16" s="10">
        <f>A14+1</f>
        <v>8</v>
      </c>
      <c r="B16" s="11" t="s">
        <v>34</v>
      </c>
      <c r="C16" s="10" t="s">
        <v>35</v>
      </c>
      <c r="D16" s="10" t="s">
        <v>75</v>
      </c>
      <c r="E16" s="10"/>
      <c r="F16" s="10" t="s">
        <v>63</v>
      </c>
      <c r="G16" s="12" t="s">
        <v>76</v>
      </c>
      <c r="H16" s="10" t="s">
        <v>39</v>
      </c>
      <c r="I16" s="10" t="s">
        <v>50</v>
      </c>
      <c r="J16" s="13" t="s">
        <v>77</v>
      </c>
      <c r="K16" s="10" t="s">
        <v>42</v>
      </c>
      <c r="L16" s="10"/>
      <c r="M16" s="10">
        <v>630</v>
      </c>
      <c r="N16" s="10"/>
      <c r="O16" s="10"/>
      <c r="P16" s="10"/>
      <c r="Q16" s="10"/>
      <c r="R16" s="10"/>
      <c r="S16" s="10" t="s">
        <v>78</v>
      </c>
      <c r="T16" s="10">
        <v>0</v>
      </c>
      <c r="U16" s="10">
        <v>3</v>
      </c>
      <c r="V16" s="10">
        <v>1</v>
      </c>
      <c r="W16" s="10">
        <v>1</v>
      </c>
      <c r="X16" s="10">
        <v>0</v>
      </c>
      <c r="Y16" s="10"/>
      <c r="Z16" s="10">
        <v>1</v>
      </c>
      <c r="AA16" s="10"/>
      <c r="AB16" s="10"/>
      <c r="AC16" s="10">
        <f t="shared" si="1"/>
        <v>6</v>
      </c>
      <c r="AD16" s="10"/>
      <c r="AE16" s="16"/>
      <c r="AG16" s="17"/>
    </row>
    <row r="17" spans="1:33" s="14" customFormat="1">
      <c r="A17" s="10">
        <f t="shared" si="0"/>
        <v>9</v>
      </c>
      <c r="B17" s="11" t="s">
        <v>34</v>
      </c>
      <c r="C17" s="10" t="s">
        <v>35</v>
      </c>
      <c r="D17" s="10" t="s">
        <v>79</v>
      </c>
      <c r="E17" s="10"/>
      <c r="F17" s="10" t="s">
        <v>48</v>
      </c>
      <c r="G17" s="12" t="s">
        <v>80</v>
      </c>
      <c r="H17" s="10" t="s">
        <v>39</v>
      </c>
      <c r="I17" s="10" t="s">
        <v>50</v>
      </c>
      <c r="J17" s="13" t="s">
        <v>81</v>
      </c>
      <c r="K17" s="10" t="s">
        <v>42</v>
      </c>
      <c r="L17" s="10">
        <v>400</v>
      </c>
      <c r="M17" s="10"/>
      <c r="N17" s="10" t="s">
        <v>82</v>
      </c>
      <c r="O17" s="10" t="s">
        <v>83</v>
      </c>
      <c r="P17" s="10">
        <v>2013</v>
      </c>
      <c r="Q17" s="10"/>
      <c r="R17" s="10" t="s">
        <v>84</v>
      </c>
      <c r="S17" s="10" t="s">
        <v>43</v>
      </c>
      <c r="T17" s="10" t="s">
        <v>85</v>
      </c>
      <c r="U17" s="10">
        <v>2</v>
      </c>
      <c r="V17" s="10">
        <v>1</v>
      </c>
      <c r="W17" s="10">
        <v>0</v>
      </c>
      <c r="X17" s="10">
        <v>0</v>
      </c>
      <c r="Y17" s="10"/>
      <c r="Z17" s="10">
        <v>0</v>
      </c>
      <c r="AA17" s="10"/>
      <c r="AB17" s="10"/>
      <c r="AC17" s="10">
        <f t="shared" si="1"/>
        <v>3</v>
      </c>
      <c r="AD17" s="10"/>
      <c r="AE17" s="16"/>
      <c r="AG17" s="17"/>
    </row>
    <row r="18" spans="1:33" s="23" customFormat="1">
      <c r="A18" s="18">
        <f t="shared" si="0"/>
        <v>10</v>
      </c>
      <c r="B18" s="19" t="s">
        <v>34</v>
      </c>
      <c r="C18" s="18" t="s">
        <v>35</v>
      </c>
      <c r="D18" s="18" t="s">
        <v>86</v>
      </c>
      <c r="E18" s="18"/>
      <c r="F18" s="18" t="s">
        <v>63</v>
      </c>
      <c r="G18" s="20" t="s">
        <v>87</v>
      </c>
      <c r="H18" s="18" t="s">
        <v>39</v>
      </c>
      <c r="I18" s="18" t="s">
        <v>40</v>
      </c>
      <c r="J18" s="22">
        <v>1009</v>
      </c>
      <c r="K18" s="18" t="s">
        <v>42</v>
      </c>
      <c r="L18" s="18"/>
      <c r="M18" s="18"/>
      <c r="N18" s="18"/>
      <c r="O18" s="18"/>
      <c r="P18" s="18"/>
      <c r="Q18" s="18"/>
      <c r="R18" s="18"/>
      <c r="S18" s="18" t="s">
        <v>88</v>
      </c>
      <c r="T18" s="18" t="s">
        <v>89</v>
      </c>
      <c r="U18" s="18">
        <v>2</v>
      </c>
      <c r="V18" s="18">
        <v>0</v>
      </c>
      <c r="W18" s="18">
        <v>0</v>
      </c>
      <c r="X18" s="18">
        <v>0</v>
      </c>
      <c r="Y18" s="18"/>
      <c r="Z18" s="18">
        <v>0</v>
      </c>
      <c r="AA18" s="18"/>
      <c r="AB18" s="18"/>
      <c r="AC18" s="18">
        <f t="shared" si="1"/>
        <v>2</v>
      </c>
      <c r="AD18" s="18"/>
      <c r="AE18" s="22"/>
      <c r="AG18" s="24"/>
    </row>
    <row r="19" spans="1:33" s="23" customFormat="1">
      <c r="A19" s="18">
        <f t="shared" si="0"/>
        <v>11</v>
      </c>
      <c r="B19" s="19" t="s">
        <v>34</v>
      </c>
      <c r="C19" s="18" t="s">
        <v>35</v>
      </c>
      <c r="D19" s="18" t="s">
        <v>90</v>
      </c>
      <c r="E19" s="18"/>
      <c r="F19" s="18" t="s">
        <v>48</v>
      </c>
      <c r="G19" s="20" t="s">
        <v>91</v>
      </c>
      <c r="H19" s="18" t="s">
        <v>39</v>
      </c>
      <c r="I19" s="18" t="s">
        <v>50</v>
      </c>
      <c r="J19" s="21" t="s">
        <v>92</v>
      </c>
      <c r="K19" s="18" t="s">
        <v>42</v>
      </c>
      <c r="L19" s="18">
        <v>400</v>
      </c>
      <c r="M19" s="18">
        <v>630</v>
      </c>
      <c r="N19" s="18" t="s">
        <v>93</v>
      </c>
      <c r="O19" s="18" t="s">
        <v>94</v>
      </c>
      <c r="P19" s="18" t="s">
        <v>95</v>
      </c>
      <c r="Q19" s="18" t="s">
        <v>96</v>
      </c>
      <c r="R19" s="18" t="s">
        <v>84</v>
      </c>
      <c r="S19" s="18" t="s">
        <v>45</v>
      </c>
      <c r="T19" s="18" t="s">
        <v>89</v>
      </c>
      <c r="U19" s="18">
        <v>2</v>
      </c>
      <c r="V19" s="18">
        <v>1</v>
      </c>
      <c r="W19" s="18">
        <v>2</v>
      </c>
      <c r="X19" s="18">
        <v>1</v>
      </c>
      <c r="Y19" s="18"/>
      <c r="Z19" s="18">
        <v>0</v>
      </c>
      <c r="AA19" s="18">
        <v>1</v>
      </c>
      <c r="AB19" s="18"/>
      <c r="AC19" s="18">
        <f t="shared" si="1"/>
        <v>7</v>
      </c>
      <c r="AD19" s="18"/>
      <c r="AE19" s="22" t="s">
        <v>97</v>
      </c>
      <c r="AG19" s="24"/>
    </row>
    <row r="20" spans="1:33" s="37" customFormat="1">
      <c r="A20" s="32">
        <f t="shared" si="0"/>
        <v>12</v>
      </c>
      <c r="B20" s="33" t="s">
        <v>34</v>
      </c>
      <c r="C20" s="32" t="s">
        <v>35</v>
      </c>
      <c r="D20" s="32" t="s">
        <v>98</v>
      </c>
      <c r="E20" s="32"/>
      <c r="F20" s="32" t="s">
        <v>63</v>
      </c>
      <c r="G20" s="34" t="s">
        <v>99</v>
      </c>
      <c r="H20" s="32" t="s">
        <v>39</v>
      </c>
      <c r="I20" s="32" t="s">
        <v>50</v>
      </c>
      <c r="J20" s="35" t="s">
        <v>100</v>
      </c>
      <c r="K20" s="32" t="s">
        <v>42</v>
      </c>
      <c r="L20" s="32"/>
      <c r="M20" s="32">
        <v>630</v>
      </c>
      <c r="N20" s="32"/>
      <c r="O20" s="32"/>
      <c r="P20" s="32"/>
      <c r="Q20" s="32"/>
      <c r="R20" s="32"/>
      <c r="S20" s="32" t="s">
        <v>45</v>
      </c>
      <c r="T20" s="32" t="s">
        <v>89</v>
      </c>
      <c r="U20" s="32">
        <v>2</v>
      </c>
      <c r="V20" s="32">
        <v>0</v>
      </c>
      <c r="W20" s="32">
        <v>1</v>
      </c>
      <c r="X20" s="32">
        <v>0</v>
      </c>
      <c r="Y20" s="32"/>
      <c r="Z20" s="32">
        <v>0</v>
      </c>
      <c r="AA20" s="32"/>
      <c r="AB20" s="32"/>
      <c r="AC20" s="32">
        <f t="shared" si="1"/>
        <v>3</v>
      </c>
      <c r="AD20" s="32"/>
      <c r="AE20" s="36"/>
      <c r="AG20" s="38"/>
    </row>
    <row r="21" spans="1:33" s="37" customFormat="1">
      <c r="A21" s="32">
        <f t="shared" si="0"/>
        <v>13</v>
      </c>
      <c r="B21" s="33" t="s">
        <v>34</v>
      </c>
      <c r="C21" s="32" t="s">
        <v>35</v>
      </c>
      <c r="D21" s="32" t="s">
        <v>101</v>
      </c>
      <c r="E21" s="32"/>
      <c r="F21" s="32" t="s">
        <v>63</v>
      </c>
      <c r="G21" s="34" t="s">
        <v>102</v>
      </c>
      <c r="H21" s="32" t="s">
        <v>39</v>
      </c>
      <c r="I21" s="32" t="s">
        <v>40</v>
      </c>
      <c r="J21" s="35" t="s">
        <v>103</v>
      </c>
      <c r="K21" s="32" t="s">
        <v>42</v>
      </c>
      <c r="L21" s="32"/>
      <c r="M21" s="32">
        <v>800</v>
      </c>
      <c r="N21" s="32"/>
      <c r="O21" s="32"/>
      <c r="P21" s="32"/>
      <c r="Q21" s="32"/>
      <c r="R21" s="32"/>
      <c r="S21" s="32" t="s">
        <v>45</v>
      </c>
      <c r="T21" s="32" t="s">
        <v>46</v>
      </c>
      <c r="U21" s="32">
        <v>2</v>
      </c>
      <c r="V21" s="32">
        <v>1</v>
      </c>
      <c r="W21" s="32">
        <v>0</v>
      </c>
      <c r="X21" s="32">
        <v>0</v>
      </c>
      <c r="Y21" s="32"/>
      <c r="Z21" s="32">
        <v>0</v>
      </c>
      <c r="AA21" s="32"/>
      <c r="AB21" s="32"/>
      <c r="AC21" s="32">
        <f t="shared" si="1"/>
        <v>3</v>
      </c>
      <c r="AD21" s="32"/>
      <c r="AE21" s="36"/>
      <c r="AG21" s="38"/>
    </row>
    <row r="22" spans="1:33" s="37" customFormat="1">
      <c r="A22" s="32">
        <f t="shared" si="0"/>
        <v>14</v>
      </c>
      <c r="B22" s="33" t="s">
        <v>34</v>
      </c>
      <c r="C22" s="32" t="s">
        <v>35</v>
      </c>
      <c r="D22" s="32" t="s">
        <v>104</v>
      </c>
      <c r="E22" s="32"/>
      <c r="F22" s="32" t="s">
        <v>63</v>
      </c>
      <c r="G22" s="34" t="s">
        <v>105</v>
      </c>
      <c r="H22" s="32" t="s">
        <v>39</v>
      </c>
      <c r="I22" s="32" t="s">
        <v>50</v>
      </c>
      <c r="J22" s="35" t="s">
        <v>106</v>
      </c>
      <c r="K22" s="32" t="s">
        <v>42</v>
      </c>
      <c r="L22" s="32"/>
      <c r="M22" s="32"/>
      <c r="N22" s="32"/>
      <c r="O22" s="32"/>
      <c r="P22" s="32"/>
      <c r="Q22" s="32"/>
      <c r="R22" s="32"/>
      <c r="S22" s="32" t="s">
        <v>45</v>
      </c>
      <c r="T22" s="32" t="s">
        <v>89</v>
      </c>
      <c r="U22" s="32">
        <v>2</v>
      </c>
      <c r="V22" s="32">
        <v>0</v>
      </c>
      <c r="W22" s="32">
        <v>0</v>
      </c>
      <c r="X22" s="32">
        <v>0</v>
      </c>
      <c r="Y22" s="32"/>
      <c r="Z22" s="32">
        <v>0</v>
      </c>
      <c r="AA22" s="32"/>
      <c r="AB22" s="32"/>
      <c r="AC22" s="32">
        <f t="shared" si="1"/>
        <v>2</v>
      </c>
      <c r="AD22" s="32"/>
      <c r="AE22" s="36"/>
      <c r="AG22" s="38"/>
    </row>
    <row r="23" spans="1:33" s="14" customFormat="1">
      <c r="A23" s="10">
        <f t="shared" si="0"/>
        <v>15</v>
      </c>
      <c r="B23" s="11" t="s">
        <v>34</v>
      </c>
      <c r="C23" s="10" t="s">
        <v>35</v>
      </c>
      <c r="D23" s="10" t="s">
        <v>107</v>
      </c>
      <c r="E23" s="10"/>
      <c r="F23" s="10" t="s">
        <v>63</v>
      </c>
      <c r="G23" s="12" t="s">
        <v>108</v>
      </c>
      <c r="H23" s="10" t="s">
        <v>39</v>
      </c>
      <c r="I23" s="10" t="s">
        <v>50</v>
      </c>
      <c r="J23" s="13" t="s">
        <v>109</v>
      </c>
      <c r="K23" s="10" t="s">
        <v>42</v>
      </c>
      <c r="L23" s="10"/>
      <c r="M23" s="10"/>
      <c r="N23" s="10"/>
      <c r="O23" s="10"/>
      <c r="P23" s="10"/>
      <c r="Q23" s="10"/>
      <c r="R23" s="10"/>
      <c r="S23" s="10" t="s">
        <v>45</v>
      </c>
      <c r="T23" s="10" t="s">
        <v>89</v>
      </c>
      <c r="U23" s="10">
        <v>2</v>
      </c>
      <c r="V23" s="10">
        <v>0</v>
      </c>
      <c r="W23" s="10">
        <v>1</v>
      </c>
      <c r="X23" s="10">
        <v>0</v>
      </c>
      <c r="Y23" s="10"/>
      <c r="Z23" s="10">
        <v>0</v>
      </c>
      <c r="AA23" s="10"/>
      <c r="AB23" s="10"/>
      <c r="AC23" s="10">
        <f t="shared" si="1"/>
        <v>3</v>
      </c>
      <c r="AD23" s="10"/>
      <c r="AE23" s="16"/>
      <c r="AG23" s="17"/>
    </row>
    <row r="24" spans="1:33" s="37" customFormat="1">
      <c r="A24" s="32">
        <f t="shared" si="0"/>
        <v>16</v>
      </c>
      <c r="B24" s="33" t="s">
        <v>34</v>
      </c>
      <c r="C24" s="32" t="s">
        <v>35</v>
      </c>
      <c r="D24" s="32" t="s">
        <v>110</v>
      </c>
      <c r="E24" s="32"/>
      <c r="F24" s="32" t="s">
        <v>63</v>
      </c>
      <c r="G24" s="34" t="s">
        <v>111</v>
      </c>
      <c r="H24" s="32" t="s">
        <v>39</v>
      </c>
      <c r="I24" s="32" t="s">
        <v>50</v>
      </c>
      <c r="J24" s="35" t="s">
        <v>112</v>
      </c>
      <c r="K24" s="32" t="s">
        <v>42</v>
      </c>
      <c r="L24" s="32"/>
      <c r="M24" s="32"/>
      <c r="N24" s="32"/>
      <c r="O24" s="32"/>
      <c r="P24" s="32"/>
      <c r="Q24" s="32"/>
      <c r="R24" s="32"/>
      <c r="S24" s="32" t="s">
        <v>113</v>
      </c>
      <c r="T24" s="32">
        <v>41113</v>
      </c>
      <c r="U24" s="32">
        <v>2</v>
      </c>
      <c r="V24" s="32">
        <v>0</v>
      </c>
      <c r="W24" s="32">
        <v>0</v>
      </c>
      <c r="X24" s="32">
        <v>0</v>
      </c>
      <c r="Y24" s="32"/>
      <c r="Z24" s="32">
        <v>0</v>
      </c>
      <c r="AA24" s="32"/>
      <c r="AB24" s="32"/>
      <c r="AC24" s="32">
        <f t="shared" si="1"/>
        <v>2</v>
      </c>
      <c r="AD24" s="32"/>
      <c r="AE24" s="36"/>
      <c r="AG24" s="38"/>
    </row>
    <row r="25" spans="1:33" s="44" customFormat="1">
      <c r="A25" s="39">
        <f>A23+1</f>
        <v>16</v>
      </c>
      <c r="B25" s="40" t="s">
        <v>34</v>
      </c>
      <c r="C25" s="39" t="s">
        <v>35</v>
      </c>
      <c r="D25" s="39" t="s">
        <v>114</v>
      </c>
      <c r="E25" s="39"/>
      <c r="F25" s="39" t="s">
        <v>48</v>
      </c>
      <c r="G25" s="41" t="s">
        <v>115</v>
      </c>
      <c r="H25" s="39" t="s">
        <v>39</v>
      </c>
      <c r="I25" s="39" t="s">
        <v>50</v>
      </c>
      <c r="J25" s="42" t="s">
        <v>116</v>
      </c>
      <c r="K25" s="39" t="s">
        <v>42</v>
      </c>
      <c r="L25" s="39">
        <v>400</v>
      </c>
      <c r="M25" s="39">
        <v>630</v>
      </c>
      <c r="N25" s="39" t="s">
        <v>93</v>
      </c>
      <c r="O25" s="39" t="s">
        <v>117</v>
      </c>
      <c r="P25" s="39" t="s">
        <v>95</v>
      </c>
      <c r="Q25" s="39">
        <v>2</v>
      </c>
      <c r="R25" s="39" t="s">
        <v>84</v>
      </c>
      <c r="S25" s="39" t="s">
        <v>45</v>
      </c>
      <c r="T25" s="39" t="s">
        <v>89</v>
      </c>
      <c r="U25" s="39">
        <v>2</v>
      </c>
      <c r="V25" s="39">
        <v>2</v>
      </c>
      <c r="W25" s="39">
        <v>1</v>
      </c>
      <c r="X25" s="39">
        <v>0</v>
      </c>
      <c r="Y25" s="39"/>
      <c r="Z25" s="39">
        <v>0</v>
      </c>
      <c r="AA25" s="39"/>
      <c r="AB25" s="39"/>
      <c r="AC25" s="39">
        <f t="shared" ref="AC25" si="2">SUM(U25:AB25)</f>
        <v>5</v>
      </c>
      <c r="AD25" s="39"/>
      <c r="AE25" s="43"/>
      <c r="AG25" s="45" t="s">
        <v>118</v>
      </c>
    </row>
    <row r="26" spans="1:33" s="44" customFormat="1">
      <c r="A26" s="39">
        <f>A24+1</f>
        <v>17</v>
      </c>
      <c r="B26" s="40" t="s">
        <v>34</v>
      </c>
      <c r="C26" s="39" t="s">
        <v>35</v>
      </c>
      <c r="D26" s="39" t="s">
        <v>114</v>
      </c>
      <c r="E26" s="39"/>
      <c r="F26" s="39" t="s">
        <v>48</v>
      </c>
      <c r="G26" s="41" t="s">
        <v>115</v>
      </c>
      <c r="H26" s="39" t="s">
        <v>39</v>
      </c>
      <c r="I26" s="39" t="s">
        <v>50</v>
      </c>
      <c r="J26" s="42"/>
      <c r="K26" s="39" t="s">
        <v>42</v>
      </c>
      <c r="L26" s="39">
        <v>400</v>
      </c>
      <c r="M26" s="39"/>
      <c r="N26" s="39" t="s">
        <v>119</v>
      </c>
      <c r="O26" s="39" t="s">
        <v>120</v>
      </c>
      <c r="P26" s="39">
        <v>2025</v>
      </c>
      <c r="Q26" s="39">
        <v>2</v>
      </c>
      <c r="R26" s="39" t="s">
        <v>84</v>
      </c>
      <c r="S26" s="39" t="s">
        <v>88</v>
      </c>
      <c r="T26" s="39" t="s">
        <v>89</v>
      </c>
      <c r="U26" s="39">
        <v>2</v>
      </c>
      <c r="V26" s="39">
        <v>2</v>
      </c>
      <c r="W26" s="39">
        <v>1</v>
      </c>
      <c r="X26" s="39">
        <v>0</v>
      </c>
      <c r="Y26" s="39"/>
      <c r="Z26" s="39">
        <v>0</v>
      </c>
      <c r="AA26" s="39"/>
      <c r="AB26" s="39"/>
      <c r="AC26" s="39">
        <f t="shared" si="1"/>
        <v>5</v>
      </c>
      <c r="AD26" s="39"/>
      <c r="AE26" s="43"/>
      <c r="AG26" s="45" t="s">
        <v>118</v>
      </c>
    </row>
    <row r="27" spans="1:33" s="44" customFormat="1">
      <c r="A27" s="39">
        <f t="shared" si="0"/>
        <v>18</v>
      </c>
      <c r="B27" s="40" t="s">
        <v>34</v>
      </c>
      <c r="C27" s="39" t="s">
        <v>35</v>
      </c>
      <c r="D27" s="39" t="s">
        <v>121</v>
      </c>
      <c r="E27" s="39"/>
      <c r="F27" s="39" t="s">
        <v>48</v>
      </c>
      <c r="G27" s="41" t="s">
        <v>122</v>
      </c>
      <c r="H27" s="39" t="s">
        <v>39</v>
      </c>
      <c r="I27" s="39" t="s">
        <v>50</v>
      </c>
      <c r="J27" s="42" t="s">
        <v>123</v>
      </c>
      <c r="K27" s="39" t="s">
        <v>42</v>
      </c>
      <c r="L27" s="39">
        <v>630</v>
      </c>
      <c r="M27" s="39"/>
      <c r="N27" s="39" t="s">
        <v>43</v>
      </c>
      <c r="O27" s="39">
        <v>32126</v>
      </c>
      <c r="P27" s="39">
        <v>1986</v>
      </c>
      <c r="Q27" s="39"/>
      <c r="R27" s="39" t="s">
        <v>84</v>
      </c>
      <c r="S27" s="39" t="s">
        <v>45</v>
      </c>
      <c r="T27" s="39" t="s">
        <v>46</v>
      </c>
      <c r="U27" s="39">
        <v>2</v>
      </c>
      <c r="V27" s="39">
        <v>1</v>
      </c>
      <c r="W27" s="39">
        <v>0</v>
      </c>
      <c r="X27" s="39">
        <v>1</v>
      </c>
      <c r="Y27" s="39"/>
      <c r="Z27" s="39">
        <v>1</v>
      </c>
      <c r="AA27" s="39"/>
      <c r="AB27" s="39"/>
      <c r="AC27" s="39">
        <f t="shared" si="1"/>
        <v>5</v>
      </c>
      <c r="AD27" s="39"/>
      <c r="AE27" s="43"/>
      <c r="AG27" s="45"/>
    </row>
    <row r="28" spans="1:33" s="44" customFormat="1">
      <c r="A28" s="39">
        <f t="shared" si="0"/>
        <v>19</v>
      </c>
      <c r="B28" s="40" t="s">
        <v>124</v>
      </c>
      <c r="C28" s="39" t="s">
        <v>125</v>
      </c>
      <c r="D28" s="39" t="s">
        <v>126</v>
      </c>
      <c r="E28" s="39"/>
      <c r="F28" s="39" t="s">
        <v>63</v>
      </c>
      <c r="G28" s="41" t="s">
        <v>127</v>
      </c>
      <c r="H28" s="39" t="s">
        <v>39</v>
      </c>
      <c r="I28" s="39" t="s">
        <v>40</v>
      </c>
      <c r="J28" s="42" t="s">
        <v>128</v>
      </c>
      <c r="K28" s="39" t="s">
        <v>42</v>
      </c>
      <c r="L28" s="39">
        <v>250</v>
      </c>
      <c r="M28" s="39"/>
      <c r="N28" s="39"/>
      <c r="O28" s="39"/>
      <c r="P28" s="39"/>
      <c r="Q28" s="39"/>
      <c r="R28" s="39"/>
      <c r="S28" s="39" t="s">
        <v>45</v>
      </c>
      <c r="T28" s="39" t="s">
        <v>89</v>
      </c>
      <c r="U28" s="39">
        <v>2</v>
      </c>
      <c r="V28" s="39">
        <v>1</v>
      </c>
      <c r="W28" s="39">
        <v>1</v>
      </c>
      <c r="X28" s="39">
        <v>0</v>
      </c>
      <c r="Y28" s="39"/>
      <c r="Z28" s="39">
        <v>0</v>
      </c>
      <c r="AA28" s="39"/>
      <c r="AB28" s="39"/>
      <c r="AC28" s="39">
        <f t="shared" si="1"/>
        <v>4</v>
      </c>
      <c r="AD28" s="39"/>
      <c r="AE28" s="43"/>
      <c r="AG28" s="45"/>
    </row>
    <row r="29" spans="1:33" s="37" customFormat="1">
      <c r="A29" s="32">
        <f t="shared" si="0"/>
        <v>20</v>
      </c>
      <c r="B29" s="33" t="s">
        <v>124</v>
      </c>
      <c r="C29" s="32" t="s">
        <v>125</v>
      </c>
      <c r="D29" s="32" t="s">
        <v>129</v>
      </c>
      <c r="E29" s="32"/>
      <c r="F29" s="32" t="s">
        <v>63</v>
      </c>
      <c r="G29" s="34" t="s">
        <v>130</v>
      </c>
      <c r="H29" s="32" t="s">
        <v>39</v>
      </c>
      <c r="I29" s="32" t="s">
        <v>40</v>
      </c>
      <c r="J29" s="32" t="s">
        <v>131</v>
      </c>
      <c r="K29" s="32" t="s">
        <v>42</v>
      </c>
      <c r="L29" s="32"/>
      <c r="M29" s="32" t="s">
        <v>132</v>
      </c>
      <c r="N29" s="32"/>
      <c r="O29" s="32"/>
      <c r="P29" s="32"/>
      <c r="Q29" s="32"/>
      <c r="R29" s="32"/>
      <c r="S29" s="32" t="s">
        <v>133</v>
      </c>
      <c r="T29" s="32" t="s">
        <v>89</v>
      </c>
      <c r="U29" s="32">
        <v>2</v>
      </c>
      <c r="V29" s="32">
        <v>0</v>
      </c>
      <c r="W29" s="32">
        <v>1</v>
      </c>
      <c r="X29" s="32">
        <v>0</v>
      </c>
      <c r="Y29" s="32"/>
      <c r="Z29" s="32">
        <v>0</v>
      </c>
      <c r="AA29" s="32"/>
      <c r="AB29" s="32"/>
      <c r="AC29" s="32">
        <f t="shared" ref="AC29" si="3">SUM(U29:AB29)</f>
        <v>3</v>
      </c>
      <c r="AD29" s="32"/>
      <c r="AE29" s="36"/>
      <c r="AG29" s="38"/>
    </row>
    <row r="30" spans="1:33" s="37" customFormat="1">
      <c r="A30" s="32">
        <f t="shared" si="0"/>
        <v>21</v>
      </c>
      <c r="B30" s="33" t="s">
        <v>124</v>
      </c>
      <c r="C30" s="32" t="s">
        <v>125</v>
      </c>
      <c r="D30" s="32" t="s">
        <v>134</v>
      </c>
      <c r="E30" s="32"/>
      <c r="F30" s="32" t="s">
        <v>63</v>
      </c>
      <c r="G30" s="34" t="s">
        <v>135</v>
      </c>
      <c r="H30" s="32" t="s">
        <v>39</v>
      </c>
      <c r="I30" s="32" t="s">
        <v>136</v>
      </c>
      <c r="J30" s="35" t="s">
        <v>137</v>
      </c>
      <c r="K30" s="32" t="s">
        <v>42</v>
      </c>
      <c r="L30" s="32"/>
      <c r="M30" s="32"/>
      <c r="N30" s="32"/>
      <c r="O30" s="32"/>
      <c r="P30" s="32"/>
      <c r="Q30" s="32"/>
      <c r="R30" s="32"/>
      <c r="S30" s="32" t="s">
        <v>45</v>
      </c>
      <c r="T30" s="32" t="s">
        <v>46</v>
      </c>
      <c r="U30" s="32">
        <v>2</v>
      </c>
      <c r="V30" s="32">
        <v>0</v>
      </c>
      <c r="W30" s="32">
        <v>1</v>
      </c>
      <c r="X30" s="32">
        <v>0</v>
      </c>
      <c r="Y30" s="32"/>
      <c r="Z30" s="32">
        <v>0</v>
      </c>
      <c r="AA30" s="32"/>
      <c r="AB30" s="32"/>
      <c r="AC30" s="32">
        <f t="shared" si="1"/>
        <v>3</v>
      </c>
      <c r="AD30" s="32"/>
      <c r="AE30" s="36"/>
      <c r="AG30" s="38"/>
    </row>
    <row r="31" spans="1:33" s="14" customFormat="1">
      <c r="A31" s="10">
        <f t="shared" si="0"/>
        <v>22</v>
      </c>
      <c r="B31" s="11" t="s">
        <v>124</v>
      </c>
      <c r="C31" s="10" t="s">
        <v>125</v>
      </c>
      <c r="D31" s="10" t="s">
        <v>138</v>
      </c>
      <c r="E31" s="10"/>
      <c r="F31" s="10" t="s">
        <v>63</v>
      </c>
      <c r="G31" s="12" t="s">
        <v>139</v>
      </c>
      <c r="H31" s="10" t="s">
        <v>39</v>
      </c>
      <c r="I31" s="10" t="s">
        <v>40</v>
      </c>
      <c r="J31" s="13" t="s">
        <v>140</v>
      </c>
      <c r="K31" s="10" t="s">
        <v>42</v>
      </c>
      <c r="L31" s="10">
        <v>400</v>
      </c>
      <c r="M31" s="10"/>
      <c r="N31" s="10"/>
      <c r="O31" s="10"/>
      <c r="P31" s="10"/>
      <c r="Q31" s="10"/>
      <c r="R31" s="10"/>
      <c r="S31" s="10" t="s">
        <v>88</v>
      </c>
      <c r="T31" s="10" t="s">
        <v>89</v>
      </c>
      <c r="U31" s="10">
        <v>2</v>
      </c>
      <c r="V31" s="10">
        <v>1</v>
      </c>
      <c r="W31" s="10">
        <v>0</v>
      </c>
      <c r="X31" s="10">
        <v>0</v>
      </c>
      <c r="Y31" s="10"/>
      <c r="Z31" s="10">
        <v>0</v>
      </c>
      <c r="AA31" s="10"/>
      <c r="AB31" s="10"/>
      <c r="AC31" s="10">
        <f t="shared" si="1"/>
        <v>3</v>
      </c>
      <c r="AD31" s="10"/>
      <c r="AE31" s="16"/>
      <c r="AG31" s="17"/>
    </row>
    <row r="32" spans="1:33" s="14" customFormat="1">
      <c r="A32" s="214">
        <f t="shared" si="0"/>
        <v>23</v>
      </c>
      <c r="B32" s="11" t="s">
        <v>124</v>
      </c>
      <c r="C32" s="26" t="s">
        <v>125</v>
      </c>
      <c r="D32" s="26" t="s">
        <v>141</v>
      </c>
      <c r="E32" s="26"/>
      <c r="F32" s="26" t="s">
        <v>48</v>
      </c>
      <c r="G32" s="27" t="s">
        <v>142</v>
      </c>
      <c r="H32" s="26" t="s">
        <v>39</v>
      </c>
      <c r="I32" s="10" t="s">
        <v>50</v>
      </c>
      <c r="J32" s="28" t="s">
        <v>143</v>
      </c>
      <c r="K32" s="26" t="s">
        <v>42</v>
      </c>
      <c r="L32" s="26">
        <v>400</v>
      </c>
      <c r="M32" s="26">
        <v>630</v>
      </c>
      <c r="N32" s="26" t="s">
        <v>43</v>
      </c>
      <c r="O32" s="26">
        <v>32500</v>
      </c>
      <c r="P32" s="26">
        <v>1986</v>
      </c>
      <c r="Q32" s="46"/>
      <c r="R32" s="46" t="s">
        <v>84</v>
      </c>
      <c r="S32" s="46" t="s">
        <v>45</v>
      </c>
      <c r="T32" s="46" t="s">
        <v>46</v>
      </c>
      <c r="U32" s="46">
        <v>2</v>
      </c>
      <c r="V32" s="46">
        <v>2</v>
      </c>
      <c r="W32" s="46">
        <v>0</v>
      </c>
      <c r="X32" s="46">
        <v>0</v>
      </c>
      <c r="Y32" s="46"/>
      <c r="Z32" s="46">
        <v>0</v>
      </c>
      <c r="AA32" s="46"/>
      <c r="AB32" s="46"/>
      <c r="AC32" s="46">
        <f t="shared" si="1"/>
        <v>4</v>
      </c>
      <c r="AD32" s="26"/>
      <c r="AE32" s="47"/>
      <c r="AG32" s="48"/>
    </row>
    <row r="33" spans="1:33" s="14" customFormat="1">
      <c r="A33" s="215"/>
      <c r="B33" s="29"/>
      <c r="C33" s="30"/>
      <c r="D33" s="30"/>
      <c r="E33" s="30"/>
      <c r="F33" s="30"/>
      <c r="G33" s="31"/>
      <c r="H33" s="30"/>
      <c r="I33" s="30"/>
      <c r="J33" s="30"/>
      <c r="K33" s="30"/>
      <c r="L33" s="49"/>
      <c r="M33" s="49"/>
      <c r="N33" s="49"/>
      <c r="O33" s="49"/>
      <c r="P33" s="49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49"/>
      <c r="AE33" s="51"/>
      <c r="AG33" s="52"/>
    </row>
    <row r="34" spans="1:33" s="37" customFormat="1">
      <c r="A34" s="32">
        <f>A32+1</f>
        <v>24</v>
      </c>
      <c r="B34" s="33" t="s">
        <v>124</v>
      </c>
      <c r="C34" s="32" t="s">
        <v>125</v>
      </c>
      <c r="D34" s="32" t="s">
        <v>144</v>
      </c>
      <c r="E34" s="32"/>
      <c r="F34" s="32" t="s">
        <v>63</v>
      </c>
      <c r="G34" s="34" t="s">
        <v>145</v>
      </c>
      <c r="H34" s="32" t="s">
        <v>39</v>
      </c>
      <c r="I34" s="32" t="s">
        <v>40</v>
      </c>
      <c r="J34" s="36">
        <v>1013</v>
      </c>
      <c r="K34" s="32" t="s">
        <v>42</v>
      </c>
      <c r="L34" s="32"/>
      <c r="M34" s="32"/>
      <c r="N34" s="32"/>
      <c r="O34" s="32"/>
      <c r="P34" s="32"/>
      <c r="Q34" s="32"/>
      <c r="R34" s="32"/>
      <c r="S34" s="32" t="s">
        <v>88</v>
      </c>
      <c r="T34" s="32">
        <v>0</v>
      </c>
      <c r="U34" s="32">
        <v>2</v>
      </c>
      <c r="V34" s="32">
        <v>0</v>
      </c>
      <c r="W34" s="32">
        <v>0</v>
      </c>
      <c r="X34" s="32">
        <v>0</v>
      </c>
      <c r="Y34" s="32"/>
      <c r="Z34" s="32">
        <v>0</v>
      </c>
      <c r="AA34" s="32"/>
      <c r="AB34" s="32"/>
      <c r="AC34" s="32">
        <f t="shared" si="1"/>
        <v>2</v>
      </c>
      <c r="AD34" s="32"/>
      <c r="AE34" s="36"/>
      <c r="AG34" s="38"/>
    </row>
    <row r="35" spans="1:33" s="44" customFormat="1">
      <c r="A35" s="39">
        <f>A34+1</f>
        <v>25</v>
      </c>
      <c r="B35" s="40" t="s">
        <v>124</v>
      </c>
      <c r="C35" s="39" t="s">
        <v>125</v>
      </c>
      <c r="D35" s="39" t="s">
        <v>146</v>
      </c>
      <c r="E35" s="39"/>
      <c r="F35" s="39" t="s">
        <v>48</v>
      </c>
      <c r="G35" s="41" t="s">
        <v>147</v>
      </c>
      <c r="H35" s="39" t="s">
        <v>39</v>
      </c>
      <c r="I35" s="39" t="s">
        <v>50</v>
      </c>
      <c r="J35" s="42" t="s">
        <v>148</v>
      </c>
      <c r="K35" s="39" t="s">
        <v>42</v>
      </c>
      <c r="L35" s="39">
        <v>400</v>
      </c>
      <c r="M35" s="39"/>
      <c r="N35" s="39" t="s">
        <v>43</v>
      </c>
      <c r="O35" s="39">
        <v>32314</v>
      </c>
      <c r="P35" s="39">
        <v>1986</v>
      </c>
      <c r="Q35" s="39"/>
      <c r="R35" s="39" t="s">
        <v>84</v>
      </c>
      <c r="S35" s="39" t="s">
        <v>45</v>
      </c>
      <c r="T35" s="39" t="s">
        <v>46</v>
      </c>
      <c r="U35" s="39">
        <v>2</v>
      </c>
      <c r="V35" s="39">
        <v>1</v>
      </c>
      <c r="W35" s="39">
        <v>1</v>
      </c>
      <c r="X35" s="39">
        <v>0</v>
      </c>
      <c r="Y35" s="39"/>
      <c r="Z35" s="39">
        <v>0</v>
      </c>
      <c r="AA35" s="39"/>
      <c r="AB35" s="39"/>
      <c r="AC35" s="39">
        <f t="shared" si="1"/>
        <v>4</v>
      </c>
      <c r="AD35" s="39"/>
      <c r="AE35" s="43"/>
      <c r="AG35" s="45"/>
    </row>
    <row r="36" spans="1:33" s="14" customFormat="1">
      <c r="A36" s="10">
        <f>A35+1</f>
        <v>26</v>
      </c>
      <c r="B36" s="11" t="s">
        <v>124</v>
      </c>
      <c r="C36" s="10" t="s">
        <v>125</v>
      </c>
      <c r="D36" s="10" t="s">
        <v>149</v>
      </c>
      <c r="E36" s="10"/>
      <c r="F36" s="10" t="s">
        <v>63</v>
      </c>
      <c r="G36" s="12" t="s">
        <v>150</v>
      </c>
      <c r="H36" s="10" t="s">
        <v>39</v>
      </c>
      <c r="I36" s="10" t="s">
        <v>50</v>
      </c>
      <c r="J36" s="13" t="s">
        <v>151</v>
      </c>
      <c r="K36" s="10" t="s">
        <v>42</v>
      </c>
      <c r="L36" s="10"/>
      <c r="M36" s="10"/>
      <c r="N36" s="10"/>
      <c r="O36" s="10"/>
      <c r="P36" s="10"/>
      <c r="Q36" s="10"/>
      <c r="R36" s="10"/>
      <c r="S36" s="10" t="s">
        <v>45</v>
      </c>
      <c r="T36" s="10" t="s">
        <v>46</v>
      </c>
      <c r="U36" s="10">
        <v>2</v>
      </c>
      <c r="V36" s="10">
        <v>0</v>
      </c>
      <c r="W36" s="10">
        <v>1</v>
      </c>
      <c r="X36" s="10">
        <v>1</v>
      </c>
      <c r="Y36" s="10"/>
      <c r="Z36" s="10">
        <v>0</v>
      </c>
      <c r="AA36" s="10"/>
      <c r="AB36" s="10"/>
      <c r="AC36" s="10">
        <f t="shared" si="1"/>
        <v>4</v>
      </c>
      <c r="AD36" s="10"/>
      <c r="AE36" s="16"/>
      <c r="AG36" s="17"/>
    </row>
    <row r="37" spans="1:33" s="37" customFormat="1">
      <c r="A37" s="32">
        <f>A36+1</f>
        <v>27</v>
      </c>
      <c r="B37" s="33" t="s">
        <v>124</v>
      </c>
      <c r="C37" s="32" t="s">
        <v>125</v>
      </c>
      <c r="D37" s="32" t="s">
        <v>152</v>
      </c>
      <c r="E37" s="32"/>
      <c r="F37" s="32" t="s">
        <v>63</v>
      </c>
      <c r="G37" s="34" t="s">
        <v>153</v>
      </c>
      <c r="H37" s="32" t="s">
        <v>39</v>
      </c>
      <c r="I37" s="32" t="s">
        <v>40</v>
      </c>
      <c r="J37" s="32"/>
      <c r="K37" s="32" t="s">
        <v>42</v>
      </c>
      <c r="L37" s="32"/>
      <c r="M37" s="32"/>
      <c r="N37" s="32"/>
      <c r="O37" s="32"/>
      <c r="P37" s="32"/>
      <c r="Q37" s="32"/>
      <c r="R37" s="32"/>
      <c r="S37" s="32" t="s">
        <v>89</v>
      </c>
      <c r="T37" s="32" t="s">
        <v>154</v>
      </c>
      <c r="U37" s="32">
        <v>2</v>
      </c>
      <c r="V37" s="32"/>
      <c r="W37" s="32">
        <v>1</v>
      </c>
      <c r="X37" s="32"/>
      <c r="Y37" s="32"/>
      <c r="Z37" s="32"/>
      <c r="AA37" s="32"/>
      <c r="AB37" s="32"/>
      <c r="AC37" s="32">
        <f t="shared" si="1"/>
        <v>3</v>
      </c>
      <c r="AD37" s="32"/>
      <c r="AE37" s="36"/>
      <c r="AG37" s="38"/>
    </row>
    <row r="38" spans="1:33" s="37" customFormat="1">
      <c r="A38" s="32">
        <f>A37+1</f>
        <v>28</v>
      </c>
      <c r="B38" s="33" t="s">
        <v>124</v>
      </c>
      <c r="C38" s="32" t="s">
        <v>125</v>
      </c>
      <c r="D38" s="32" t="s">
        <v>155</v>
      </c>
      <c r="E38" s="32"/>
      <c r="F38" s="32" t="s">
        <v>63</v>
      </c>
      <c r="G38" s="34" t="s">
        <v>156</v>
      </c>
      <c r="H38" s="32" t="s">
        <v>39</v>
      </c>
      <c r="I38" s="32" t="s">
        <v>50</v>
      </c>
      <c r="J38" s="35" t="s">
        <v>157</v>
      </c>
      <c r="K38" s="32" t="s">
        <v>42</v>
      </c>
      <c r="L38" s="32"/>
      <c r="M38" s="32"/>
      <c r="N38" s="32"/>
      <c r="O38" s="32"/>
      <c r="P38" s="32"/>
      <c r="Q38" s="32"/>
      <c r="R38" s="32"/>
      <c r="S38" s="32" t="s">
        <v>158</v>
      </c>
      <c r="T38" s="32" t="s">
        <v>159</v>
      </c>
      <c r="U38" s="32">
        <v>2</v>
      </c>
      <c r="V38" s="32">
        <v>0</v>
      </c>
      <c r="W38" s="32">
        <v>1</v>
      </c>
      <c r="X38" s="32">
        <v>0</v>
      </c>
      <c r="Y38" s="32"/>
      <c r="Z38" s="32">
        <v>0</v>
      </c>
      <c r="AA38" s="32"/>
      <c r="AB38" s="32"/>
      <c r="AC38" s="32">
        <f t="shared" si="1"/>
        <v>3</v>
      </c>
      <c r="AD38" s="32"/>
      <c r="AE38" s="36"/>
      <c r="AG38" s="38"/>
    </row>
    <row r="39" spans="1:33" s="37" customFormat="1">
      <c r="A39" s="32">
        <f t="shared" ref="A39:A49" si="4">A38+1</f>
        <v>29</v>
      </c>
      <c r="B39" s="33" t="s">
        <v>124</v>
      </c>
      <c r="C39" s="32" t="s">
        <v>125</v>
      </c>
      <c r="D39" s="32" t="s">
        <v>160</v>
      </c>
      <c r="E39" s="32"/>
      <c r="F39" s="32" t="s">
        <v>63</v>
      </c>
      <c r="G39" s="34" t="s">
        <v>161</v>
      </c>
      <c r="H39" s="32" t="s">
        <v>39</v>
      </c>
      <c r="I39" s="32" t="s">
        <v>40</v>
      </c>
      <c r="J39" s="35" t="s">
        <v>162</v>
      </c>
      <c r="K39" s="32" t="s">
        <v>42</v>
      </c>
      <c r="L39" s="32"/>
      <c r="M39" s="32"/>
      <c r="N39" s="32"/>
      <c r="O39" s="32"/>
      <c r="P39" s="32"/>
      <c r="Q39" s="32"/>
      <c r="R39" s="32"/>
      <c r="S39" s="32" t="s">
        <v>45</v>
      </c>
      <c r="T39" s="32" t="s">
        <v>89</v>
      </c>
      <c r="U39" s="32">
        <v>2</v>
      </c>
      <c r="V39" s="32">
        <v>0</v>
      </c>
      <c r="W39" s="32">
        <v>0</v>
      </c>
      <c r="X39" s="32">
        <v>0</v>
      </c>
      <c r="Y39" s="32"/>
      <c r="Z39" s="32">
        <v>0</v>
      </c>
      <c r="AA39" s="32"/>
      <c r="AB39" s="32"/>
      <c r="AC39" s="32">
        <f t="shared" si="1"/>
        <v>2</v>
      </c>
      <c r="AD39" s="32"/>
      <c r="AE39" s="36"/>
      <c r="AG39" s="38"/>
    </row>
    <row r="40" spans="1:33" s="37" customFormat="1">
      <c r="A40" s="32">
        <f t="shared" si="4"/>
        <v>30</v>
      </c>
      <c r="B40" s="33" t="s">
        <v>124</v>
      </c>
      <c r="C40" s="32" t="s">
        <v>125</v>
      </c>
      <c r="D40" s="32" t="s">
        <v>163</v>
      </c>
      <c r="E40" s="32"/>
      <c r="F40" s="32" t="s">
        <v>63</v>
      </c>
      <c r="G40" s="34" t="s">
        <v>164</v>
      </c>
      <c r="H40" s="32" t="s">
        <v>39</v>
      </c>
      <c r="I40" s="32" t="s">
        <v>40</v>
      </c>
      <c r="J40" s="35" t="s">
        <v>165</v>
      </c>
      <c r="K40" s="32" t="s">
        <v>42</v>
      </c>
      <c r="L40" s="32"/>
      <c r="M40" s="32"/>
      <c r="N40" s="32"/>
      <c r="O40" s="32"/>
      <c r="P40" s="32"/>
      <c r="Q40" s="32"/>
      <c r="R40" s="32"/>
      <c r="S40" s="32" t="s">
        <v>45</v>
      </c>
      <c r="T40" s="32" t="s">
        <v>89</v>
      </c>
      <c r="U40" s="32">
        <v>2</v>
      </c>
      <c r="V40" s="32">
        <v>0</v>
      </c>
      <c r="W40" s="32">
        <v>0</v>
      </c>
      <c r="X40" s="32">
        <v>0</v>
      </c>
      <c r="Y40" s="32"/>
      <c r="Z40" s="32">
        <v>0</v>
      </c>
      <c r="AA40" s="32"/>
      <c r="AB40" s="32"/>
      <c r="AC40" s="32">
        <f t="shared" si="1"/>
        <v>2</v>
      </c>
      <c r="AD40" s="32"/>
      <c r="AE40" s="36"/>
      <c r="AG40" s="38"/>
    </row>
    <row r="41" spans="1:33" s="37" customFormat="1">
      <c r="A41" s="32">
        <f t="shared" si="4"/>
        <v>31</v>
      </c>
      <c r="B41" s="33" t="s">
        <v>124</v>
      </c>
      <c r="C41" s="32" t="s">
        <v>125</v>
      </c>
      <c r="D41" s="32" t="s">
        <v>166</v>
      </c>
      <c r="E41" s="32"/>
      <c r="F41" s="32" t="s">
        <v>63</v>
      </c>
      <c r="G41" s="34" t="s">
        <v>167</v>
      </c>
      <c r="H41" s="32" t="s">
        <v>39</v>
      </c>
      <c r="I41" s="32" t="s">
        <v>50</v>
      </c>
      <c r="J41" s="35" t="s">
        <v>168</v>
      </c>
      <c r="K41" s="32" t="s">
        <v>42</v>
      </c>
      <c r="L41" s="32"/>
      <c r="M41" s="32"/>
      <c r="N41" s="32"/>
      <c r="O41" s="32"/>
      <c r="P41" s="32"/>
      <c r="Q41" s="32"/>
      <c r="R41" s="32"/>
      <c r="S41" s="32" t="s">
        <v>45</v>
      </c>
      <c r="T41" s="32" t="s">
        <v>89</v>
      </c>
      <c r="U41" s="32">
        <v>2</v>
      </c>
      <c r="V41" s="32">
        <v>0</v>
      </c>
      <c r="W41" s="32">
        <v>0</v>
      </c>
      <c r="X41" s="32">
        <v>0</v>
      </c>
      <c r="Y41" s="32"/>
      <c r="Z41" s="32">
        <v>0</v>
      </c>
      <c r="AA41" s="32"/>
      <c r="AB41" s="32"/>
      <c r="AC41" s="32">
        <f t="shared" si="1"/>
        <v>2</v>
      </c>
      <c r="AD41" s="32"/>
      <c r="AE41" s="36"/>
      <c r="AG41" s="38"/>
    </row>
    <row r="42" spans="1:33" s="37" customFormat="1">
      <c r="A42" s="32">
        <f t="shared" si="4"/>
        <v>32</v>
      </c>
      <c r="B42" s="33" t="s">
        <v>124</v>
      </c>
      <c r="C42" s="32" t="s">
        <v>125</v>
      </c>
      <c r="D42" s="32" t="s">
        <v>169</v>
      </c>
      <c r="E42" s="32"/>
      <c r="F42" s="32" t="s">
        <v>63</v>
      </c>
      <c r="G42" s="34" t="s">
        <v>170</v>
      </c>
      <c r="H42" s="32" t="s">
        <v>39</v>
      </c>
      <c r="I42" s="32" t="s">
        <v>50</v>
      </c>
      <c r="J42" s="35" t="s">
        <v>171</v>
      </c>
      <c r="K42" s="32" t="s">
        <v>42</v>
      </c>
      <c r="L42" s="32"/>
      <c r="M42" s="32"/>
      <c r="N42" s="32"/>
      <c r="O42" s="32"/>
      <c r="P42" s="32"/>
      <c r="Q42" s="32"/>
      <c r="R42" s="32"/>
      <c r="S42" s="32" t="s">
        <v>45</v>
      </c>
      <c r="T42" s="32" t="s">
        <v>46</v>
      </c>
      <c r="U42" s="32">
        <v>2</v>
      </c>
      <c r="V42" s="32">
        <v>0</v>
      </c>
      <c r="W42" s="32">
        <v>1</v>
      </c>
      <c r="X42" s="32">
        <v>0</v>
      </c>
      <c r="Y42" s="32"/>
      <c r="Z42" s="32">
        <v>1</v>
      </c>
      <c r="AA42" s="32"/>
      <c r="AB42" s="32"/>
      <c r="AC42" s="32">
        <f t="shared" si="1"/>
        <v>4</v>
      </c>
      <c r="AD42" s="32"/>
      <c r="AE42" s="36"/>
      <c r="AG42" s="38"/>
    </row>
    <row r="43" spans="1:33" s="37" customFormat="1">
      <c r="A43" s="32">
        <f t="shared" si="4"/>
        <v>33</v>
      </c>
      <c r="B43" s="33" t="s">
        <v>124</v>
      </c>
      <c r="C43" s="32" t="s">
        <v>125</v>
      </c>
      <c r="D43" s="32" t="s">
        <v>172</v>
      </c>
      <c r="E43" s="32"/>
      <c r="F43" s="32" t="s">
        <v>63</v>
      </c>
      <c r="G43" s="34" t="s">
        <v>173</v>
      </c>
      <c r="H43" s="32" t="s">
        <v>39</v>
      </c>
      <c r="I43" s="32" t="s">
        <v>50</v>
      </c>
      <c r="J43" s="35" t="s">
        <v>174</v>
      </c>
      <c r="K43" s="32" t="s">
        <v>175</v>
      </c>
      <c r="L43" s="32"/>
      <c r="M43" s="32"/>
      <c r="N43" s="32"/>
      <c r="O43" s="32"/>
      <c r="P43" s="32"/>
      <c r="Q43" s="32"/>
      <c r="R43" s="32"/>
      <c r="S43" s="32" t="s">
        <v>43</v>
      </c>
      <c r="T43" s="32" t="s">
        <v>85</v>
      </c>
      <c r="U43" s="32">
        <v>2</v>
      </c>
      <c r="V43" s="32">
        <v>0</v>
      </c>
      <c r="W43" s="32">
        <v>0</v>
      </c>
      <c r="X43" s="32">
        <v>0</v>
      </c>
      <c r="Y43" s="32"/>
      <c r="Z43" s="32">
        <v>0</v>
      </c>
      <c r="AA43" s="32"/>
      <c r="AB43" s="32"/>
      <c r="AC43" s="32">
        <f t="shared" si="1"/>
        <v>2</v>
      </c>
      <c r="AD43" s="32"/>
      <c r="AE43" s="36"/>
      <c r="AG43" s="38"/>
    </row>
    <row r="44" spans="1:33" s="37" customFormat="1">
      <c r="A44" s="32">
        <f t="shared" si="4"/>
        <v>34</v>
      </c>
      <c r="B44" s="33" t="s">
        <v>124</v>
      </c>
      <c r="C44" s="32" t="s">
        <v>125</v>
      </c>
      <c r="D44" s="32" t="s">
        <v>176</v>
      </c>
      <c r="E44" s="32"/>
      <c r="F44" s="32" t="s">
        <v>63</v>
      </c>
      <c r="G44" s="34" t="s">
        <v>177</v>
      </c>
      <c r="H44" s="32" t="s">
        <v>39</v>
      </c>
      <c r="I44" s="32" t="s">
        <v>40</v>
      </c>
      <c r="J44" s="36">
        <v>1078</v>
      </c>
      <c r="K44" s="32" t="s">
        <v>175</v>
      </c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>
        <f t="shared" si="1"/>
        <v>0</v>
      </c>
      <c r="AD44" s="32"/>
      <c r="AE44" s="36"/>
      <c r="AG44" s="38"/>
    </row>
    <row r="45" spans="1:33" s="37" customFormat="1">
      <c r="A45" s="32">
        <f t="shared" si="4"/>
        <v>35</v>
      </c>
      <c r="B45" s="33" t="s">
        <v>124</v>
      </c>
      <c r="C45" s="32" t="s">
        <v>125</v>
      </c>
      <c r="D45" s="32" t="s">
        <v>178</v>
      </c>
      <c r="E45" s="32"/>
      <c r="F45" s="32" t="s">
        <v>63</v>
      </c>
      <c r="G45" s="34" t="s">
        <v>179</v>
      </c>
      <c r="H45" s="32" t="s">
        <v>39</v>
      </c>
      <c r="I45" s="32" t="s">
        <v>50</v>
      </c>
      <c r="J45" s="35" t="s">
        <v>180</v>
      </c>
      <c r="K45" s="32" t="s">
        <v>175</v>
      </c>
      <c r="L45" s="32"/>
      <c r="M45" s="32"/>
      <c r="N45" s="32"/>
      <c r="O45" s="32"/>
      <c r="P45" s="32"/>
      <c r="Q45" s="32"/>
      <c r="R45" s="32"/>
      <c r="S45" s="32" t="s">
        <v>45</v>
      </c>
      <c r="T45" s="32" t="s">
        <v>46</v>
      </c>
      <c r="U45" s="32">
        <v>2</v>
      </c>
      <c r="V45" s="32">
        <v>1</v>
      </c>
      <c r="W45" s="32">
        <v>1</v>
      </c>
      <c r="X45" s="32">
        <v>0</v>
      </c>
      <c r="Y45" s="32"/>
      <c r="Z45" s="32">
        <v>0</v>
      </c>
      <c r="AA45" s="32"/>
      <c r="AB45" s="32"/>
      <c r="AC45" s="32">
        <f t="shared" si="1"/>
        <v>4</v>
      </c>
      <c r="AD45" s="32"/>
      <c r="AE45" s="36"/>
      <c r="AG45" s="38"/>
    </row>
    <row r="46" spans="1:33" s="37" customFormat="1">
      <c r="A46" s="32">
        <f t="shared" si="4"/>
        <v>36</v>
      </c>
      <c r="B46" s="33" t="s">
        <v>124</v>
      </c>
      <c r="C46" s="32" t="s">
        <v>125</v>
      </c>
      <c r="D46" s="32" t="s">
        <v>181</v>
      </c>
      <c r="E46" s="32"/>
      <c r="F46" s="32" t="s">
        <v>63</v>
      </c>
      <c r="G46" s="34" t="s">
        <v>182</v>
      </c>
      <c r="H46" s="32" t="s">
        <v>39</v>
      </c>
      <c r="I46" s="32" t="s">
        <v>50</v>
      </c>
      <c r="J46" s="35" t="s">
        <v>183</v>
      </c>
      <c r="K46" s="32" t="s">
        <v>175</v>
      </c>
      <c r="L46" s="32"/>
      <c r="M46" s="32"/>
      <c r="N46" s="32"/>
      <c r="O46" s="32"/>
      <c r="P46" s="32"/>
      <c r="Q46" s="32"/>
      <c r="R46" s="32"/>
      <c r="S46" s="32" t="s">
        <v>43</v>
      </c>
      <c r="T46" s="32" t="s">
        <v>85</v>
      </c>
      <c r="U46" s="32">
        <v>2</v>
      </c>
      <c r="V46" s="32">
        <v>0</v>
      </c>
      <c r="W46" s="32">
        <v>0</v>
      </c>
      <c r="X46" s="32">
        <v>0</v>
      </c>
      <c r="Y46" s="32"/>
      <c r="Z46" s="32">
        <v>0</v>
      </c>
      <c r="AA46" s="32"/>
      <c r="AB46" s="32"/>
      <c r="AC46" s="32">
        <f t="shared" si="1"/>
        <v>2</v>
      </c>
      <c r="AD46" s="32"/>
      <c r="AE46" s="36"/>
      <c r="AG46" s="38"/>
    </row>
    <row r="47" spans="1:33" s="37" customFormat="1">
      <c r="A47" s="32">
        <f t="shared" si="4"/>
        <v>37</v>
      </c>
      <c r="B47" s="33" t="s">
        <v>124</v>
      </c>
      <c r="C47" s="32" t="s">
        <v>125</v>
      </c>
      <c r="D47" s="32" t="s">
        <v>184</v>
      </c>
      <c r="E47" s="32"/>
      <c r="F47" s="32" t="s">
        <v>63</v>
      </c>
      <c r="G47" s="34" t="s">
        <v>185</v>
      </c>
      <c r="H47" s="32" t="s">
        <v>39</v>
      </c>
      <c r="I47" s="32" t="s">
        <v>50</v>
      </c>
      <c r="J47" s="35" t="s">
        <v>186</v>
      </c>
      <c r="K47" s="32" t="s">
        <v>175</v>
      </c>
      <c r="L47" s="32"/>
      <c r="M47" s="32"/>
      <c r="N47" s="32"/>
      <c r="O47" s="32"/>
      <c r="P47" s="32"/>
      <c r="Q47" s="32"/>
      <c r="R47" s="32"/>
      <c r="S47" s="32" t="s">
        <v>45</v>
      </c>
      <c r="T47" s="32" t="s">
        <v>46</v>
      </c>
      <c r="U47" s="32">
        <v>2</v>
      </c>
      <c r="V47" s="32">
        <v>0</v>
      </c>
      <c r="W47" s="32">
        <v>0</v>
      </c>
      <c r="X47" s="32">
        <v>0</v>
      </c>
      <c r="Y47" s="32"/>
      <c r="Z47" s="32">
        <v>0</v>
      </c>
      <c r="AA47" s="32"/>
      <c r="AB47" s="32"/>
      <c r="AC47" s="32">
        <f t="shared" si="1"/>
        <v>2</v>
      </c>
      <c r="AD47" s="32"/>
      <c r="AE47" s="36"/>
      <c r="AG47" s="38"/>
    </row>
    <row r="48" spans="1:33" s="58" customFormat="1">
      <c r="A48" s="53">
        <f t="shared" si="4"/>
        <v>38</v>
      </c>
      <c r="B48" s="54" t="s">
        <v>187</v>
      </c>
      <c r="C48" s="53" t="s">
        <v>188</v>
      </c>
      <c r="D48" s="53" t="s">
        <v>189</v>
      </c>
      <c r="E48" s="53"/>
      <c r="F48" s="53" t="s">
        <v>37</v>
      </c>
      <c r="G48" s="55" t="s">
        <v>190</v>
      </c>
      <c r="H48" s="53" t="s">
        <v>39</v>
      </c>
      <c r="I48" s="53" t="s">
        <v>50</v>
      </c>
      <c r="J48" s="53">
        <v>1165</v>
      </c>
      <c r="K48" s="53" t="s">
        <v>42</v>
      </c>
      <c r="L48" s="53">
        <v>630</v>
      </c>
      <c r="M48" s="53"/>
      <c r="N48" s="53" t="s">
        <v>93</v>
      </c>
      <c r="O48" s="56"/>
      <c r="P48" s="53">
        <v>2025</v>
      </c>
      <c r="Q48" s="53">
        <v>1</v>
      </c>
      <c r="R48" s="53" t="s">
        <v>84</v>
      </c>
      <c r="S48" s="53" t="s">
        <v>133</v>
      </c>
      <c r="T48" s="53" t="s">
        <v>89</v>
      </c>
      <c r="U48" s="53">
        <v>2</v>
      </c>
      <c r="V48" s="53">
        <v>1</v>
      </c>
      <c r="W48" s="53"/>
      <c r="X48" s="53"/>
      <c r="Y48" s="53"/>
      <c r="Z48" s="53"/>
      <c r="AA48" s="53"/>
      <c r="AB48" s="53"/>
      <c r="AC48" s="53">
        <f t="shared" si="1"/>
        <v>3</v>
      </c>
      <c r="AD48" s="53"/>
      <c r="AE48" s="57"/>
      <c r="AG48" s="59"/>
    </row>
    <row r="49" spans="1:33" s="37" customFormat="1">
      <c r="A49" s="32">
        <f t="shared" si="4"/>
        <v>39</v>
      </c>
      <c r="B49" s="33" t="s">
        <v>124</v>
      </c>
      <c r="C49" s="32" t="s">
        <v>191</v>
      </c>
      <c r="D49" s="32" t="s">
        <v>192</v>
      </c>
      <c r="E49" s="32"/>
      <c r="F49" s="32" t="s">
        <v>63</v>
      </c>
      <c r="G49" s="34" t="s">
        <v>193</v>
      </c>
      <c r="H49" s="32" t="s">
        <v>39</v>
      </c>
      <c r="I49" s="32" t="s">
        <v>50</v>
      </c>
      <c r="J49" s="35" t="s">
        <v>194</v>
      </c>
      <c r="K49" s="32" t="s">
        <v>42</v>
      </c>
      <c r="L49" s="32"/>
      <c r="M49" s="32"/>
      <c r="N49" s="32"/>
      <c r="O49" s="32"/>
      <c r="P49" s="32"/>
      <c r="Q49" s="32"/>
      <c r="R49" s="32"/>
      <c r="S49" s="32" t="s">
        <v>45</v>
      </c>
      <c r="T49" s="32" t="s">
        <v>46</v>
      </c>
      <c r="U49" s="32">
        <v>2</v>
      </c>
      <c r="V49" s="32">
        <v>1</v>
      </c>
      <c r="W49" s="32">
        <v>1</v>
      </c>
      <c r="X49" s="32">
        <v>2</v>
      </c>
      <c r="Y49" s="32"/>
      <c r="Z49" s="32">
        <v>0</v>
      </c>
      <c r="AA49" s="32"/>
      <c r="AB49" s="32"/>
      <c r="AC49" s="32">
        <f t="shared" si="1"/>
        <v>6</v>
      </c>
      <c r="AD49" s="32"/>
      <c r="AE49" s="36"/>
      <c r="AG49" s="38"/>
    </row>
    <row r="50" spans="1:33" s="44" customFormat="1">
      <c r="A50" s="214">
        <v>40</v>
      </c>
      <c r="B50" s="60" t="s">
        <v>124</v>
      </c>
      <c r="C50" s="61" t="s">
        <v>191</v>
      </c>
      <c r="D50" s="61" t="s">
        <v>195</v>
      </c>
      <c r="E50" s="61"/>
      <c r="F50" s="39" t="s">
        <v>37</v>
      </c>
      <c r="G50" s="62" t="s">
        <v>196</v>
      </c>
      <c r="H50" s="61" t="s">
        <v>39</v>
      </c>
      <c r="I50" s="39" t="s">
        <v>50</v>
      </c>
      <c r="J50" s="42" t="s">
        <v>197</v>
      </c>
      <c r="K50" s="39" t="s">
        <v>42</v>
      </c>
      <c r="L50" s="39">
        <v>630</v>
      </c>
      <c r="M50" s="39"/>
      <c r="N50" s="39" t="s">
        <v>43</v>
      </c>
      <c r="O50" s="39" t="s">
        <v>198</v>
      </c>
      <c r="P50" s="39">
        <v>1978</v>
      </c>
      <c r="Q50" s="39"/>
      <c r="R50" s="39">
        <v>6</v>
      </c>
      <c r="S50" s="39" t="s">
        <v>45</v>
      </c>
      <c r="T50" s="39" t="s">
        <v>89</v>
      </c>
      <c r="U50" s="39">
        <v>2</v>
      </c>
      <c r="V50" s="39">
        <v>2</v>
      </c>
      <c r="W50" s="39">
        <v>0</v>
      </c>
      <c r="X50" s="39">
        <v>0</v>
      </c>
      <c r="Y50" s="39"/>
      <c r="Z50" s="39">
        <v>0</v>
      </c>
      <c r="AA50" s="39"/>
      <c r="AB50" s="39"/>
      <c r="AC50" s="39">
        <f t="shared" si="1"/>
        <v>4</v>
      </c>
      <c r="AD50" s="39"/>
      <c r="AE50" s="43"/>
      <c r="AG50" s="45"/>
    </row>
    <row r="51" spans="1:33" s="14" customFormat="1">
      <c r="A51" s="215"/>
      <c r="B51" s="29"/>
      <c r="C51" s="30"/>
      <c r="D51" s="30"/>
      <c r="E51" s="30"/>
      <c r="F51" s="30"/>
      <c r="G51" s="31"/>
      <c r="H51" s="30"/>
      <c r="I51" s="30"/>
      <c r="J51" s="30"/>
      <c r="K51" s="30"/>
      <c r="L51" s="10">
        <v>630</v>
      </c>
      <c r="M51" s="10"/>
      <c r="N51" s="10" t="s">
        <v>43</v>
      </c>
      <c r="O51" s="10">
        <v>74140</v>
      </c>
      <c r="P51" s="10">
        <v>2001</v>
      </c>
      <c r="Q51" s="10"/>
      <c r="R51" s="10">
        <v>3</v>
      </c>
      <c r="S51" s="10" t="s">
        <v>45</v>
      </c>
      <c r="T51" s="10" t="s">
        <v>89</v>
      </c>
      <c r="U51" s="10">
        <v>2</v>
      </c>
      <c r="V51" s="10">
        <v>2</v>
      </c>
      <c r="W51" s="10">
        <v>0</v>
      </c>
      <c r="X51" s="10">
        <v>0</v>
      </c>
      <c r="Y51" s="10"/>
      <c r="Z51" s="10">
        <v>0</v>
      </c>
      <c r="AA51" s="10"/>
      <c r="AB51" s="10"/>
      <c r="AC51" s="10">
        <f t="shared" si="1"/>
        <v>4</v>
      </c>
      <c r="AD51" s="10"/>
      <c r="AE51" s="16"/>
      <c r="AG51" s="17"/>
    </row>
    <row r="52" spans="1:33" s="69" customFormat="1">
      <c r="A52" s="63">
        <v>41</v>
      </c>
      <c r="B52" s="64" t="s">
        <v>124</v>
      </c>
      <c r="C52" s="65" t="s">
        <v>191</v>
      </c>
      <c r="D52" s="63" t="s">
        <v>199</v>
      </c>
      <c r="E52" s="63"/>
      <c r="F52" s="63" t="s">
        <v>37</v>
      </c>
      <c r="G52" s="66" t="s">
        <v>200</v>
      </c>
      <c r="H52" s="63" t="s">
        <v>201</v>
      </c>
      <c r="I52" s="63" t="s">
        <v>201</v>
      </c>
      <c r="J52" s="63"/>
      <c r="K52" s="63" t="s">
        <v>42</v>
      </c>
      <c r="L52" s="65">
        <v>250</v>
      </c>
      <c r="M52" s="65"/>
      <c r="N52" s="65" t="s">
        <v>93</v>
      </c>
      <c r="O52" s="67" t="s">
        <v>202</v>
      </c>
      <c r="P52" s="65">
        <v>2017</v>
      </c>
      <c r="Q52" s="65"/>
      <c r="R52" s="65"/>
      <c r="S52" s="65" t="s">
        <v>203</v>
      </c>
      <c r="T52" s="65" t="s">
        <v>203</v>
      </c>
      <c r="U52" s="65">
        <v>2</v>
      </c>
      <c r="V52" s="65">
        <v>1</v>
      </c>
      <c r="W52" s="65">
        <v>0</v>
      </c>
      <c r="X52" s="65">
        <v>0</v>
      </c>
      <c r="Y52" s="65"/>
      <c r="Z52" s="65"/>
      <c r="AA52" s="65"/>
      <c r="AB52" s="65"/>
      <c r="AC52" s="65"/>
      <c r="AD52" s="65"/>
      <c r="AE52" s="68"/>
      <c r="AG52" s="70"/>
    </row>
    <row r="53" spans="1:33" s="37" customFormat="1">
      <c r="A53" s="32">
        <v>42</v>
      </c>
      <c r="B53" s="33" t="s">
        <v>124</v>
      </c>
      <c r="C53" s="32" t="s">
        <v>191</v>
      </c>
      <c r="D53" s="32" t="s">
        <v>204</v>
      </c>
      <c r="E53" s="32"/>
      <c r="F53" s="32" t="s">
        <v>63</v>
      </c>
      <c r="G53" s="34" t="s">
        <v>205</v>
      </c>
      <c r="H53" s="32" t="s">
        <v>39</v>
      </c>
      <c r="I53" s="32" t="s">
        <v>40</v>
      </c>
      <c r="J53" s="35" t="s">
        <v>206</v>
      </c>
      <c r="K53" s="32" t="s">
        <v>42</v>
      </c>
      <c r="L53" s="32"/>
      <c r="M53" s="32">
        <v>400</v>
      </c>
      <c r="N53" s="32"/>
      <c r="O53" s="32"/>
      <c r="P53" s="32"/>
      <c r="Q53" s="32"/>
      <c r="R53" s="32"/>
      <c r="S53" s="32" t="s">
        <v>45</v>
      </c>
      <c r="T53" s="32" t="s">
        <v>89</v>
      </c>
      <c r="U53" s="32">
        <v>2</v>
      </c>
      <c r="V53" s="32">
        <v>0</v>
      </c>
      <c r="W53" s="32">
        <v>0</v>
      </c>
      <c r="X53" s="32">
        <v>0</v>
      </c>
      <c r="Y53" s="32"/>
      <c r="Z53" s="32">
        <v>0</v>
      </c>
      <c r="AA53" s="32"/>
      <c r="AB53" s="32"/>
      <c r="AC53" s="32">
        <f t="shared" si="1"/>
        <v>2</v>
      </c>
      <c r="AD53" s="32"/>
      <c r="AE53" s="36"/>
      <c r="AG53" s="38"/>
    </row>
    <row r="54" spans="1:33" s="37" customFormat="1">
      <c r="A54" s="32">
        <f t="shared" si="0"/>
        <v>43</v>
      </c>
      <c r="B54" s="33" t="s">
        <v>124</v>
      </c>
      <c r="C54" s="32" t="s">
        <v>191</v>
      </c>
      <c r="D54" s="32" t="s">
        <v>207</v>
      </c>
      <c r="E54" s="32"/>
      <c r="F54" s="32" t="s">
        <v>63</v>
      </c>
      <c r="G54" s="34" t="s">
        <v>208</v>
      </c>
      <c r="H54" s="32" t="s">
        <v>39</v>
      </c>
      <c r="I54" s="32" t="s">
        <v>40</v>
      </c>
      <c r="J54" s="35" t="s">
        <v>209</v>
      </c>
      <c r="K54" s="32" t="s">
        <v>42</v>
      </c>
      <c r="L54" s="32"/>
      <c r="M54" s="32"/>
      <c r="N54" s="32"/>
      <c r="O54" s="32"/>
      <c r="P54" s="32"/>
      <c r="Q54" s="32"/>
      <c r="R54" s="32"/>
      <c r="S54" s="32" t="s">
        <v>45</v>
      </c>
      <c r="T54" s="32" t="s">
        <v>89</v>
      </c>
      <c r="U54" s="32">
        <v>2</v>
      </c>
      <c r="V54" s="32">
        <v>0</v>
      </c>
      <c r="W54" s="32">
        <v>0</v>
      </c>
      <c r="X54" s="32">
        <v>0</v>
      </c>
      <c r="Y54" s="32"/>
      <c r="Z54" s="32">
        <v>0</v>
      </c>
      <c r="AA54" s="32"/>
      <c r="AB54" s="32"/>
      <c r="AC54" s="32">
        <f t="shared" si="1"/>
        <v>2</v>
      </c>
      <c r="AD54" s="32"/>
      <c r="AE54" s="36"/>
      <c r="AG54" s="38"/>
    </row>
    <row r="55" spans="1:33" s="37" customFormat="1">
      <c r="A55" s="32">
        <f t="shared" si="0"/>
        <v>44</v>
      </c>
      <c r="B55" s="33" t="s">
        <v>124</v>
      </c>
      <c r="C55" s="32" t="s">
        <v>191</v>
      </c>
      <c r="D55" s="32" t="s">
        <v>210</v>
      </c>
      <c r="E55" s="32"/>
      <c r="F55" s="32" t="s">
        <v>63</v>
      </c>
      <c r="G55" s="34" t="s">
        <v>211</v>
      </c>
      <c r="H55" s="32" t="s">
        <v>39</v>
      </c>
      <c r="I55" s="32" t="s">
        <v>40</v>
      </c>
      <c r="J55" s="35" t="s">
        <v>212</v>
      </c>
      <c r="K55" s="32" t="s">
        <v>42</v>
      </c>
      <c r="L55" s="32"/>
      <c r="M55" s="32">
        <v>630</v>
      </c>
      <c r="N55" s="32"/>
      <c r="O55" s="32"/>
      <c r="P55" s="32"/>
      <c r="Q55" s="32"/>
      <c r="R55" s="32"/>
      <c r="S55" s="32" t="s">
        <v>43</v>
      </c>
      <c r="T55" s="32" t="s">
        <v>85</v>
      </c>
      <c r="U55" s="32">
        <v>2</v>
      </c>
      <c r="V55" s="32">
        <v>0</v>
      </c>
      <c r="W55" s="32">
        <v>1</v>
      </c>
      <c r="X55" s="32">
        <v>1</v>
      </c>
      <c r="Y55" s="32"/>
      <c r="Z55" s="32">
        <v>0</v>
      </c>
      <c r="AA55" s="32"/>
      <c r="AB55" s="32"/>
      <c r="AC55" s="32">
        <f t="shared" si="1"/>
        <v>4</v>
      </c>
      <c r="AD55" s="32"/>
      <c r="AE55" s="36"/>
      <c r="AG55" s="38"/>
    </row>
    <row r="56" spans="1:33" s="37" customFormat="1">
      <c r="A56" s="32">
        <f t="shared" si="0"/>
        <v>45</v>
      </c>
      <c r="B56" s="33" t="s">
        <v>124</v>
      </c>
      <c r="C56" s="32" t="s">
        <v>191</v>
      </c>
      <c r="D56" s="32" t="s">
        <v>213</v>
      </c>
      <c r="E56" s="32"/>
      <c r="F56" s="32" t="s">
        <v>63</v>
      </c>
      <c r="G56" s="34" t="s">
        <v>214</v>
      </c>
      <c r="H56" s="32" t="s">
        <v>39</v>
      </c>
      <c r="I56" s="32" t="s">
        <v>40</v>
      </c>
      <c r="J56" s="36">
        <v>1003</v>
      </c>
      <c r="K56" s="32" t="s">
        <v>42</v>
      </c>
      <c r="L56" s="32"/>
      <c r="M56" s="32"/>
      <c r="N56" s="32"/>
      <c r="O56" s="32"/>
      <c r="P56" s="32"/>
      <c r="Q56" s="32"/>
      <c r="R56" s="32"/>
      <c r="S56" s="32" t="s">
        <v>88</v>
      </c>
      <c r="T56" s="32" t="s">
        <v>89</v>
      </c>
      <c r="U56" s="32">
        <v>2</v>
      </c>
      <c r="V56" s="32">
        <v>0</v>
      </c>
      <c r="W56" s="32">
        <v>0</v>
      </c>
      <c r="X56" s="32">
        <v>0</v>
      </c>
      <c r="Y56" s="32"/>
      <c r="Z56" s="32">
        <v>0</v>
      </c>
      <c r="AA56" s="32"/>
      <c r="AB56" s="32"/>
      <c r="AC56" s="32">
        <f t="shared" si="1"/>
        <v>2</v>
      </c>
      <c r="AD56" s="32"/>
      <c r="AE56" s="36"/>
      <c r="AG56" s="38"/>
    </row>
    <row r="57" spans="1:33" s="44" customFormat="1" ht="14.25" customHeight="1">
      <c r="A57" s="214">
        <f t="shared" si="0"/>
        <v>46</v>
      </c>
      <c r="B57" s="60" t="s">
        <v>124</v>
      </c>
      <c r="C57" s="61" t="s">
        <v>191</v>
      </c>
      <c r="D57" s="61" t="s">
        <v>215</v>
      </c>
      <c r="E57" s="61"/>
      <c r="F57" s="61" t="s">
        <v>48</v>
      </c>
      <c r="G57" s="62" t="s">
        <v>216</v>
      </c>
      <c r="H57" s="61" t="s">
        <v>39</v>
      </c>
      <c r="I57" s="39" t="s">
        <v>136</v>
      </c>
      <c r="J57" s="42" t="s">
        <v>217</v>
      </c>
      <c r="K57" s="39" t="s">
        <v>42</v>
      </c>
      <c r="L57" s="39">
        <v>630</v>
      </c>
      <c r="M57" s="39"/>
      <c r="N57" s="39" t="s">
        <v>74</v>
      </c>
      <c r="O57" s="39">
        <v>85029301</v>
      </c>
      <c r="P57" s="39">
        <v>1986</v>
      </c>
      <c r="Q57" s="39"/>
      <c r="R57" s="39">
        <v>3</v>
      </c>
      <c r="S57" s="39" t="s">
        <v>45</v>
      </c>
      <c r="T57" s="39" t="s">
        <v>46</v>
      </c>
      <c r="U57" s="39">
        <v>2</v>
      </c>
      <c r="V57" s="39">
        <v>2</v>
      </c>
      <c r="W57" s="39">
        <v>1</v>
      </c>
      <c r="X57" s="39">
        <v>0</v>
      </c>
      <c r="Y57" s="39"/>
      <c r="Z57" s="39">
        <v>0</v>
      </c>
      <c r="AA57" s="39"/>
      <c r="AB57" s="39"/>
      <c r="AC57" s="39">
        <f t="shared" si="1"/>
        <v>5</v>
      </c>
      <c r="AD57" s="39"/>
      <c r="AE57" s="43"/>
      <c r="AG57" s="45"/>
    </row>
    <row r="58" spans="1:33" s="14" customFormat="1">
      <c r="A58" s="215"/>
      <c r="B58" s="29"/>
      <c r="C58" s="30"/>
      <c r="D58" s="30"/>
      <c r="E58" s="30"/>
      <c r="F58" s="30"/>
      <c r="G58" s="31"/>
      <c r="H58" s="30"/>
      <c r="I58" s="30"/>
      <c r="J58" s="30"/>
      <c r="K58" s="30"/>
      <c r="L58" s="10">
        <v>400</v>
      </c>
      <c r="M58" s="10"/>
      <c r="N58" s="10" t="s">
        <v>43</v>
      </c>
      <c r="O58" s="10">
        <v>69159</v>
      </c>
      <c r="P58" s="10">
        <v>1998</v>
      </c>
      <c r="Q58" s="10"/>
      <c r="R58" s="10">
        <v>3</v>
      </c>
      <c r="S58" s="10" t="s">
        <v>45</v>
      </c>
      <c r="T58" s="10" t="s">
        <v>46</v>
      </c>
      <c r="U58" s="10">
        <v>2</v>
      </c>
      <c r="V58" s="10">
        <v>2</v>
      </c>
      <c r="W58" s="10">
        <v>1</v>
      </c>
      <c r="X58" s="10">
        <v>0</v>
      </c>
      <c r="Y58" s="10"/>
      <c r="Z58" s="10">
        <v>0</v>
      </c>
      <c r="AA58" s="10"/>
      <c r="AB58" s="10"/>
      <c r="AC58" s="10">
        <f t="shared" si="1"/>
        <v>5</v>
      </c>
      <c r="AD58" s="10"/>
      <c r="AE58" s="16"/>
      <c r="AG58" s="17"/>
    </row>
    <row r="59" spans="1:33" s="37" customFormat="1">
      <c r="A59" s="32">
        <f>A57+1</f>
        <v>47</v>
      </c>
      <c r="B59" s="33" t="s">
        <v>124</v>
      </c>
      <c r="C59" s="32" t="s">
        <v>191</v>
      </c>
      <c r="D59" s="32" t="s">
        <v>218</v>
      </c>
      <c r="E59" s="32"/>
      <c r="F59" s="32" t="s">
        <v>63</v>
      </c>
      <c r="G59" s="34" t="s">
        <v>219</v>
      </c>
      <c r="H59" s="32" t="s">
        <v>39</v>
      </c>
      <c r="I59" s="32" t="s">
        <v>40</v>
      </c>
      <c r="J59" s="35" t="s">
        <v>220</v>
      </c>
      <c r="K59" s="32" t="s">
        <v>42</v>
      </c>
      <c r="L59" s="32"/>
      <c r="M59" s="32"/>
      <c r="N59" s="32"/>
      <c r="O59" s="32"/>
      <c r="P59" s="32"/>
      <c r="Q59" s="32"/>
      <c r="R59" s="32"/>
      <c r="S59" s="32" t="s">
        <v>43</v>
      </c>
      <c r="T59" s="32" t="s">
        <v>85</v>
      </c>
      <c r="U59" s="32">
        <v>2</v>
      </c>
      <c r="V59" s="32">
        <v>0</v>
      </c>
      <c r="W59" s="32">
        <v>1</v>
      </c>
      <c r="X59" s="32">
        <v>0</v>
      </c>
      <c r="Y59" s="32"/>
      <c r="Z59" s="32">
        <v>0</v>
      </c>
      <c r="AA59" s="32"/>
      <c r="AB59" s="32"/>
      <c r="AC59" s="32">
        <f t="shared" si="1"/>
        <v>3</v>
      </c>
      <c r="AD59" s="32"/>
      <c r="AE59" s="36"/>
      <c r="AG59" s="38"/>
    </row>
    <row r="60" spans="1:33" s="37" customFormat="1">
      <c r="A60" s="32">
        <f t="shared" si="0"/>
        <v>48</v>
      </c>
      <c r="B60" s="33" t="s">
        <v>124</v>
      </c>
      <c r="C60" s="32" t="s">
        <v>191</v>
      </c>
      <c r="D60" s="32" t="s">
        <v>221</v>
      </c>
      <c r="E60" s="32"/>
      <c r="F60" s="32" t="s">
        <v>63</v>
      </c>
      <c r="G60" s="34" t="s">
        <v>222</v>
      </c>
      <c r="H60" s="32" t="s">
        <v>39</v>
      </c>
      <c r="I60" s="32" t="s">
        <v>40</v>
      </c>
      <c r="J60" s="35" t="s">
        <v>223</v>
      </c>
      <c r="K60" s="32" t="s">
        <v>42</v>
      </c>
      <c r="L60" s="32"/>
      <c r="M60" s="32"/>
      <c r="N60" s="32"/>
      <c r="O60" s="32"/>
      <c r="P60" s="32"/>
      <c r="Q60" s="32"/>
      <c r="R60" s="32"/>
      <c r="S60" s="32" t="s">
        <v>45</v>
      </c>
      <c r="T60" s="32" t="s">
        <v>89</v>
      </c>
      <c r="U60" s="32">
        <v>2</v>
      </c>
      <c r="V60" s="32">
        <v>0</v>
      </c>
      <c r="W60" s="32">
        <v>0</v>
      </c>
      <c r="X60" s="32">
        <v>0</v>
      </c>
      <c r="Y60" s="32"/>
      <c r="Z60" s="32">
        <v>0</v>
      </c>
      <c r="AA60" s="32"/>
      <c r="AB60" s="32"/>
      <c r="AC60" s="32">
        <f t="shared" ref="AC60" si="5">SUM(U60:AB60)</f>
        <v>2</v>
      </c>
      <c r="AD60" s="32"/>
      <c r="AE60" s="36"/>
      <c r="AG60" s="38"/>
    </row>
    <row r="61" spans="1:33" s="37" customFormat="1">
      <c r="A61" s="32">
        <v>48</v>
      </c>
      <c r="B61" s="33" t="s">
        <v>124</v>
      </c>
      <c r="C61" s="32" t="s">
        <v>191</v>
      </c>
      <c r="D61" s="32" t="s">
        <v>224</v>
      </c>
      <c r="E61" s="32"/>
      <c r="F61" s="32" t="s">
        <v>63</v>
      </c>
      <c r="G61" s="34" t="s">
        <v>225</v>
      </c>
      <c r="H61" s="32" t="s">
        <v>39</v>
      </c>
      <c r="I61" s="32" t="s">
        <v>40</v>
      </c>
      <c r="J61" s="35" t="s">
        <v>226</v>
      </c>
      <c r="K61" s="32" t="s">
        <v>42</v>
      </c>
      <c r="L61" s="32"/>
      <c r="M61" s="32"/>
      <c r="N61" s="32"/>
      <c r="O61" s="32"/>
      <c r="P61" s="32"/>
      <c r="Q61" s="32"/>
      <c r="R61" s="32"/>
      <c r="S61" s="32" t="s">
        <v>45</v>
      </c>
      <c r="T61" s="32" t="s">
        <v>89</v>
      </c>
      <c r="U61" s="32">
        <v>2</v>
      </c>
      <c r="V61" s="32">
        <v>0</v>
      </c>
      <c r="W61" s="32">
        <v>0</v>
      </c>
      <c r="X61" s="32">
        <v>0</v>
      </c>
      <c r="Y61" s="32"/>
      <c r="Z61" s="32">
        <v>0</v>
      </c>
      <c r="AA61" s="32"/>
      <c r="AB61" s="32"/>
      <c r="AC61" s="32">
        <f t="shared" si="1"/>
        <v>2</v>
      </c>
      <c r="AD61" s="32"/>
      <c r="AE61" s="36"/>
      <c r="AG61" s="38"/>
    </row>
    <row r="62" spans="1:33" s="37" customFormat="1">
      <c r="A62" s="32">
        <f t="shared" si="0"/>
        <v>49</v>
      </c>
      <c r="B62" s="33" t="s">
        <v>124</v>
      </c>
      <c r="C62" s="32" t="s">
        <v>191</v>
      </c>
      <c r="D62" s="32" t="s">
        <v>227</v>
      </c>
      <c r="E62" s="32"/>
      <c r="F62" s="32" t="s">
        <v>63</v>
      </c>
      <c r="G62" s="34" t="s">
        <v>228</v>
      </c>
      <c r="H62" s="32" t="s">
        <v>39</v>
      </c>
      <c r="I62" s="32" t="s">
        <v>40</v>
      </c>
      <c r="J62" s="35" t="s">
        <v>229</v>
      </c>
      <c r="K62" s="32" t="s">
        <v>42</v>
      </c>
      <c r="L62" s="32"/>
      <c r="M62" s="32"/>
      <c r="N62" s="32"/>
      <c r="O62" s="32"/>
      <c r="P62" s="32"/>
      <c r="Q62" s="32"/>
      <c r="R62" s="32"/>
      <c r="S62" s="32" t="s">
        <v>43</v>
      </c>
      <c r="T62" s="32" t="s">
        <v>85</v>
      </c>
      <c r="U62" s="32">
        <v>2</v>
      </c>
      <c r="V62" s="32">
        <v>0</v>
      </c>
      <c r="W62" s="32">
        <v>0</v>
      </c>
      <c r="X62" s="32">
        <v>0</v>
      </c>
      <c r="Y62" s="32"/>
      <c r="Z62" s="32">
        <v>0</v>
      </c>
      <c r="AA62" s="32"/>
      <c r="AB62" s="32"/>
      <c r="AC62" s="32">
        <f t="shared" si="1"/>
        <v>2</v>
      </c>
      <c r="AD62" s="32"/>
      <c r="AE62" s="36"/>
      <c r="AG62" s="38"/>
    </row>
    <row r="63" spans="1:33" s="37" customFormat="1">
      <c r="A63" s="32">
        <f t="shared" si="0"/>
        <v>50</v>
      </c>
      <c r="B63" s="33" t="s">
        <v>124</v>
      </c>
      <c r="C63" s="32" t="s">
        <v>191</v>
      </c>
      <c r="D63" s="32" t="s">
        <v>230</v>
      </c>
      <c r="E63" s="32"/>
      <c r="F63" s="32" t="s">
        <v>63</v>
      </c>
      <c r="G63" s="34" t="s">
        <v>231</v>
      </c>
      <c r="H63" s="32" t="s">
        <v>39</v>
      </c>
      <c r="I63" s="32" t="s">
        <v>40</v>
      </c>
      <c r="J63" s="36">
        <v>1010</v>
      </c>
      <c r="K63" s="32" t="s">
        <v>42</v>
      </c>
      <c r="L63" s="32"/>
      <c r="M63" s="32"/>
      <c r="N63" s="32"/>
      <c r="O63" s="32"/>
      <c r="P63" s="32"/>
      <c r="Q63" s="32"/>
      <c r="R63" s="32"/>
      <c r="S63" s="32"/>
      <c r="T63" s="32"/>
      <c r="U63" s="32">
        <v>2</v>
      </c>
      <c r="V63" s="32"/>
      <c r="W63" s="32">
        <v>1</v>
      </c>
      <c r="X63" s="32"/>
      <c r="Y63" s="32"/>
      <c r="Z63" s="32"/>
      <c r="AA63" s="32"/>
      <c r="AB63" s="32"/>
      <c r="AC63" s="32"/>
      <c r="AD63" s="32"/>
      <c r="AE63" s="36"/>
      <c r="AG63" s="38"/>
    </row>
    <row r="64" spans="1:33" s="37" customFormat="1">
      <c r="A64" s="32">
        <f t="shared" si="0"/>
        <v>51</v>
      </c>
      <c r="B64" s="33" t="s">
        <v>124</v>
      </c>
      <c r="C64" s="32" t="s">
        <v>191</v>
      </c>
      <c r="D64" s="32" t="s">
        <v>232</v>
      </c>
      <c r="E64" s="32"/>
      <c r="F64" s="32" t="s">
        <v>63</v>
      </c>
      <c r="G64" s="34" t="s">
        <v>233</v>
      </c>
      <c r="H64" s="32" t="s">
        <v>39</v>
      </c>
      <c r="I64" s="32" t="s">
        <v>40</v>
      </c>
      <c r="J64" s="36">
        <v>1179</v>
      </c>
      <c r="K64" s="32" t="s">
        <v>42</v>
      </c>
      <c r="L64" s="32"/>
      <c r="M64" s="32"/>
      <c r="N64" s="32"/>
      <c r="O64" s="32"/>
      <c r="P64" s="32"/>
      <c r="Q64" s="32"/>
      <c r="R64" s="32"/>
      <c r="S64" s="32"/>
      <c r="T64" s="32"/>
      <c r="U64" s="32">
        <v>2</v>
      </c>
      <c r="V64" s="32"/>
      <c r="W64" s="32">
        <v>1</v>
      </c>
      <c r="X64" s="32"/>
      <c r="Y64" s="32"/>
      <c r="Z64" s="32"/>
      <c r="AA64" s="32"/>
      <c r="AB64" s="32"/>
      <c r="AC64" s="32"/>
      <c r="AD64" s="32"/>
      <c r="AE64" s="36"/>
      <c r="AG64" s="38"/>
    </row>
    <row r="65" spans="1:33" s="44" customFormat="1">
      <c r="A65" s="214">
        <f t="shared" si="0"/>
        <v>52</v>
      </c>
      <c r="B65" s="60" t="s">
        <v>124</v>
      </c>
      <c r="C65" s="61" t="s">
        <v>234</v>
      </c>
      <c r="D65" s="61" t="s">
        <v>235</v>
      </c>
      <c r="E65" s="61"/>
      <c r="F65" s="61" t="s">
        <v>48</v>
      </c>
      <c r="G65" s="62" t="s">
        <v>236</v>
      </c>
      <c r="H65" s="61" t="s">
        <v>39</v>
      </c>
      <c r="I65" s="39" t="s">
        <v>136</v>
      </c>
      <c r="J65" s="71" t="s">
        <v>237</v>
      </c>
      <c r="K65" s="61" t="s">
        <v>42</v>
      </c>
      <c r="L65" s="39">
        <v>630</v>
      </c>
      <c r="M65" s="39"/>
      <c r="N65" s="39" t="s">
        <v>70</v>
      </c>
      <c r="O65" s="39">
        <v>12401605</v>
      </c>
      <c r="P65" s="39">
        <v>1983</v>
      </c>
      <c r="Q65" s="39"/>
      <c r="R65" s="39">
        <v>4</v>
      </c>
      <c r="S65" s="39" t="s">
        <v>45</v>
      </c>
      <c r="T65" s="39" t="s">
        <v>46</v>
      </c>
      <c r="U65" s="39">
        <v>3</v>
      </c>
      <c r="V65" s="39">
        <v>2</v>
      </c>
      <c r="W65" s="39">
        <v>1</v>
      </c>
      <c r="X65" s="39">
        <v>1</v>
      </c>
      <c r="Y65" s="39"/>
      <c r="Z65" s="39">
        <v>1</v>
      </c>
      <c r="AA65" s="39"/>
      <c r="AB65" s="39"/>
      <c r="AC65" s="39">
        <f t="shared" ref="AC65:AC79" si="6">SUM(U65:AB65)</f>
        <v>8</v>
      </c>
      <c r="AD65" s="39"/>
      <c r="AE65" s="43"/>
      <c r="AG65" s="45"/>
    </row>
    <row r="66" spans="1:33" s="14" customFormat="1">
      <c r="A66" s="215"/>
      <c r="B66" s="29"/>
      <c r="C66" s="30"/>
      <c r="D66" s="30"/>
      <c r="E66" s="30"/>
      <c r="F66" s="30"/>
      <c r="G66" s="31"/>
      <c r="H66" s="30"/>
      <c r="I66" s="30"/>
      <c r="J66" s="30"/>
      <c r="K66" s="30"/>
      <c r="L66" s="10">
        <v>630</v>
      </c>
      <c r="M66" s="10"/>
      <c r="N66" s="10" t="s">
        <v>238</v>
      </c>
      <c r="O66" s="10" t="s">
        <v>239</v>
      </c>
      <c r="P66" s="10">
        <v>1980</v>
      </c>
      <c r="Q66" s="10"/>
      <c r="R66" s="10">
        <v>4</v>
      </c>
      <c r="S66" s="10" t="s">
        <v>45</v>
      </c>
      <c r="T66" s="10" t="s">
        <v>46</v>
      </c>
      <c r="U66" s="10">
        <v>3</v>
      </c>
      <c r="V66" s="10">
        <v>2</v>
      </c>
      <c r="W66" s="10">
        <v>1</v>
      </c>
      <c r="X66" s="10">
        <v>1</v>
      </c>
      <c r="Y66" s="10"/>
      <c r="Z66" s="10">
        <v>1</v>
      </c>
      <c r="AA66" s="10"/>
      <c r="AB66" s="10"/>
      <c r="AC66" s="10">
        <f t="shared" si="6"/>
        <v>8</v>
      </c>
      <c r="AD66" s="10"/>
      <c r="AE66" s="16"/>
      <c r="AG66" s="17"/>
    </row>
    <row r="67" spans="1:33" s="44" customFormat="1">
      <c r="A67" s="39">
        <f>A65+1</f>
        <v>53</v>
      </c>
      <c r="B67" s="40" t="s">
        <v>124</v>
      </c>
      <c r="C67" s="39" t="s">
        <v>234</v>
      </c>
      <c r="D67" s="39" t="s">
        <v>240</v>
      </c>
      <c r="E67" s="39"/>
      <c r="F67" s="39" t="s">
        <v>48</v>
      </c>
      <c r="G67" s="41"/>
      <c r="H67" s="39" t="s">
        <v>39</v>
      </c>
      <c r="I67" s="39" t="s">
        <v>40</v>
      </c>
      <c r="J67" s="43"/>
      <c r="K67" s="39" t="s">
        <v>42</v>
      </c>
      <c r="L67" s="39">
        <v>250</v>
      </c>
      <c r="M67" s="39"/>
      <c r="N67" s="39" t="s">
        <v>43</v>
      </c>
      <c r="O67" s="39">
        <v>84782</v>
      </c>
      <c r="P67" s="39">
        <v>1984</v>
      </c>
      <c r="Q67" s="39"/>
      <c r="R67" s="39">
        <v>8</v>
      </c>
      <c r="S67" s="39" t="s">
        <v>241</v>
      </c>
      <c r="T67" s="39" t="s">
        <v>89</v>
      </c>
      <c r="U67" s="39">
        <v>2</v>
      </c>
      <c r="V67" s="39">
        <v>1</v>
      </c>
      <c r="W67" s="39">
        <v>0</v>
      </c>
      <c r="X67" s="39">
        <v>0</v>
      </c>
      <c r="Y67" s="39"/>
      <c r="Z67" s="39">
        <v>0</v>
      </c>
      <c r="AA67" s="39"/>
      <c r="AB67" s="39"/>
      <c r="AC67" s="39">
        <f t="shared" si="6"/>
        <v>3</v>
      </c>
      <c r="AD67" s="39"/>
      <c r="AE67" s="43"/>
      <c r="AG67" s="45"/>
    </row>
    <row r="68" spans="1:33" s="37" customFormat="1">
      <c r="A68" s="32">
        <f>A65+1</f>
        <v>53</v>
      </c>
      <c r="B68" s="33" t="s">
        <v>124</v>
      </c>
      <c r="C68" s="32" t="s">
        <v>234</v>
      </c>
      <c r="D68" s="32" t="s">
        <v>242</v>
      </c>
      <c r="E68" s="32"/>
      <c r="F68" s="32" t="s">
        <v>63</v>
      </c>
      <c r="G68" s="34" t="s">
        <v>243</v>
      </c>
      <c r="H68" s="32" t="s">
        <v>39</v>
      </c>
      <c r="I68" s="32" t="s">
        <v>40</v>
      </c>
      <c r="J68" s="36">
        <v>1025</v>
      </c>
      <c r="K68" s="32" t="s">
        <v>42</v>
      </c>
      <c r="L68" s="32"/>
      <c r="M68" s="32">
        <v>2500</v>
      </c>
      <c r="N68" s="32" t="s">
        <v>59</v>
      </c>
      <c r="O68" s="32"/>
      <c r="P68" s="32">
        <v>2012</v>
      </c>
      <c r="Q68" s="32"/>
      <c r="R68" s="32"/>
      <c r="S68" s="32" t="s">
        <v>88</v>
      </c>
      <c r="T68" s="32" t="s">
        <v>89</v>
      </c>
      <c r="U68" s="32">
        <v>2</v>
      </c>
      <c r="V68" s="32">
        <v>0</v>
      </c>
      <c r="W68" s="32">
        <v>0</v>
      </c>
      <c r="X68" s="32">
        <v>0</v>
      </c>
      <c r="Y68" s="32"/>
      <c r="Z68" s="32">
        <v>0</v>
      </c>
      <c r="AA68" s="32"/>
      <c r="AB68" s="32"/>
      <c r="AC68" s="32">
        <f t="shared" si="6"/>
        <v>2</v>
      </c>
      <c r="AD68" s="32"/>
      <c r="AE68" s="36"/>
      <c r="AG68" s="38"/>
    </row>
    <row r="69" spans="1:33" s="14" customFormat="1">
      <c r="A69" s="10">
        <f t="shared" si="0"/>
        <v>54</v>
      </c>
      <c r="B69" s="11" t="s">
        <v>124</v>
      </c>
      <c r="C69" s="10" t="s">
        <v>234</v>
      </c>
      <c r="D69" s="10" t="s">
        <v>244</v>
      </c>
      <c r="E69" s="10"/>
      <c r="F69" s="10" t="s">
        <v>63</v>
      </c>
      <c r="G69" s="12" t="s">
        <v>245</v>
      </c>
      <c r="H69" s="10" t="s">
        <v>246</v>
      </c>
      <c r="I69" s="10" t="s">
        <v>246</v>
      </c>
      <c r="J69" s="13" t="s">
        <v>247</v>
      </c>
      <c r="K69" s="10" t="s">
        <v>42</v>
      </c>
      <c r="L69" s="10">
        <v>400</v>
      </c>
      <c r="M69" s="10"/>
      <c r="N69" s="10" t="s">
        <v>43</v>
      </c>
      <c r="O69" s="10">
        <v>66865</v>
      </c>
      <c r="P69" s="10">
        <v>1997</v>
      </c>
      <c r="Q69" s="10"/>
      <c r="R69" s="10"/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/>
      <c r="Z69" s="10">
        <v>0</v>
      </c>
      <c r="AA69" s="10"/>
      <c r="AB69" s="10"/>
      <c r="AC69" s="10">
        <f t="shared" si="6"/>
        <v>0</v>
      </c>
      <c r="AD69" s="10"/>
      <c r="AE69" s="16"/>
      <c r="AG69" s="17"/>
    </row>
    <row r="70" spans="1:33" s="37" customFormat="1">
      <c r="A70" s="32">
        <f t="shared" si="0"/>
        <v>55</v>
      </c>
      <c r="B70" s="33" t="s">
        <v>124</v>
      </c>
      <c r="C70" s="32" t="s">
        <v>234</v>
      </c>
      <c r="D70" s="32" t="s">
        <v>248</v>
      </c>
      <c r="E70" s="32"/>
      <c r="F70" s="32" t="s">
        <v>63</v>
      </c>
      <c r="G70" s="34" t="s">
        <v>245</v>
      </c>
      <c r="H70" s="32" t="s">
        <v>39</v>
      </c>
      <c r="I70" s="32" t="s">
        <v>32</v>
      </c>
      <c r="J70" s="36">
        <v>1032</v>
      </c>
      <c r="K70" s="32" t="s">
        <v>42</v>
      </c>
      <c r="L70" s="32"/>
      <c r="M70" s="32"/>
      <c r="N70" s="32"/>
      <c r="O70" s="32"/>
      <c r="P70" s="32"/>
      <c r="Q70" s="32"/>
      <c r="R70" s="32"/>
      <c r="S70" s="32">
        <v>0</v>
      </c>
      <c r="T70" s="32">
        <v>0</v>
      </c>
      <c r="U70" s="32">
        <v>0</v>
      </c>
      <c r="V70" s="32">
        <v>0</v>
      </c>
      <c r="W70" s="32">
        <v>0</v>
      </c>
      <c r="X70" s="32">
        <v>0</v>
      </c>
      <c r="Y70" s="32"/>
      <c r="Z70" s="32">
        <v>0</v>
      </c>
      <c r="AA70" s="32"/>
      <c r="AB70" s="32"/>
      <c r="AC70" s="32">
        <f t="shared" si="6"/>
        <v>0</v>
      </c>
      <c r="AD70" s="32"/>
      <c r="AE70" s="36"/>
      <c r="AG70" s="38"/>
    </row>
    <row r="71" spans="1:33" s="44" customFormat="1">
      <c r="A71" s="39">
        <f t="shared" si="0"/>
        <v>56</v>
      </c>
      <c r="B71" s="40" t="s">
        <v>124</v>
      </c>
      <c r="C71" s="39" t="s">
        <v>234</v>
      </c>
      <c r="D71" s="39" t="s">
        <v>249</v>
      </c>
      <c r="E71" s="39"/>
      <c r="F71" s="39" t="s">
        <v>48</v>
      </c>
      <c r="G71" s="41" t="s">
        <v>250</v>
      </c>
      <c r="H71" s="39" t="s">
        <v>39</v>
      </c>
      <c r="I71" s="39" t="s">
        <v>50</v>
      </c>
      <c r="J71" s="42" t="s">
        <v>251</v>
      </c>
      <c r="K71" s="39" t="s">
        <v>42</v>
      </c>
      <c r="L71" s="39">
        <v>400</v>
      </c>
      <c r="M71" s="39"/>
      <c r="N71" s="39"/>
      <c r="O71" s="39"/>
      <c r="P71" s="39"/>
      <c r="Q71" s="39"/>
      <c r="R71" s="39">
        <f>IF(H71="CANTOL",2,4)</f>
        <v>4</v>
      </c>
      <c r="S71" s="39" t="s">
        <v>45</v>
      </c>
      <c r="T71" s="39" t="s">
        <v>46</v>
      </c>
      <c r="U71" s="39">
        <v>2</v>
      </c>
      <c r="V71" s="39">
        <v>0</v>
      </c>
      <c r="W71" s="39">
        <v>0</v>
      </c>
      <c r="X71" s="39">
        <v>0</v>
      </c>
      <c r="Y71" s="39"/>
      <c r="Z71" s="39">
        <v>0</v>
      </c>
      <c r="AA71" s="39"/>
      <c r="AB71" s="39"/>
      <c r="AC71" s="39">
        <f t="shared" si="6"/>
        <v>2</v>
      </c>
      <c r="AD71" s="39"/>
      <c r="AE71" s="43"/>
      <c r="AG71" s="45"/>
    </row>
    <row r="72" spans="1:33" s="14" customFormat="1">
      <c r="A72" s="10">
        <f t="shared" si="0"/>
        <v>57</v>
      </c>
      <c r="B72" s="11" t="s">
        <v>124</v>
      </c>
      <c r="C72" s="10" t="s">
        <v>234</v>
      </c>
      <c r="D72" s="26" t="s">
        <v>252</v>
      </c>
      <c r="E72" s="26"/>
      <c r="F72" s="26" t="s">
        <v>37</v>
      </c>
      <c r="G72" s="12" t="s">
        <v>243</v>
      </c>
      <c r="H72" s="26" t="s">
        <v>201</v>
      </c>
      <c r="I72" s="10" t="s">
        <v>201</v>
      </c>
      <c r="J72" s="26" t="s">
        <v>253</v>
      </c>
      <c r="K72" s="26" t="s">
        <v>42</v>
      </c>
      <c r="L72" s="10">
        <v>250</v>
      </c>
      <c r="M72" s="10"/>
      <c r="N72" s="10" t="s">
        <v>59</v>
      </c>
      <c r="O72" s="10" t="s">
        <v>254</v>
      </c>
      <c r="P72" s="10" t="s">
        <v>255</v>
      </c>
      <c r="Q72" s="10" t="s">
        <v>96</v>
      </c>
      <c r="R72" s="10" t="s">
        <v>96</v>
      </c>
      <c r="S72" s="10" t="s">
        <v>256</v>
      </c>
      <c r="T72" s="10"/>
      <c r="U72" s="10">
        <v>2</v>
      </c>
      <c r="V72" s="10">
        <v>0</v>
      </c>
      <c r="W72" s="10">
        <v>1</v>
      </c>
      <c r="X72" s="10">
        <v>0</v>
      </c>
      <c r="Y72" s="10"/>
      <c r="Z72" s="10">
        <v>0</v>
      </c>
      <c r="AA72" s="10"/>
      <c r="AB72" s="10"/>
      <c r="AC72" s="10">
        <f t="shared" si="6"/>
        <v>3</v>
      </c>
      <c r="AD72" s="10"/>
      <c r="AE72" s="16" t="s">
        <v>257</v>
      </c>
      <c r="AG72" s="17" t="s">
        <v>257</v>
      </c>
    </row>
    <row r="73" spans="1:33" s="14" customFormat="1">
      <c r="A73" s="214">
        <f t="shared" si="0"/>
        <v>58</v>
      </c>
      <c r="B73" s="25" t="s">
        <v>124</v>
      </c>
      <c r="C73" s="26" t="s">
        <v>234</v>
      </c>
      <c r="D73" s="26" t="s">
        <v>258</v>
      </c>
      <c r="E73" s="26"/>
      <c r="F73" s="26" t="s">
        <v>48</v>
      </c>
      <c r="G73" s="12" t="s">
        <v>259</v>
      </c>
      <c r="H73" s="26" t="s">
        <v>39</v>
      </c>
      <c r="I73" s="10" t="s">
        <v>50</v>
      </c>
      <c r="J73" s="28" t="s">
        <v>260</v>
      </c>
      <c r="K73" s="26" t="s">
        <v>42</v>
      </c>
      <c r="L73" s="10">
        <v>400</v>
      </c>
      <c r="M73" s="10"/>
      <c r="N73" s="10" t="s">
        <v>261</v>
      </c>
      <c r="O73" s="10" t="s">
        <v>262</v>
      </c>
      <c r="P73" s="10">
        <v>1979</v>
      </c>
      <c r="Q73" s="10"/>
      <c r="R73" s="10">
        <v>4</v>
      </c>
      <c r="S73" s="10" t="s">
        <v>263</v>
      </c>
      <c r="T73" s="10">
        <v>0</v>
      </c>
      <c r="U73" s="10">
        <v>2</v>
      </c>
      <c r="V73" s="10">
        <v>1</v>
      </c>
      <c r="W73" s="10">
        <v>0</v>
      </c>
      <c r="X73" s="10">
        <v>0</v>
      </c>
      <c r="Y73" s="10"/>
      <c r="Z73" s="10">
        <v>0</v>
      </c>
      <c r="AA73" s="10"/>
      <c r="AB73" s="10"/>
      <c r="AC73" s="10">
        <f t="shared" si="6"/>
        <v>3</v>
      </c>
      <c r="AD73" s="10"/>
      <c r="AE73" s="16"/>
      <c r="AG73" s="17"/>
    </row>
    <row r="74" spans="1:33" s="14" customFormat="1">
      <c r="A74" s="215"/>
      <c r="B74" s="29"/>
      <c r="C74" s="30"/>
      <c r="D74" s="30"/>
      <c r="E74" s="30"/>
      <c r="F74" s="30"/>
      <c r="G74" s="31"/>
      <c r="H74" s="30"/>
      <c r="I74" s="30"/>
      <c r="J74" s="30"/>
      <c r="K74" s="30"/>
      <c r="L74" s="10">
        <v>630</v>
      </c>
      <c r="M74" s="10"/>
      <c r="N74" s="10" t="s">
        <v>43</v>
      </c>
      <c r="O74" s="10" t="s">
        <v>264</v>
      </c>
      <c r="P74" s="10">
        <v>1979</v>
      </c>
      <c r="Q74" s="10"/>
      <c r="R74" s="10">
        <v>4</v>
      </c>
      <c r="S74" s="10" t="s">
        <v>263</v>
      </c>
      <c r="T74" s="10">
        <v>0</v>
      </c>
      <c r="U74" s="10">
        <v>2</v>
      </c>
      <c r="V74" s="10">
        <v>1</v>
      </c>
      <c r="W74" s="10">
        <v>0</v>
      </c>
      <c r="X74" s="10">
        <v>0</v>
      </c>
      <c r="Y74" s="10"/>
      <c r="Z74" s="10">
        <v>0</v>
      </c>
      <c r="AA74" s="10"/>
      <c r="AB74" s="10"/>
      <c r="AC74" s="10">
        <f t="shared" si="6"/>
        <v>3</v>
      </c>
      <c r="AD74" s="10"/>
      <c r="AE74" s="16"/>
      <c r="AG74" s="17"/>
    </row>
    <row r="75" spans="1:33" s="44" customFormat="1">
      <c r="A75" s="39">
        <f>A73+1</f>
        <v>59</v>
      </c>
      <c r="B75" s="40" t="s">
        <v>124</v>
      </c>
      <c r="C75" s="39" t="s">
        <v>234</v>
      </c>
      <c r="D75" s="39" t="s">
        <v>265</v>
      </c>
      <c r="E75" s="39"/>
      <c r="F75" s="39" t="s">
        <v>48</v>
      </c>
      <c r="G75" s="41" t="s">
        <v>266</v>
      </c>
      <c r="H75" s="39" t="s">
        <v>39</v>
      </c>
      <c r="I75" s="39" t="s">
        <v>50</v>
      </c>
      <c r="J75" s="42" t="s">
        <v>267</v>
      </c>
      <c r="K75" s="39" t="s">
        <v>42</v>
      </c>
      <c r="L75" s="39">
        <v>630</v>
      </c>
      <c r="M75" s="39"/>
      <c r="N75" s="39" t="s">
        <v>74</v>
      </c>
      <c r="O75" s="39">
        <v>85029757</v>
      </c>
      <c r="P75" s="39">
        <v>1986</v>
      </c>
      <c r="Q75" s="39"/>
      <c r="R75" s="39">
        <v>6</v>
      </c>
      <c r="S75" s="39" t="s">
        <v>268</v>
      </c>
      <c r="T75" s="39" t="s">
        <v>269</v>
      </c>
      <c r="U75" s="39">
        <v>2</v>
      </c>
      <c r="V75" s="39">
        <v>1</v>
      </c>
      <c r="W75" s="39">
        <v>1</v>
      </c>
      <c r="X75" s="39">
        <v>0</v>
      </c>
      <c r="Y75" s="39"/>
      <c r="Z75" s="39">
        <v>0</v>
      </c>
      <c r="AA75" s="39"/>
      <c r="AB75" s="39"/>
      <c r="AC75" s="39">
        <f t="shared" si="6"/>
        <v>4</v>
      </c>
      <c r="AD75" s="39"/>
      <c r="AE75" s="43"/>
      <c r="AG75" s="45"/>
    </row>
    <row r="76" spans="1:33" s="37" customFormat="1">
      <c r="A76" s="32">
        <v>61</v>
      </c>
      <c r="B76" s="33" t="s">
        <v>124</v>
      </c>
      <c r="C76" s="32" t="s">
        <v>234</v>
      </c>
      <c r="D76" s="32" t="s">
        <v>270</v>
      </c>
      <c r="E76" s="32"/>
      <c r="F76" s="32" t="s">
        <v>63</v>
      </c>
      <c r="G76" s="34" t="s">
        <v>271</v>
      </c>
      <c r="H76" s="32" t="s">
        <v>39</v>
      </c>
      <c r="I76" s="32" t="s">
        <v>40</v>
      </c>
      <c r="J76" s="32"/>
      <c r="K76" s="32" t="s">
        <v>42</v>
      </c>
      <c r="L76" s="32"/>
      <c r="M76" s="32"/>
      <c r="N76" s="32"/>
      <c r="O76" s="32"/>
      <c r="P76" s="32"/>
      <c r="Q76" s="32"/>
      <c r="R76" s="32"/>
      <c r="S76" s="32" t="s">
        <v>82</v>
      </c>
      <c r="T76" s="32" t="s">
        <v>89</v>
      </c>
      <c r="U76" s="32">
        <v>2</v>
      </c>
      <c r="V76" s="32"/>
      <c r="W76" s="32">
        <v>1</v>
      </c>
      <c r="X76" s="32"/>
      <c r="Y76" s="32"/>
      <c r="Z76" s="32"/>
      <c r="AA76" s="32"/>
      <c r="AB76" s="32"/>
      <c r="AC76" s="32">
        <f t="shared" si="6"/>
        <v>3</v>
      </c>
      <c r="AD76" s="32"/>
      <c r="AE76" s="36"/>
      <c r="AG76" s="38"/>
    </row>
    <row r="77" spans="1:33" s="37" customFormat="1">
      <c r="A77" s="32">
        <v>62</v>
      </c>
      <c r="B77" s="33" t="s">
        <v>124</v>
      </c>
      <c r="C77" s="32" t="s">
        <v>234</v>
      </c>
      <c r="D77" s="32" t="s">
        <v>272</v>
      </c>
      <c r="E77" s="32"/>
      <c r="F77" s="32" t="s">
        <v>63</v>
      </c>
      <c r="G77" s="34" t="s">
        <v>273</v>
      </c>
      <c r="H77" s="32" t="s">
        <v>39</v>
      </c>
      <c r="I77" s="32" t="s">
        <v>40</v>
      </c>
      <c r="J77" s="36">
        <v>1042</v>
      </c>
      <c r="K77" s="32" t="s">
        <v>42</v>
      </c>
      <c r="L77" s="32"/>
      <c r="M77" s="32"/>
      <c r="N77" s="32"/>
      <c r="O77" s="32"/>
      <c r="P77" s="32"/>
      <c r="Q77" s="32"/>
      <c r="R77" s="32"/>
      <c r="S77" s="32" t="s">
        <v>274</v>
      </c>
      <c r="T77" s="32">
        <v>0</v>
      </c>
      <c r="U77" s="32">
        <v>2</v>
      </c>
      <c r="V77" s="32">
        <v>0</v>
      </c>
      <c r="W77" s="32">
        <v>1</v>
      </c>
      <c r="X77" s="32">
        <v>0</v>
      </c>
      <c r="Y77" s="32"/>
      <c r="Z77" s="32">
        <v>0</v>
      </c>
      <c r="AA77" s="32"/>
      <c r="AB77" s="32"/>
      <c r="AC77" s="32">
        <f t="shared" si="6"/>
        <v>3</v>
      </c>
      <c r="AD77" s="32"/>
      <c r="AE77" s="36"/>
      <c r="AG77" s="38"/>
    </row>
    <row r="78" spans="1:33" s="37" customFormat="1">
      <c r="A78" s="32">
        <v>63</v>
      </c>
      <c r="B78" s="33" t="s">
        <v>124</v>
      </c>
      <c r="C78" s="32" t="s">
        <v>234</v>
      </c>
      <c r="D78" s="32" t="s">
        <v>275</v>
      </c>
      <c r="E78" s="32"/>
      <c r="F78" s="32" t="s">
        <v>63</v>
      </c>
      <c r="G78" s="34" t="s">
        <v>276</v>
      </c>
      <c r="H78" s="32" t="s">
        <v>39</v>
      </c>
      <c r="I78" s="32" t="s">
        <v>40</v>
      </c>
      <c r="J78" s="35" t="s">
        <v>277</v>
      </c>
      <c r="K78" s="32" t="s">
        <v>42</v>
      </c>
      <c r="L78" s="32"/>
      <c r="M78" s="32"/>
      <c r="N78" s="32"/>
      <c r="O78" s="32"/>
      <c r="P78" s="32"/>
      <c r="Q78" s="32"/>
      <c r="R78" s="32"/>
      <c r="S78" s="32" t="s">
        <v>45</v>
      </c>
      <c r="T78" s="32" t="s">
        <v>89</v>
      </c>
      <c r="U78" s="32">
        <v>2</v>
      </c>
      <c r="V78" s="32">
        <v>0</v>
      </c>
      <c r="W78" s="32">
        <v>0</v>
      </c>
      <c r="X78" s="32">
        <v>0</v>
      </c>
      <c r="Y78" s="32"/>
      <c r="Z78" s="32">
        <v>0</v>
      </c>
      <c r="AA78" s="32"/>
      <c r="AB78" s="32"/>
      <c r="AC78" s="32">
        <f t="shared" si="6"/>
        <v>2</v>
      </c>
      <c r="AD78" s="32"/>
      <c r="AE78" s="36"/>
      <c r="AG78" s="38"/>
    </row>
    <row r="79" spans="1:33" s="44" customFormat="1">
      <c r="A79" s="214">
        <f t="shared" ref="A79:A134" si="7">A78+1</f>
        <v>64</v>
      </c>
      <c r="B79" s="60" t="s">
        <v>124</v>
      </c>
      <c r="C79" s="61" t="s">
        <v>278</v>
      </c>
      <c r="D79" s="61" t="s">
        <v>279</v>
      </c>
      <c r="E79" s="61"/>
      <c r="F79" s="61" t="s">
        <v>48</v>
      </c>
      <c r="G79" s="62" t="s">
        <v>280</v>
      </c>
      <c r="H79" s="61" t="s">
        <v>39</v>
      </c>
      <c r="I79" s="61" t="s">
        <v>136</v>
      </c>
      <c r="J79" s="71" t="s">
        <v>281</v>
      </c>
      <c r="K79" s="61" t="s">
        <v>42</v>
      </c>
      <c r="L79" s="39">
        <v>630</v>
      </c>
      <c r="M79" s="39">
        <v>630</v>
      </c>
      <c r="N79" s="39" t="s">
        <v>43</v>
      </c>
      <c r="O79" s="39">
        <v>20585</v>
      </c>
      <c r="P79" s="39">
        <v>1983</v>
      </c>
      <c r="Q79" s="39"/>
      <c r="R79" s="39">
        <f>IF(H79="CANTOL",2,4)</f>
        <v>4</v>
      </c>
      <c r="S79" s="39" t="s">
        <v>45</v>
      </c>
      <c r="T79" s="39" t="s">
        <v>46</v>
      </c>
      <c r="U79" s="39">
        <v>3</v>
      </c>
      <c r="V79" s="39">
        <v>2</v>
      </c>
      <c r="W79" s="39">
        <v>1</v>
      </c>
      <c r="X79" s="39">
        <v>0</v>
      </c>
      <c r="Y79" s="39"/>
      <c r="Z79" s="39">
        <v>0</v>
      </c>
      <c r="AA79" s="39"/>
      <c r="AB79" s="39"/>
      <c r="AC79" s="39">
        <f t="shared" si="6"/>
        <v>6</v>
      </c>
      <c r="AD79" s="39"/>
      <c r="AE79" s="43"/>
      <c r="AG79" s="45"/>
    </row>
    <row r="80" spans="1:33" s="14" customFormat="1">
      <c r="A80" s="215"/>
      <c r="B80" s="29"/>
      <c r="C80" s="30"/>
      <c r="D80" s="30"/>
      <c r="E80" s="30"/>
      <c r="F80" s="30"/>
      <c r="G80" s="31"/>
      <c r="H80" s="30"/>
      <c r="I80" s="30"/>
      <c r="J80" s="30"/>
      <c r="K80" s="30"/>
      <c r="L80" s="10">
        <v>400</v>
      </c>
      <c r="M80" s="10">
        <v>630</v>
      </c>
      <c r="N80" s="10" t="s">
        <v>43</v>
      </c>
      <c r="O80" s="10">
        <v>69154</v>
      </c>
      <c r="P80" s="10">
        <v>1998</v>
      </c>
      <c r="Q80" s="10"/>
      <c r="R80" s="10"/>
      <c r="S80" s="10" t="s">
        <v>45</v>
      </c>
      <c r="T80" s="10" t="s">
        <v>46</v>
      </c>
      <c r="U80" s="10">
        <v>3</v>
      </c>
      <c r="V80" s="10">
        <v>2</v>
      </c>
      <c r="W80" s="10">
        <v>1</v>
      </c>
      <c r="X80" s="10">
        <v>0</v>
      </c>
      <c r="Y80" s="10"/>
      <c r="Z80" s="10">
        <v>0</v>
      </c>
      <c r="AA80" s="10"/>
      <c r="AB80" s="10"/>
      <c r="AC80" s="10">
        <f t="shared" ref="AC80" si="8">SUM(U80:AB80)</f>
        <v>6</v>
      </c>
      <c r="AD80" s="10"/>
      <c r="AE80" s="16"/>
      <c r="AG80" s="17"/>
    </row>
    <row r="81" spans="1:33" s="37" customFormat="1">
      <c r="A81" s="32">
        <f>A79+1</f>
        <v>65</v>
      </c>
      <c r="B81" s="33" t="s">
        <v>124</v>
      </c>
      <c r="C81" s="32" t="s">
        <v>278</v>
      </c>
      <c r="D81" s="32" t="s">
        <v>282</v>
      </c>
      <c r="E81" s="32"/>
      <c r="F81" s="32" t="s">
        <v>63</v>
      </c>
      <c r="G81" s="34" t="s">
        <v>283</v>
      </c>
      <c r="H81" s="32" t="s">
        <v>39</v>
      </c>
      <c r="I81" s="32" t="s">
        <v>50</v>
      </c>
      <c r="J81" s="35" t="s">
        <v>284</v>
      </c>
      <c r="K81" s="32" t="s">
        <v>42</v>
      </c>
      <c r="L81" s="32"/>
      <c r="M81" s="32"/>
      <c r="N81" s="32"/>
      <c r="O81" s="32"/>
      <c r="P81" s="32"/>
      <c r="Q81" s="32"/>
      <c r="R81" s="32"/>
      <c r="S81" s="32" t="s">
        <v>45</v>
      </c>
      <c r="T81" s="32" t="s">
        <v>89</v>
      </c>
      <c r="U81" s="32">
        <v>6</v>
      </c>
      <c r="V81" s="32">
        <v>1</v>
      </c>
      <c r="W81" s="32">
        <v>0</v>
      </c>
      <c r="X81" s="32">
        <v>0</v>
      </c>
      <c r="Y81" s="32"/>
      <c r="Z81" s="32">
        <v>0</v>
      </c>
      <c r="AA81" s="32"/>
      <c r="AB81" s="32"/>
      <c r="AC81" s="32">
        <f t="shared" ref="AC81:AC84" si="9">SUM(U81:AB81)</f>
        <v>7</v>
      </c>
      <c r="AD81" s="32"/>
      <c r="AE81" s="36"/>
      <c r="AG81" s="38"/>
    </row>
    <row r="82" spans="1:33" s="37" customFormat="1">
      <c r="A82" s="32">
        <f t="shared" si="7"/>
        <v>66</v>
      </c>
      <c r="B82" s="33" t="s">
        <v>124</v>
      </c>
      <c r="C82" s="32" t="s">
        <v>278</v>
      </c>
      <c r="D82" s="32" t="s">
        <v>285</v>
      </c>
      <c r="E82" s="32"/>
      <c r="F82" s="32" t="s">
        <v>63</v>
      </c>
      <c r="G82" s="34" t="s">
        <v>286</v>
      </c>
      <c r="H82" s="32" t="s">
        <v>39</v>
      </c>
      <c r="I82" s="32" t="s">
        <v>136</v>
      </c>
      <c r="J82" s="35" t="s">
        <v>287</v>
      </c>
      <c r="K82" s="32" t="s">
        <v>42</v>
      </c>
      <c r="L82" s="32"/>
      <c r="M82" s="32"/>
      <c r="N82" s="32"/>
      <c r="O82" s="32"/>
      <c r="P82" s="32"/>
      <c r="Q82" s="32"/>
      <c r="R82" s="32"/>
      <c r="S82" s="32" t="s">
        <v>45</v>
      </c>
      <c r="T82" s="32" t="s">
        <v>46</v>
      </c>
      <c r="U82" s="32">
        <v>2</v>
      </c>
      <c r="V82" s="32">
        <v>2</v>
      </c>
      <c r="W82" s="32">
        <v>1</v>
      </c>
      <c r="X82" s="32">
        <v>0</v>
      </c>
      <c r="Y82" s="32"/>
      <c r="Z82" s="32">
        <v>0</v>
      </c>
      <c r="AA82" s="32"/>
      <c r="AB82" s="32"/>
      <c r="AC82" s="32">
        <f t="shared" si="9"/>
        <v>5</v>
      </c>
      <c r="AD82" s="32"/>
      <c r="AE82" s="36"/>
      <c r="AG82" s="38"/>
    </row>
    <row r="83" spans="1:33" s="14" customFormat="1">
      <c r="A83" s="10">
        <f t="shared" si="7"/>
        <v>67</v>
      </c>
      <c r="B83" s="11" t="s">
        <v>124</v>
      </c>
      <c r="C83" s="10" t="s">
        <v>278</v>
      </c>
      <c r="D83" s="10" t="s">
        <v>288</v>
      </c>
      <c r="E83" s="10"/>
      <c r="F83" s="10" t="s">
        <v>63</v>
      </c>
      <c r="G83" s="12" t="s">
        <v>289</v>
      </c>
      <c r="H83" s="10" t="s">
        <v>39</v>
      </c>
      <c r="I83" s="10" t="s">
        <v>40</v>
      </c>
      <c r="J83" s="13" t="s">
        <v>290</v>
      </c>
      <c r="K83" s="10" t="s">
        <v>42</v>
      </c>
      <c r="L83" s="10"/>
      <c r="M83" s="10"/>
      <c r="N83" s="10"/>
      <c r="O83" s="10"/>
      <c r="P83" s="10"/>
      <c r="Q83" s="10"/>
      <c r="R83" s="10"/>
      <c r="S83" s="10" t="s">
        <v>45</v>
      </c>
      <c r="T83" s="10" t="s">
        <v>89</v>
      </c>
      <c r="U83" s="10">
        <v>2</v>
      </c>
      <c r="V83" s="10">
        <v>0</v>
      </c>
      <c r="W83" s="10">
        <v>1</v>
      </c>
      <c r="X83" s="10">
        <v>0</v>
      </c>
      <c r="Y83" s="10"/>
      <c r="Z83" s="10">
        <v>0</v>
      </c>
      <c r="AA83" s="10"/>
      <c r="AB83" s="10"/>
      <c r="AC83" s="10">
        <f t="shared" si="9"/>
        <v>3</v>
      </c>
      <c r="AD83" s="10"/>
      <c r="AE83" s="16"/>
      <c r="AG83" s="17"/>
    </row>
    <row r="84" spans="1:33" s="77" customFormat="1">
      <c r="A84" s="72">
        <f t="shared" si="7"/>
        <v>68</v>
      </c>
      <c r="B84" s="73" t="s">
        <v>124</v>
      </c>
      <c r="C84" s="72" t="s">
        <v>278</v>
      </c>
      <c r="D84" s="72" t="s">
        <v>291</v>
      </c>
      <c r="E84" s="72"/>
      <c r="F84" s="72" t="s">
        <v>63</v>
      </c>
      <c r="G84" s="74" t="s">
        <v>292</v>
      </c>
      <c r="H84" s="72" t="s">
        <v>39</v>
      </c>
      <c r="I84" s="72" t="s">
        <v>50</v>
      </c>
      <c r="J84" s="75" t="s">
        <v>293</v>
      </c>
      <c r="K84" s="72" t="s">
        <v>42</v>
      </c>
      <c r="L84" s="72"/>
      <c r="M84" s="72"/>
      <c r="N84" s="72"/>
      <c r="O84" s="72"/>
      <c r="P84" s="72"/>
      <c r="Q84" s="72"/>
      <c r="R84" s="72"/>
      <c r="S84" s="72" t="s">
        <v>45</v>
      </c>
      <c r="T84" s="72" t="s">
        <v>46</v>
      </c>
      <c r="U84" s="72">
        <v>2</v>
      </c>
      <c r="V84" s="72">
        <v>0</v>
      </c>
      <c r="W84" s="72">
        <v>1</v>
      </c>
      <c r="X84" s="72">
        <v>0</v>
      </c>
      <c r="Y84" s="72"/>
      <c r="Z84" s="72">
        <v>0</v>
      </c>
      <c r="AA84" s="72"/>
      <c r="AB84" s="72"/>
      <c r="AC84" s="72">
        <f t="shared" si="9"/>
        <v>3</v>
      </c>
      <c r="AD84" s="72"/>
      <c r="AE84" s="76"/>
      <c r="AG84" s="78"/>
    </row>
    <row r="85" spans="1:33" s="37" customFormat="1">
      <c r="A85" s="32">
        <f t="shared" si="7"/>
        <v>69</v>
      </c>
      <c r="B85" s="33" t="s">
        <v>124</v>
      </c>
      <c r="C85" s="32" t="s">
        <v>278</v>
      </c>
      <c r="D85" s="32" t="s">
        <v>294</v>
      </c>
      <c r="E85" s="32"/>
      <c r="F85" s="32" t="s">
        <v>63</v>
      </c>
      <c r="G85" s="34" t="s">
        <v>295</v>
      </c>
      <c r="H85" s="32" t="s">
        <v>39</v>
      </c>
      <c r="I85" s="32" t="s">
        <v>40</v>
      </c>
      <c r="J85" s="32" t="s">
        <v>296</v>
      </c>
      <c r="K85" s="32" t="s">
        <v>42</v>
      </c>
      <c r="L85" s="32"/>
      <c r="M85" s="32">
        <v>630</v>
      </c>
      <c r="N85" s="32"/>
      <c r="O85" s="32"/>
      <c r="P85" s="32"/>
      <c r="Q85" s="32"/>
      <c r="R85" s="32"/>
      <c r="S85" s="32" t="s">
        <v>88</v>
      </c>
      <c r="T85" s="32" t="s">
        <v>89</v>
      </c>
      <c r="U85" s="32">
        <v>2</v>
      </c>
      <c r="V85" s="32">
        <v>0</v>
      </c>
      <c r="W85" s="32">
        <v>1</v>
      </c>
      <c r="X85" s="32"/>
      <c r="Y85" s="32"/>
      <c r="Z85" s="32"/>
      <c r="AA85" s="32"/>
      <c r="AB85" s="32"/>
      <c r="AC85" s="32"/>
      <c r="AD85" s="32"/>
      <c r="AE85" s="36"/>
      <c r="AG85" s="38"/>
    </row>
    <row r="86" spans="1:33" s="37" customFormat="1">
      <c r="A86" s="79">
        <f t="shared" si="7"/>
        <v>70</v>
      </c>
      <c r="B86" s="80" t="s">
        <v>124</v>
      </c>
      <c r="C86" s="79" t="s">
        <v>278</v>
      </c>
      <c r="D86" s="79" t="s">
        <v>297</v>
      </c>
      <c r="E86" s="79"/>
      <c r="F86" s="79" t="s">
        <v>63</v>
      </c>
      <c r="G86" s="81" t="s">
        <v>298</v>
      </c>
      <c r="H86" s="79" t="s">
        <v>39</v>
      </c>
      <c r="I86" s="79" t="s">
        <v>40</v>
      </c>
      <c r="J86" s="79" t="s">
        <v>299</v>
      </c>
      <c r="K86" s="79" t="s">
        <v>42</v>
      </c>
      <c r="L86" s="32"/>
      <c r="M86" s="32">
        <v>630</v>
      </c>
      <c r="N86" s="32"/>
      <c r="O86" s="32"/>
      <c r="P86" s="32"/>
      <c r="Q86" s="32"/>
      <c r="R86" s="32"/>
      <c r="S86" s="32" t="s">
        <v>88</v>
      </c>
      <c r="T86" s="32" t="s">
        <v>89</v>
      </c>
      <c r="U86" s="32">
        <v>2</v>
      </c>
      <c r="V86" s="32">
        <v>0</v>
      </c>
      <c r="W86" s="32">
        <v>1</v>
      </c>
      <c r="X86" s="32"/>
      <c r="Y86" s="32"/>
      <c r="Z86" s="32"/>
      <c r="AA86" s="32"/>
      <c r="AB86" s="32"/>
      <c r="AC86" s="32"/>
      <c r="AD86" s="32"/>
      <c r="AE86" s="36"/>
      <c r="AG86" s="38"/>
    </row>
    <row r="87" spans="1:33" s="37" customFormat="1">
      <c r="A87" s="82">
        <v>71</v>
      </c>
      <c r="B87" s="83"/>
      <c r="C87" s="82" t="s">
        <v>300</v>
      </c>
      <c r="D87" s="82" t="s">
        <v>301</v>
      </c>
      <c r="E87" s="82"/>
      <c r="F87" s="82" t="s">
        <v>63</v>
      </c>
      <c r="G87" s="84" t="s">
        <v>302</v>
      </c>
      <c r="H87" s="82" t="s">
        <v>39</v>
      </c>
      <c r="I87" s="82" t="s">
        <v>40</v>
      </c>
      <c r="J87" s="82"/>
      <c r="K87" s="82" t="s">
        <v>42</v>
      </c>
      <c r="L87" s="32"/>
      <c r="M87" s="32"/>
      <c r="N87" s="32"/>
      <c r="O87" s="32"/>
      <c r="P87" s="32"/>
      <c r="Q87" s="32"/>
      <c r="R87" s="32"/>
      <c r="S87" s="32" t="s">
        <v>133</v>
      </c>
      <c r="T87" s="32" t="s">
        <v>133</v>
      </c>
      <c r="U87" s="32">
        <v>2</v>
      </c>
      <c r="V87" s="32"/>
      <c r="W87" s="32">
        <v>1</v>
      </c>
      <c r="X87" s="32"/>
      <c r="Y87" s="32"/>
      <c r="Z87" s="32"/>
      <c r="AA87" s="32"/>
      <c r="AB87" s="32"/>
      <c r="AC87" s="32">
        <f t="shared" ref="AC87:AC101" si="10">SUM(U87:AB87)</f>
        <v>3</v>
      </c>
      <c r="AD87" s="32"/>
      <c r="AE87" s="36"/>
      <c r="AG87" s="38"/>
    </row>
    <row r="88" spans="1:33" s="37" customFormat="1">
      <c r="A88" s="32">
        <v>72</v>
      </c>
      <c r="B88" s="33"/>
      <c r="C88" s="32" t="s">
        <v>300</v>
      </c>
      <c r="D88" s="32" t="s">
        <v>303</v>
      </c>
      <c r="E88" s="32"/>
      <c r="F88" s="32" t="s">
        <v>63</v>
      </c>
      <c r="G88" s="34" t="s">
        <v>304</v>
      </c>
      <c r="H88" s="32" t="s">
        <v>39</v>
      </c>
      <c r="I88" s="32" t="s">
        <v>136</v>
      </c>
      <c r="J88" s="35" t="s">
        <v>305</v>
      </c>
      <c r="K88" s="32" t="s">
        <v>42</v>
      </c>
      <c r="L88" s="32"/>
      <c r="M88" s="32">
        <v>630</v>
      </c>
      <c r="N88" s="32"/>
      <c r="O88" s="32"/>
      <c r="P88" s="32"/>
      <c r="Q88" s="32"/>
      <c r="R88" s="32"/>
      <c r="S88" s="32" t="s">
        <v>263</v>
      </c>
      <c r="T88" s="32">
        <v>0</v>
      </c>
      <c r="U88" s="32">
        <v>2</v>
      </c>
      <c r="V88" s="32">
        <v>1</v>
      </c>
      <c r="W88" s="32">
        <v>0</v>
      </c>
      <c r="X88" s="32">
        <v>0</v>
      </c>
      <c r="Y88" s="32"/>
      <c r="Z88" s="32">
        <v>0</v>
      </c>
      <c r="AA88" s="32"/>
      <c r="AB88" s="32"/>
      <c r="AC88" s="32">
        <f t="shared" si="10"/>
        <v>3</v>
      </c>
      <c r="AD88" s="32"/>
      <c r="AE88" s="36"/>
      <c r="AG88" s="38"/>
    </row>
    <row r="89" spans="1:33" s="44" customFormat="1">
      <c r="A89" s="39">
        <f t="shared" si="7"/>
        <v>73</v>
      </c>
      <c r="B89" s="40"/>
      <c r="C89" s="39" t="s">
        <v>300</v>
      </c>
      <c r="D89" s="39" t="s">
        <v>306</v>
      </c>
      <c r="E89" s="39"/>
      <c r="F89" s="39" t="s">
        <v>48</v>
      </c>
      <c r="G89" s="41" t="s">
        <v>307</v>
      </c>
      <c r="H89" s="39" t="s">
        <v>39</v>
      </c>
      <c r="I89" s="39" t="s">
        <v>50</v>
      </c>
      <c r="J89" s="42" t="s">
        <v>308</v>
      </c>
      <c r="K89" s="39" t="s">
        <v>42</v>
      </c>
      <c r="L89" s="39">
        <v>630</v>
      </c>
      <c r="M89" s="39"/>
      <c r="N89" s="39" t="s">
        <v>70</v>
      </c>
      <c r="O89" s="39" t="s">
        <v>309</v>
      </c>
      <c r="P89" s="39">
        <v>1983</v>
      </c>
      <c r="Q89" s="39"/>
      <c r="R89" s="39">
        <v>4</v>
      </c>
      <c r="S89" s="39" t="s">
        <v>45</v>
      </c>
      <c r="T89" s="39" t="s">
        <v>46</v>
      </c>
      <c r="U89" s="39">
        <v>2</v>
      </c>
      <c r="V89" s="39">
        <v>1</v>
      </c>
      <c r="W89" s="39">
        <v>1</v>
      </c>
      <c r="X89" s="39">
        <v>0</v>
      </c>
      <c r="Y89" s="39"/>
      <c r="Z89" s="39">
        <v>0</v>
      </c>
      <c r="AA89" s="39"/>
      <c r="AB89" s="39"/>
      <c r="AC89" s="39">
        <f t="shared" si="10"/>
        <v>4</v>
      </c>
      <c r="AD89" s="39"/>
      <c r="AE89" s="43"/>
      <c r="AG89" s="45"/>
    </row>
    <row r="90" spans="1:33" s="37" customFormat="1">
      <c r="A90" s="32">
        <f t="shared" si="7"/>
        <v>74</v>
      </c>
      <c r="B90" s="33"/>
      <c r="C90" s="32" t="s">
        <v>300</v>
      </c>
      <c r="D90" s="32" t="s">
        <v>310</v>
      </c>
      <c r="E90" s="32"/>
      <c r="F90" s="32" t="s">
        <v>63</v>
      </c>
      <c r="G90" s="34" t="s">
        <v>311</v>
      </c>
      <c r="H90" s="32" t="s">
        <v>39</v>
      </c>
      <c r="I90" s="32" t="s">
        <v>50</v>
      </c>
      <c r="J90" s="35" t="s">
        <v>312</v>
      </c>
      <c r="K90" s="32" t="s">
        <v>42</v>
      </c>
      <c r="L90" s="32"/>
      <c r="M90" s="32"/>
      <c r="N90" s="32"/>
      <c r="O90" s="32"/>
      <c r="P90" s="32"/>
      <c r="Q90" s="32"/>
      <c r="R90" s="32"/>
      <c r="S90" s="32" t="s">
        <v>45</v>
      </c>
      <c r="T90" s="32" t="s">
        <v>89</v>
      </c>
      <c r="U90" s="32">
        <v>2</v>
      </c>
      <c r="V90" s="32">
        <v>0</v>
      </c>
      <c r="W90" s="32">
        <v>0</v>
      </c>
      <c r="X90" s="32">
        <v>0</v>
      </c>
      <c r="Y90" s="32"/>
      <c r="Z90" s="32">
        <v>0</v>
      </c>
      <c r="AA90" s="32"/>
      <c r="AB90" s="32"/>
      <c r="AC90" s="32">
        <f t="shared" si="10"/>
        <v>2</v>
      </c>
      <c r="AD90" s="32"/>
      <c r="AE90" s="36"/>
      <c r="AG90" s="38"/>
    </row>
    <row r="91" spans="1:33" s="37" customFormat="1">
      <c r="A91" s="32">
        <f t="shared" si="7"/>
        <v>75</v>
      </c>
      <c r="B91" s="33"/>
      <c r="C91" s="32" t="s">
        <v>300</v>
      </c>
      <c r="D91" s="32" t="s">
        <v>313</v>
      </c>
      <c r="E91" s="32"/>
      <c r="F91" s="32" t="s">
        <v>63</v>
      </c>
      <c r="G91" s="34" t="s">
        <v>314</v>
      </c>
      <c r="H91" s="32" t="s">
        <v>39</v>
      </c>
      <c r="I91" s="32" t="s">
        <v>50</v>
      </c>
      <c r="J91" s="35" t="s">
        <v>315</v>
      </c>
      <c r="K91" s="32" t="s">
        <v>42</v>
      </c>
      <c r="L91" s="32"/>
      <c r="M91" s="32"/>
      <c r="N91" s="32"/>
      <c r="O91" s="32"/>
      <c r="P91" s="32"/>
      <c r="Q91" s="32"/>
      <c r="R91" s="32"/>
      <c r="S91" s="32" t="s">
        <v>82</v>
      </c>
      <c r="T91" s="32" t="s">
        <v>89</v>
      </c>
      <c r="U91" s="32">
        <v>2</v>
      </c>
      <c r="V91" s="32">
        <v>0</v>
      </c>
      <c r="W91" s="32">
        <v>1</v>
      </c>
      <c r="X91" s="32">
        <v>0</v>
      </c>
      <c r="Y91" s="32"/>
      <c r="Z91" s="32">
        <v>0</v>
      </c>
      <c r="AA91" s="32"/>
      <c r="AB91" s="32"/>
      <c r="AC91" s="32">
        <f t="shared" si="10"/>
        <v>3</v>
      </c>
      <c r="AD91" s="32"/>
      <c r="AE91" s="36" t="s">
        <v>316</v>
      </c>
      <c r="AG91" s="38" t="s">
        <v>316</v>
      </c>
    </row>
    <row r="92" spans="1:33" s="37" customFormat="1">
      <c r="A92" s="32">
        <f t="shared" si="7"/>
        <v>76</v>
      </c>
      <c r="B92" s="33"/>
      <c r="C92" s="32" t="s">
        <v>317</v>
      </c>
      <c r="D92" s="32" t="s">
        <v>318</v>
      </c>
      <c r="E92" s="32"/>
      <c r="F92" s="32" t="s">
        <v>63</v>
      </c>
      <c r="G92" s="34" t="s">
        <v>319</v>
      </c>
      <c r="H92" s="32" t="s">
        <v>39</v>
      </c>
      <c r="I92" s="32" t="s">
        <v>50</v>
      </c>
      <c r="J92" s="35" t="s">
        <v>320</v>
      </c>
      <c r="K92" s="32" t="s">
        <v>42</v>
      </c>
      <c r="L92" s="32"/>
      <c r="M92" s="32"/>
      <c r="N92" s="32"/>
      <c r="O92" s="32"/>
      <c r="P92" s="32"/>
      <c r="Q92" s="32"/>
      <c r="R92" s="32"/>
      <c r="S92" s="32" t="s">
        <v>45</v>
      </c>
      <c r="T92" s="32" t="s">
        <v>89</v>
      </c>
      <c r="U92" s="32">
        <v>2</v>
      </c>
      <c r="V92" s="32">
        <v>0</v>
      </c>
      <c r="W92" s="32">
        <v>1</v>
      </c>
      <c r="X92" s="32">
        <v>0</v>
      </c>
      <c r="Y92" s="32"/>
      <c r="Z92" s="32">
        <v>1</v>
      </c>
      <c r="AA92" s="32"/>
      <c r="AB92" s="32"/>
      <c r="AC92" s="32">
        <f t="shared" si="10"/>
        <v>4</v>
      </c>
      <c r="AD92" s="32"/>
      <c r="AE92" s="36"/>
      <c r="AG92" s="38"/>
    </row>
    <row r="93" spans="1:33" s="58" customFormat="1">
      <c r="A93" s="53">
        <f t="shared" si="7"/>
        <v>77</v>
      </c>
      <c r="B93" s="54"/>
      <c r="C93" s="53" t="s">
        <v>317</v>
      </c>
      <c r="D93" s="53" t="s">
        <v>321</v>
      </c>
      <c r="E93" s="53"/>
      <c r="F93" s="53" t="s">
        <v>63</v>
      </c>
      <c r="G93" s="55" t="s">
        <v>322</v>
      </c>
      <c r="H93" s="53" t="s">
        <v>39</v>
      </c>
      <c r="I93" s="53" t="s">
        <v>50</v>
      </c>
      <c r="J93" s="85" t="s">
        <v>323</v>
      </c>
      <c r="K93" s="53" t="s">
        <v>42</v>
      </c>
      <c r="L93" s="53">
        <v>400</v>
      </c>
      <c r="M93" s="53"/>
      <c r="N93" s="53" t="s">
        <v>324</v>
      </c>
      <c r="O93" s="56" t="s">
        <v>325</v>
      </c>
      <c r="P93" s="53">
        <v>2022</v>
      </c>
      <c r="Q93" s="53"/>
      <c r="R93" s="53"/>
      <c r="S93" s="53" t="s">
        <v>45</v>
      </c>
      <c r="T93" s="53" t="s">
        <v>89</v>
      </c>
      <c r="U93" s="53">
        <v>2</v>
      </c>
      <c r="V93" s="53">
        <v>0</v>
      </c>
      <c r="W93" s="53">
        <v>2</v>
      </c>
      <c r="X93" s="53">
        <v>1</v>
      </c>
      <c r="Y93" s="53"/>
      <c r="Z93" s="53">
        <v>0</v>
      </c>
      <c r="AA93" s="53"/>
      <c r="AB93" s="53"/>
      <c r="AC93" s="53">
        <f t="shared" si="10"/>
        <v>5</v>
      </c>
      <c r="AD93" s="53"/>
      <c r="AE93" s="57"/>
      <c r="AG93" s="59"/>
    </row>
    <row r="94" spans="1:33" s="37" customFormat="1">
      <c r="A94" s="32">
        <f t="shared" si="7"/>
        <v>78</v>
      </c>
      <c r="B94" s="33"/>
      <c r="C94" s="32" t="s">
        <v>317</v>
      </c>
      <c r="D94" s="32" t="s">
        <v>326</v>
      </c>
      <c r="E94" s="32"/>
      <c r="F94" s="32" t="s">
        <v>63</v>
      </c>
      <c r="G94" s="34" t="s">
        <v>327</v>
      </c>
      <c r="H94" s="32" t="s">
        <v>39</v>
      </c>
      <c r="I94" s="32" t="s">
        <v>40</v>
      </c>
      <c r="J94" s="35" t="s">
        <v>328</v>
      </c>
      <c r="K94" s="32" t="s">
        <v>42</v>
      </c>
      <c r="L94" s="32"/>
      <c r="M94" s="32"/>
      <c r="N94" s="32"/>
      <c r="O94" s="32"/>
      <c r="P94" s="32"/>
      <c r="Q94" s="32"/>
      <c r="R94" s="32"/>
      <c r="S94" s="32" t="s">
        <v>45</v>
      </c>
      <c r="T94" s="32" t="s">
        <v>46</v>
      </c>
      <c r="U94" s="32">
        <v>2</v>
      </c>
      <c r="V94" s="32">
        <v>0</v>
      </c>
      <c r="W94" s="32">
        <v>1</v>
      </c>
      <c r="X94" s="32">
        <v>0</v>
      </c>
      <c r="Y94" s="32"/>
      <c r="Z94" s="32">
        <v>0</v>
      </c>
      <c r="AA94" s="32"/>
      <c r="AB94" s="32"/>
      <c r="AC94" s="32">
        <f t="shared" si="10"/>
        <v>3</v>
      </c>
      <c r="AD94" s="32"/>
      <c r="AE94" s="36"/>
      <c r="AG94" s="38"/>
    </row>
    <row r="95" spans="1:33" s="37" customFormat="1">
      <c r="A95" s="32">
        <f t="shared" si="7"/>
        <v>79</v>
      </c>
      <c r="B95" s="33"/>
      <c r="C95" s="32" t="s">
        <v>317</v>
      </c>
      <c r="D95" s="32" t="s">
        <v>329</v>
      </c>
      <c r="E95" s="32"/>
      <c r="F95" s="32" t="s">
        <v>63</v>
      </c>
      <c r="G95" s="34" t="s">
        <v>330</v>
      </c>
      <c r="H95" s="32" t="s">
        <v>39</v>
      </c>
      <c r="I95" s="32" t="s">
        <v>40</v>
      </c>
      <c r="J95" s="35" t="s">
        <v>331</v>
      </c>
      <c r="K95" s="32" t="s">
        <v>42</v>
      </c>
      <c r="L95" s="32"/>
      <c r="M95" s="32"/>
      <c r="N95" s="32"/>
      <c r="O95" s="32"/>
      <c r="P95" s="32"/>
      <c r="Q95" s="32"/>
      <c r="R95" s="32"/>
      <c r="S95" s="32" t="s">
        <v>45</v>
      </c>
      <c r="T95" s="32" t="s">
        <v>89</v>
      </c>
      <c r="U95" s="32">
        <v>2</v>
      </c>
      <c r="V95" s="32">
        <v>0</v>
      </c>
      <c r="W95" s="32">
        <v>1</v>
      </c>
      <c r="X95" s="32">
        <v>0</v>
      </c>
      <c r="Y95" s="32"/>
      <c r="Z95" s="32">
        <v>0</v>
      </c>
      <c r="AA95" s="32"/>
      <c r="AB95" s="32"/>
      <c r="AC95" s="32">
        <f t="shared" si="10"/>
        <v>3</v>
      </c>
      <c r="AD95" s="32"/>
      <c r="AE95" s="36"/>
      <c r="AG95" s="38"/>
    </row>
    <row r="96" spans="1:33" s="14" customFormat="1">
      <c r="A96" s="10">
        <f>A94+1</f>
        <v>79</v>
      </c>
      <c r="B96" s="11"/>
      <c r="C96" s="10" t="s">
        <v>317</v>
      </c>
      <c r="D96" s="10" t="s">
        <v>332</v>
      </c>
      <c r="E96" s="10"/>
      <c r="F96" s="10" t="s">
        <v>63</v>
      </c>
      <c r="G96" s="12" t="s">
        <v>333</v>
      </c>
      <c r="H96" s="10" t="s">
        <v>201</v>
      </c>
      <c r="I96" s="10" t="s">
        <v>201</v>
      </c>
      <c r="J96" s="10" t="s">
        <v>334</v>
      </c>
      <c r="K96" s="10" t="s">
        <v>42</v>
      </c>
      <c r="L96" s="10" t="s">
        <v>335</v>
      </c>
      <c r="M96" s="10"/>
      <c r="N96" s="10" t="s">
        <v>59</v>
      </c>
      <c r="O96" s="10" t="s">
        <v>336</v>
      </c>
      <c r="P96" s="10" t="s">
        <v>255</v>
      </c>
      <c r="Q96" s="10"/>
      <c r="R96" s="10"/>
      <c r="S96" s="10" t="s">
        <v>133</v>
      </c>
      <c r="T96" s="10" t="s">
        <v>89</v>
      </c>
      <c r="U96" s="10">
        <v>2</v>
      </c>
      <c r="V96" s="10" t="s">
        <v>96</v>
      </c>
      <c r="W96" s="10">
        <v>0</v>
      </c>
      <c r="X96" s="10">
        <v>0</v>
      </c>
      <c r="Y96" s="10"/>
      <c r="Z96" s="10">
        <v>0</v>
      </c>
      <c r="AA96" s="10"/>
      <c r="AB96" s="10"/>
      <c r="AC96" s="10" t="s">
        <v>337</v>
      </c>
      <c r="AD96" s="10"/>
      <c r="AE96" s="16"/>
      <c r="AG96" s="17"/>
    </row>
    <row r="97" spans="1:33" s="14" customFormat="1">
      <c r="A97" s="10">
        <f>A95+1</f>
        <v>80</v>
      </c>
      <c r="B97" s="11"/>
      <c r="C97" s="10" t="s">
        <v>317</v>
      </c>
      <c r="D97" s="10" t="s">
        <v>338</v>
      </c>
      <c r="E97" s="10"/>
      <c r="F97" s="10" t="s">
        <v>63</v>
      </c>
      <c r="G97" s="12" t="s">
        <v>339</v>
      </c>
      <c r="H97" s="10" t="s">
        <v>201</v>
      </c>
      <c r="I97" s="10" t="s">
        <v>201</v>
      </c>
      <c r="J97" s="10"/>
      <c r="K97" s="10" t="s">
        <v>42</v>
      </c>
      <c r="L97" s="10" t="s">
        <v>335</v>
      </c>
      <c r="M97" s="10"/>
      <c r="N97" s="10" t="s">
        <v>340</v>
      </c>
      <c r="O97" s="10" t="s">
        <v>341</v>
      </c>
      <c r="P97" s="10">
        <v>2024</v>
      </c>
      <c r="Q97" s="10"/>
      <c r="R97" s="10"/>
      <c r="S97" s="10" t="s">
        <v>133</v>
      </c>
      <c r="T97" s="10" t="s">
        <v>89</v>
      </c>
      <c r="U97" s="10">
        <v>2</v>
      </c>
      <c r="V97" s="10" t="s">
        <v>96</v>
      </c>
      <c r="W97" s="10">
        <v>0</v>
      </c>
      <c r="X97" s="10">
        <v>0</v>
      </c>
      <c r="Y97" s="10"/>
      <c r="Z97" s="10">
        <v>0</v>
      </c>
      <c r="AA97" s="10"/>
      <c r="AB97" s="10"/>
      <c r="AC97" s="10" t="s">
        <v>337</v>
      </c>
      <c r="AD97" s="10"/>
      <c r="AE97" s="16"/>
      <c r="AG97" s="17"/>
    </row>
    <row r="98" spans="1:33" s="44" customFormat="1">
      <c r="A98" s="39">
        <f t="shared" si="7"/>
        <v>81</v>
      </c>
      <c r="B98" s="40"/>
      <c r="C98" s="39" t="s">
        <v>317</v>
      </c>
      <c r="D98" s="39" t="s">
        <v>342</v>
      </c>
      <c r="E98" s="39"/>
      <c r="F98" s="39" t="s">
        <v>48</v>
      </c>
      <c r="G98" s="41" t="s">
        <v>343</v>
      </c>
      <c r="H98" s="39" t="s">
        <v>39</v>
      </c>
      <c r="I98" s="39" t="s">
        <v>40</v>
      </c>
      <c r="J98" s="42" t="s">
        <v>344</v>
      </c>
      <c r="K98" s="39" t="s">
        <v>42</v>
      </c>
      <c r="L98" s="39" t="s">
        <v>345</v>
      </c>
      <c r="M98" s="39"/>
      <c r="N98" s="39" t="s">
        <v>59</v>
      </c>
      <c r="O98" s="39" t="s">
        <v>346</v>
      </c>
      <c r="P98" s="39"/>
      <c r="Q98" s="39"/>
      <c r="R98" s="39">
        <f t="shared" ref="R98:R99" si="11">IF(H98="CANTOL",2,4)</f>
        <v>4</v>
      </c>
      <c r="S98" s="39" t="s">
        <v>45</v>
      </c>
      <c r="T98" s="39" t="s">
        <v>89</v>
      </c>
      <c r="U98" s="39">
        <v>3</v>
      </c>
      <c r="V98" s="39">
        <v>0</v>
      </c>
      <c r="W98" s="39">
        <v>2</v>
      </c>
      <c r="X98" s="39">
        <v>0</v>
      </c>
      <c r="Y98" s="39"/>
      <c r="Z98" s="39">
        <v>0</v>
      </c>
      <c r="AA98" s="39"/>
      <c r="AB98" s="39"/>
      <c r="AC98" s="39">
        <f t="shared" si="10"/>
        <v>5</v>
      </c>
      <c r="AD98" s="39"/>
      <c r="AE98" s="43"/>
      <c r="AG98" s="45"/>
    </row>
    <row r="99" spans="1:33" s="44" customFormat="1">
      <c r="A99" s="39">
        <f t="shared" si="7"/>
        <v>82</v>
      </c>
      <c r="B99" s="40"/>
      <c r="C99" s="39" t="s">
        <v>317</v>
      </c>
      <c r="D99" s="39" t="s">
        <v>347</v>
      </c>
      <c r="E99" s="39"/>
      <c r="F99" s="39" t="s">
        <v>48</v>
      </c>
      <c r="G99" s="41" t="s">
        <v>348</v>
      </c>
      <c r="H99" s="39" t="s">
        <v>39</v>
      </c>
      <c r="I99" s="39" t="s">
        <v>40</v>
      </c>
      <c r="J99" s="42" t="s">
        <v>349</v>
      </c>
      <c r="K99" s="39" t="s">
        <v>42</v>
      </c>
      <c r="L99" s="39">
        <v>400</v>
      </c>
      <c r="M99" s="39"/>
      <c r="N99" s="39" t="s">
        <v>43</v>
      </c>
      <c r="O99" s="39" t="s">
        <v>350</v>
      </c>
      <c r="P99" s="39">
        <v>1983</v>
      </c>
      <c r="Q99" s="39"/>
      <c r="R99" s="39">
        <f t="shared" si="11"/>
        <v>4</v>
      </c>
      <c r="S99" s="39" t="s">
        <v>268</v>
      </c>
      <c r="T99" s="39" t="s">
        <v>351</v>
      </c>
      <c r="U99" s="39">
        <v>2</v>
      </c>
      <c r="V99" s="39">
        <v>1</v>
      </c>
      <c r="W99" s="39">
        <v>1</v>
      </c>
      <c r="X99" s="39">
        <v>0</v>
      </c>
      <c r="Y99" s="39"/>
      <c r="Z99" s="39">
        <v>0</v>
      </c>
      <c r="AA99" s="39"/>
      <c r="AB99" s="39"/>
      <c r="AC99" s="39">
        <f t="shared" si="10"/>
        <v>4</v>
      </c>
      <c r="AD99" s="39"/>
      <c r="AE99" s="43"/>
      <c r="AG99" s="45"/>
    </row>
    <row r="100" spans="1:33" s="37" customFormat="1">
      <c r="A100" s="32">
        <f t="shared" si="7"/>
        <v>83</v>
      </c>
      <c r="B100" s="33"/>
      <c r="C100" s="32" t="s">
        <v>317</v>
      </c>
      <c r="D100" s="32" t="s">
        <v>352</v>
      </c>
      <c r="E100" s="32"/>
      <c r="F100" s="32" t="s">
        <v>63</v>
      </c>
      <c r="G100" s="34" t="s">
        <v>353</v>
      </c>
      <c r="H100" s="32" t="s">
        <v>39</v>
      </c>
      <c r="I100" s="32" t="s">
        <v>50</v>
      </c>
      <c r="J100" s="35" t="s">
        <v>354</v>
      </c>
      <c r="K100" s="32" t="s">
        <v>42</v>
      </c>
      <c r="L100" s="32"/>
      <c r="M100" s="32"/>
      <c r="N100" s="32"/>
      <c r="O100" s="32"/>
      <c r="P100" s="32"/>
      <c r="Q100" s="32"/>
      <c r="R100" s="32"/>
      <c r="S100" s="32" t="s">
        <v>45</v>
      </c>
      <c r="T100" s="32" t="s">
        <v>46</v>
      </c>
      <c r="U100" s="32">
        <v>2</v>
      </c>
      <c r="V100" s="32">
        <v>0</v>
      </c>
      <c r="W100" s="32">
        <v>1</v>
      </c>
      <c r="X100" s="32">
        <v>0</v>
      </c>
      <c r="Y100" s="32"/>
      <c r="Z100" s="32">
        <v>0</v>
      </c>
      <c r="AA100" s="32"/>
      <c r="AB100" s="32"/>
      <c r="AC100" s="32">
        <f t="shared" si="10"/>
        <v>3</v>
      </c>
      <c r="AD100" s="32"/>
      <c r="AE100" s="36"/>
      <c r="AG100" s="38"/>
    </row>
    <row r="101" spans="1:33" s="37" customFormat="1">
      <c r="A101" s="32">
        <f t="shared" si="7"/>
        <v>84</v>
      </c>
      <c r="B101" s="33"/>
      <c r="C101" s="32" t="s">
        <v>317</v>
      </c>
      <c r="D101" s="32" t="s">
        <v>355</v>
      </c>
      <c r="E101" s="32"/>
      <c r="F101" s="32" t="s">
        <v>63</v>
      </c>
      <c r="G101" s="34" t="s">
        <v>356</v>
      </c>
      <c r="H101" s="32" t="s">
        <v>39</v>
      </c>
      <c r="I101" s="32" t="s">
        <v>40</v>
      </c>
      <c r="J101" s="35" t="s">
        <v>357</v>
      </c>
      <c r="K101" s="32" t="s">
        <v>42</v>
      </c>
      <c r="L101" s="32"/>
      <c r="M101" s="32"/>
      <c r="N101" s="32"/>
      <c r="O101" s="32"/>
      <c r="P101" s="32"/>
      <c r="Q101" s="32"/>
      <c r="R101" s="32"/>
      <c r="S101" s="32" t="s">
        <v>45</v>
      </c>
      <c r="T101" s="32" t="s">
        <v>89</v>
      </c>
      <c r="U101" s="32">
        <v>2</v>
      </c>
      <c r="V101" s="32">
        <v>0</v>
      </c>
      <c r="W101" s="32">
        <v>0</v>
      </c>
      <c r="X101" s="32">
        <v>0</v>
      </c>
      <c r="Y101" s="32"/>
      <c r="Z101" s="32">
        <v>0</v>
      </c>
      <c r="AA101" s="32"/>
      <c r="AB101" s="32"/>
      <c r="AC101" s="32">
        <f t="shared" si="10"/>
        <v>2</v>
      </c>
      <c r="AD101" s="32"/>
      <c r="AE101" s="36"/>
      <c r="AG101" s="38"/>
    </row>
    <row r="102" spans="1:33" s="37" customFormat="1">
      <c r="A102" s="32">
        <f t="shared" si="7"/>
        <v>85</v>
      </c>
      <c r="B102" s="33"/>
      <c r="C102" s="32" t="s">
        <v>358</v>
      </c>
      <c r="D102" s="32" t="s">
        <v>359</v>
      </c>
      <c r="E102" s="32"/>
      <c r="F102" s="32" t="s">
        <v>63</v>
      </c>
      <c r="G102" s="34" t="s">
        <v>360</v>
      </c>
      <c r="H102" s="32" t="s">
        <v>39</v>
      </c>
      <c r="I102" s="32" t="s">
        <v>136</v>
      </c>
      <c r="J102" s="35" t="s">
        <v>361</v>
      </c>
      <c r="K102" s="32" t="s">
        <v>42</v>
      </c>
      <c r="L102" s="32"/>
      <c r="M102" s="32"/>
      <c r="N102" s="32"/>
      <c r="O102" s="32"/>
      <c r="P102" s="32"/>
      <c r="Q102" s="32"/>
      <c r="R102" s="32"/>
      <c r="S102" s="32" t="s">
        <v>45</v>
      </c>
      <c r="T102" s="32" t="s">
        <v>46</v>
      </c>
      <c r="U102" s="32">
        <v>2</v>
      </c>
      <c r="V102" s="32">
        <v>0</v>
      </c>
      <c r="W102" s="32">
        <v>0</v>
      </c>
      <c r="X102" s="32">
        <v>0</v>
      </c>
      <c r="Y102" s="32"/>
      <c r="Z102" s="32">
        <v>2</v>
      </c>
      <c r="AA102" s="32"/>
      <c r="AB102" s="32"/>
      <c r="AC102" s="32">
        <f t="shared" ref="AC102:AC183" si="12">SUM(U102:AB102)</f>
        <v>4</v>
      </c>
      <c r="AD102" s="32"/>
      <c r="AE102" s="36"/>
      <c r="AG102" s="38"/>
    </row>
    <row r="103" spans="1:33" s="23" customFormat="1">
      <c r="A103" s="18">
        <f t="shared" si="7"/>
        <v>86</v>
      </c>
      <c r="B103" s="19"/>
      <c r="C103" s="18" t="s">
        <v>358</v>
      </c>
      <c r="D103" s="18" t="s">
        <v>362</v>
      </c>
      <c r="E103" s="18"/>
      <c r="F103" s="18" t="s">
        <v>48</v>
      </c>
      <c r="G103" s="20" t="s">
        <v>363</v>
      </c>
      <c r="H103" s="18" t="s">
        <v>39</v>
      </c>
      <c r="I103" s="18" t="s">
        <v>136</v>
      </c>
      <c r="J103" s="21" t="s">
        <v>364</v>
      </c>
      <c r="K103" s="18" t="s">
        <v>42</v>
      </c>
      <c r="L103" s="18">
        <v>400</v>
      </c>
      <c r="M103" s="18"/>
      <c r="N103" s="18" t="s">
        <v>93</v>
      </c>
      <c r="O103" s="18" t="s">
        <v>365</v>
      </c>
      <c r="P103" s="18">
        <v>2024</v>
      </c>
      <c r="Q103" s="18"/>
      <c r="R103" s="18">
        <f>IF(H103="CANTOL",2,4)</f>
        <v>4</v>
      </c>
      <c r="S103" s="18" t="s">
        <v>268</v>
      </c>
      <c r="T103" s="18" t="s">
        <v>351</v>
      </c>
      <c r="U103" s="18">
        <v>2</v>
      </c>
      <c r="V103" s="18">
        <v>1</v>
      </c>
      <c r="W103" s="18">
        <v>0</v>
      </c>
      <c r="X103" s="18">
        <v>0</v>
      </c>
      <c r="Y103" s="18"/>
      <c r="Z103" s="18">
        <v>0</v>
      </c>
      <c r="AA103" s="18"/>
      <c r="AB103" s="18"/>
      <c r="AC103" s="18">
        <f t="shared" si="12"/>
        <v>3</v>
      </c>
      <c r="AD103" s="18"/>
      <c r="AE103" s="22"/>
      <c r="AG103" s="24"/>
    </row>
    <row r="104" spans="1:33" s="37" customFormat="1">
      <c r="A104" s="32">
        <f t="shared" si="7"/>
        <v>87</v>
      </c>
      <c r="B104" s="33"/>
      <c r="C104" s="32" t="s">
        <v>358</v>
      </c>
      <c r="D104" s="32" t="s">
        <v>366</v>
      </c>
      <c r="E104" s="32"/>
      <c r="F104" s="32" t="s">
        <v>63</v>
      </c>
      <c r="G104" s="34" t="s">
        <v>367</v>
      </c>
      <c r="H104" s="32" t="s">
        <v>39</v>
      </c>
      <c r="I104" s="32" t="s">
        <v>50</v>
      </c>
      <c r="J104" s="35" t="s">
        <v>368</v>
      </c>
      <c r="K104" s="32" t="s">
        <v>42</v>
      </c>
      <c r="L104" s="32"/>
      <c r="M104" s="32"/>
      <c r="N104" s="32"/>
      <c r="O104" s="32"/>
      <c r="P104" s="32"/>
      <c r="Q104" s="32"/>
      <c r="R104" s="32"/>
      <c r="S104" s="32" t="s">
        <v>45</v>
      </c>
      <c r="T104" s="32" t="s">
        <v>46</v>
      </c>
      <c r="U104" s="32">
        <v>2</v>
      </c>
      <c r="V104" s="32">
        <v>0</v>
      </c>
      <c r="W104" s="32">
        <v>1</v>
      </c>
      <c r="X104" s="32">
        <v>1</v>
      </c>
      <c r="Y104" s="32"/>
      <c r="Z104" s="32">
        <v>0</v>
      </c>
      <c r="AA104" s="32"/>
      <c r="AB104" s="32"/>
      <c r="AC104" s="32">
        <f t="shared" si="12"/>
        <v>4</v>
      </c>
      <c r="AD104" s="32"/>
      <c r="AE104" s="36"/>
      <c r="AG104" s="38"/>
    </row>
    <row r="105" spans="1:33" s="37" customFormat="1" ht="15.75" customHeight="1">
      <c r="A105" s="32">
        <f t="shared" si="7"/>
        <v>88</v>
      </c>
      <c r="B105" s="33"/>
      <c r="C105" s="32" t="s">
        <v>358</v>
      </c>
      <c r="D105" s="32" t="s">
        <v>369</v>
      </c>
      <c r="E105" s="32"/>
      <c r="F105" s="32" t="s">
        <v>63</v>
      </c>
      <c r="G105" s="34" t="s">
        <v>370</v>
      </c>
      <c r="H105" s="32" t="s">
        <v>39</v>
      </c>
      <c r="I105" s="32" t="s">
        <v>136</v>
      </c>
      <c r="J105" s="35" t="s">
        <v>371</v>
      </c>
      <c r="K105" s="32" t="s">
        <v>175</v>
      </c>
      <c r="L105" s="32"/>
      <c r="M105" s="32"/>
      <c r="N105" s="32"/>
      <c r="O105" s="32"/>
      <c r="P105" s="32"/>
      <c r="Q105" s="32"/>
      <c r="R105" s="32"/>
      <c r="S105" s="32" t="s">
        <v>45</v>
      </c>
      <c r="T105" s="32" t="s">
        <v>46</v>
      </c>
      <c r="U105" s="32">
        <v>2</v>
      </c>
      <c r="V105" s="32">
        <v>0</v>
      </c>
      <c r="W105" s="32">
        <v>0</v>
      </c>
      <c r="X105" s="32">
        <v>0</v>
      </c>
      <c r="Y105" s="32"/>
      <c r="Z105" s="32">
        <v>0</v>
      </c>
      <c r="AA105" s="32"/>
      <c r="AB105" s="32"/>
      <c r="AC105" s="32">
        <f t="shared" si="12"/>
        <v>2</v>
      </c>
      <c r="AD105" s="32"/>
      <c r="AE105" s="36"/>
      <c r="AG105" s="38"/>
    </row>
    <row r="106" spans="1:33" s="14" customFormat="1">
      <c r="A106" s="10">
        <f t="shared" si="7"/>
        <v>89</v>
      </c>
      <c r="B106" s="11"/>
      <c r="C106" s="10" t="s">
        <v>358</v>
      </c>
      <c r="D106" s="10" t="s">
        <v>372</v>
      </c>
      <c r="E106" s="10"/>
      <c r="F106" s="10" t="s">
        <v>37</v>
      </c>
      <c r="G106" s="12" t="s">
        <v>373</v>
      </c>
      <c r="H106" s="10" t="s">
        <v>39</v>
      </c>
      <c r="I106" s="10" t="s">
        <v>40</v>
      </c>
      <c r="J106" s="13" t="s">
        <v>374</v>
      </c>
      <c r="K106" s="10" t="s">
        <v>175</v>
      </c>
      <c r="L106" s="10">
        <v>160</v>
      </c>
      <c r="M106" s="10"/>
      <c r="N106" s="10" t="s">
        <v>43</v>
      </c>
      <c r="O106" s="10">
        <v>19952</v>
      </c>
      <c r="P106" s="10"/>
      <c r="Q106" s="10"/>
      <c r="R106" s="10">
        <v>2</v>
      </c>
      <c r="S106" s="10" t="s">
        <v>45</v>
      </c>
      <c r="T106" s="10" t="s">
        <v>46</v>
      </c>
      <c r="U106" s="10">
        <v>2</v>
      </c>
      <c r="V106" s="10">
        <v>1</v>
      </c>
      <c r="W106" s="10">
        <v>0</v>
      </c>
      <c r="X106" s="10">
        <v>0</v>
      </c>
      <c r="Y106" s="10"/>
      <c r="Z106" s="10">
        <v>0</v>
      </c>
      <c r="AA106" s="10"/>
      <c r="AB106" s="10"/>
      <c r="AC106" s="10">
        <f t="shared" si="12"/>
        <v>3</v>
      </c>
      <c r="AD106" s="10"/>
      <c r="AE106" s="16"/>
      <c r="AG106" s="17"/>
    </row>
    <row r="107" spans="1:33" s="37" customFormat="1">
      <c r="A107" s="32">
        <f t="shared" si="7"/>
        <v>90</v>
      </c>
      <c r="B107" s="33"/>
      <c r="C107" s="32" t="s">
        <v>317</v>
      </c>
      <c r="D107" s="32" t="s">
        <v>375</v>
      </c>
      <c r="E107" s="32"/>
      <c r="F107" s="32" t="s">
        <v>63</v>
      </c>
      <c r="G107" s="34"/>
      <c r="H107" s="32" t="s">
        <v>39</v>
      </c>
      <c r="I107" s="32" t="s">
        <v>40</v>
      </c>
      <c r="J107" s="32" t="s">
        <v>376</v>
      </c>
      <c r="K107" s="32" t="s">
        <v>42</v>
      </c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6"/>
      <c r="AG107" s="38"/>
    </row>
    <row r="108" spans="1:33" s="37" customFormat="1">
      <c r="A108" s="32">
        <f t="shared" si="7"/>
        <v>91</v>
      </c>
      <c r="B108" s="33"/>
      <c r="C108" s="32" t="s">
        <v>317</v>
      </c>
      <c r="D108" s="32" t="s">
        <v>377</v>
      </c>
      <c r="E108" s="32"/>
      <c r="F108" s="32" t="s">
        <v>63</v>
      </c>
      <c r="G108" s="34"/>
      <c r="H108" s="32" t="s">
        <v>39</v>
      </c>
      <c r="I108" s="32" t="s">
        <v>40</v>
      </c>
      <c r="J108" s="32"/>
      <c r="K108" s="32" t="s">
        <v>42</v>
      </c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6"/>
      <c r="AG108" s="38"/>
    </row>
    <row r="109" spans="1:33" s="37" customFormat="1">
      <c r="A109" s="32">
        <f t="shared" si="7"/>
        <v>92</v>
      </c>
      <c r="B109" s="33"/>
      <c r="C109" s="32" t="s">
        <v>300</v>
      </c>
      <c r="D109" s="32" t="s">
        <v>378</v>
      </c>
      <c r="E109" s="32"/>
      <c r="F109" s="32" t="s">
        <v>63</v>
      </c>
      <c r="G109" s="34" t="s">
        <v>379</v>
      </c>
      <c r="H109" s="32" t="s">
        <v>39</v>
      </c>
      <c r="I109" s="32" t="s">
        <v>40</v>
      </c>
      <c r="J109" s="35" t="s">
        <v>380</v>
      </c>
      <c r="K109" s="32" t="s">
        <v>42</v>
      </c>
      <c r="L109" s="32"/>
      <c r="M109" s="32"/>
      <c r="N109" s="32"/>
      <c r="O109" s="32"/>
      <c r="P109" s="32"/>
      <c r="Q109" s="32"/>
      <c r="R109" s="32"/>
      <c r="S109" s="32" t="s">
        <v>381</v>
      </c>
      <c r="T109" s="32"/>
      <c r="U109" s="32">
        <v>2</v>
      </c>
      <c r="V109" s="32">
        <v>1</v>
      </c>
      <c r="W109" s="32"/>
      <c r="X109" s="32"/>
      <c r="Y109" s="32"/>
      <c r="Z109" s="32"/>
      <c r="AA109" s="32"/>
      <c r="AB109" s="32"/>
      <c r="AC109" s="32">
        <f t="shared" si="12"/>
        <v>3</v>
      </c>
      <c r="AD109" s="32"/>
      <c r="AE109" s="36"/>
      <c r="AG109" s="38"/>
    </row>
    <row r="110" spans="1:33" s="37" customFormat="1">
      <c r="A110" s="32">
        <f t="shared" si="7"/>
        <v>93</v>
      </c>
      <c r="B110" s="33"/>
      <c r="C110" s="32" t="s">
        <v>300</v>
      </c>
      <c r="D110" s="32" t="s">
        <v>382</v>
      </c>
      <c r="E110" s="32"/>
      <c r="F110" s="32" t="s">
        <v>63</v>
      </c>
      <c r="G110" s="34" t="s">
        <v>383</v>
      </c>
      <c r="H110" s="32" t="s">
        <v>39</v>
      </c>
      <c r="I110" s="32" t="s">
        <v>40</v>
      </c>
      <c r="J110" s="36">
        <v>1162</v>
      </c>
      <c r="K110" s="32" t="s">
        <v>42</v>
      </c>
      <c r="L110" s="32"/>
      <c r="M110" s="32">
        <v>1250</v>
      </c>
      <c r="N110" s="32"/>
      <c r="O110" s="32"/>
      <c r="P110" s="32"/>
      <c r="Q110" s="32"/>
      <c r="R110" s="32"/>
      <c r="S110" s="32" t="s">
        <v>45</v>
      </c>
      <c r="T110" s="32" t="s">
        <v>46</v>
      </c>
      <c r="U110" s="32">
        <v>2</v>
      </c>
      <c r="V110" s="32">
        <v>1</v>
      </c>
      <c r="W110" s="32"/>
      <c r="X110" s="32"/>
      <c r="Y110" s="32"/>
      <c r="Z110" s="32"/>
      <c r="AA110" s="32"/>
      <c r="AB110" s="32"/>
      <c r="AC110" s="32">
        <f t="shared" si="12"/>
        <v>3</v>
      </c>
      <c r="AD110" s="32"/>
      <c r="AE110" s="36"/>
      <c r="AG110" s="38"/>
    </row>
    <row r="111" spans="1:33" s="37" customFormat="1">
      <c r="A111" s="32">
        <f t="shared" si="7"/>
        <v>94</v>
      </c>
      <c r="B111" s="33"/>
      <c r="C111" s="32" t="s">
        <v>300</v>
      </c>
      <c r="D111" s="32" t="s">
        <v>384</v>
      </c>
      <c r="E111" s="32"/>
      <c r="F111" s="32" t="s">
        <v>63</v>
      </c>
      <c r="G111" s="34" t="s">
        <v>385</v>
      </c>
      <c r="H111" s="32" t="s">
        <v>39</v>
      </c>
      <c r="I111" s="32" t="s">
        <v>40</v>
      </c>
      <c r="J111" s="36">
        <v>1079</v>
      </c>
      <c r="K111" s="32" t="s">
        <v>42</v>
      </c>
      <c r="L111" s="32"/>
      <c r="M111" s="32"/>
      <c r="N111" s="32"/>
      <c r="O111" s="32"/>
      <c r="P111" s="32"/>
      <c r="Q111" s="32"/>
      <c r="R111" s="32"/>
      <c r="S111" s="32" t="s">
        <v>88</v>
      </c>
      <c r="T111" s="32" t="s">
        <v>89</v>
      </c>
      <c r="U111" s="32">
        <v>2</v>
      </c>
      <c r="V111" s="32">
        <v>1</v>
      </c>
      <c r="W111" s="32"/>
      <c r="X111" s="32"/>
      <c r="Y111" s="32"/>
      <c r="Z111" s="32"/>
      <c r="AA111" s="32"/>
      <c r="AB111" s="32"/>
      <c r="AC111" s="32">
        <f t="shared" si="12"/>
        <v>3</v>
      </c>
      <c r="AD111" s="32"/>
      <c r="AE111" s="36"/>
      <c r="AG111" s="38"/>
    </row>
    <row r="112" spans="1:33" s="14" customFormat="1">
      <c r="A112" s="10">
        <f t="shared" si="7"/>
        <v>95</v>
      </c>
      <c r="B112" s="11"/>
      <c r="C112" s="10" t="s">
        <v>358</v>
      </c>
      <c r="D112" s="10" t="s">
        <v>386</v>
      </c>
      <c r="E112" s="10"/>
      <c r="F112" s="10" t="s">
        <v>37</v>
      </c>
      <c r="G112" s="12" t="s">
        <v>387</v>
      </c>
      <c r="H112" s="10" t="s">
        <v>39</v>
      </c>
      <c r="I112" s="10" t="s">
        <v>40</v>
      </c>
      <c r="J112" s="13" t="s">
        <v>388</v>
      </c>
      <c r="K112" s="10" t="s">
        <v>42</v>
      </c>
      <c r="L112" s="10">
        <v>400</v>
      </c>
      <c r="M112" s="10"/>
      <c r="N112" s="10" t="s">
        <v>59</v>
      </c>
      <c r="O112" s="10" t="s">
        <v>389</v>
      </c>
      <c r="P112" s="10">
        <v>1983</v>
      </c>
      <c r="Q112" s="10"/>
      <c r="R112" s="10">
        <v>4</v>
      </c>
      <c r="S112" s="10" t="s">
        <v>45</v>
      </c>
      <c r="T112" s="10" t="s">
        <v>46</v>
      </c>
      <c r="U112" s="10">
        <v>2</v>
      </c>
      <c r="V112" s="10">
        <v>1</v>
      </c>
      <c r="W112" s="10">
        <v>0</v>
      </c>
      <c r="X112" s="10">
        <v>0</v>
      </c>
      <c r="Y112" s="10"/>
      <c r="Z112" s="10">
        <v>0</v>
      </c>
      <c r="AA112" s="10"/>
      <c r="AB112" s="10"/>
      <c r="AC112" s="10">
        <f t="shared" si="12"/>
        <v>3</v>
      </c>
      <c r="AD112" s="10"/>
      <c r="AE112" s="16"/>
      <c r="AG112" s="17"/>
    </row>
    <row r="113" spans="1:33" s="37" customFormat="1" ht="15" customHeight="1">
      <c r="A113" s="79">
        <f t="shared" si="7"/>
        <v>96</v>
      </c>
      <c r="B113" s="80"/>
      <c r="C113" s="79" t="s">
        <v>358</v>
      </c>
      <c r="D113" s="79" t="s">
        <v>390</v>
      </c>
      <c r="E113" s="79"/>
      <c r="F113" s="79" t="s">
        <v>63</v>
      </c>
      <c r="G113" s="81" t="s">
        <v>391</v>
      </c>
      <c r="H113" s="79" t="s">
        <v>39</v>
      </c>
      <c r="I113" s="79" t="s">
        <v>136</v>
      </c>
      <c r="J113" s="86" t="s">
        <v>392</v>
      </c>
      <c r="K113" s="79" t="s">
        <v>42</v>
      </c>
      <c r="L113" s="32"/>
      <c r="M113" s="32"/>
      <c r="N113" s="32"/>
      <c r="O113" s="32"/>
      <c r="P113" s="32"/>
      <c r="Q113" s="32"/>
      <c r="R113" s="32"/>
      <c r="S113" s="32" t="s">
        <v>45</v>
      </c>
      <c r="T113" s="32" t="s">
        <v>46</v>
      </c>
      <c r="U113" s="32">
        <v>6</v>
      </c>
      <c r="V113" s="32">
        <v>0</v>
      </c>
      <c r="W113" s="32">
        <v>0</v>
      </c>
      <c r="X113" s="32">
        <v>0</v>
      </c>
      <c r="Y113" s="32"/>
      <c r="Z113" s="32">
        <v>0</v>
      </c>
      <c r="AA113" s="32"/>
      <c r="AB113" s="32"/>
      <c r="AC113" s="32">
        <f t="shared" si="12"/>
        <v>6</v>
      </c>
      <c r="AD113" s="32"/>
      <c r="AE113" s="36"/>
      <c r="AG113" s="38"/>
    </row>
    <row r="114" spans="1:33" s="14" customFormat="1">
      <c r="A114" s="10">
        <f t="shared" si="7"/>
        <v>97</v>
      </c>
      <c r="B114" s="87"/>
      <c r="C114" s="10" t="s">
        <v>393</v>
      </c>
      <c r="D114" s="10" t="s">
        <v>394</v>
      </c>
      <c r="E114" s="10"/>
      <c r="F114" s="10" t="s">
        <v>37</v>
      </c>
      <c r="G114" s="12" t="s">
        <v>395</v>
      </c>
      <c r="H114" s="26" t="s">
        <v>39</v>
      </c>
      <c r="I114" s="10" t="s">
        <v>40</v>
      </c>
      <c r="J114" s="10"/>
      <c r="K114" s="10" t="s">
        <v>42</v>
      </c>
      <c r="L114" s="10">
        <v>400</v>
      </c>
      <c r="M114" s="10"/>
      <c r="N114" s="10" t="s">
        <v>396</v>
      </c>
      <c r="O114" s="10" t="s">
        <v>397</v>
      </c>
      <c r="P114" s="10">
        <v>2021</v>
      </c>
      <c r="Q114" s="10">
        <v>1</v>
      </c>
      <c r="R114" s="10">
        <v>4</v>
      </c>
      <c r="S114" s="10" t="s">
        <v>133</v>
      </c>
      <c r="T114" s="10" t="s">
        <v>133</v>
      </c>
      <c r="U114" s="10">
        <v>2</v>
      </c>
      <c r="V114" s="10">
        <v>1</v>
      </c>
      <c r="W114" s="10">
        <v>0</v>
      </c>
      <c r="X114" s="10">
        <v>0</v>
      </c>
      <c r="Y114" s="10"/>
      <c r="Z114" s="10">
        <v>0</v>
      </c>
      <c r="AA114" s="10"/>
      <c r="AB114" s="10"/>
      <c r="AC114" s="10">
        <f t="shared" si="12"/>
        <v>3</v>
      </c>
      <c r="AD114" s="10"/>
      <c r="AE114" s="16"/>
      <c r="AG114" s="17"/>
    </row>
    <row r="115" spans="1:33" s="14" customFormat="1">
      <c r="A115" s="26">
        <f t="shared" si="7"/>
        <v>98</v>
      </c>
      <c r="B115" s="11" t="s">
        <v>124</v>
      </c>
      <c r="C115" s="10" t="s">
        <v>398</v>
      </c>
      <c r="D115" s="10" t="s">
        <v>399</v>
      </c>
      <c r="E115" s="10"/>
      <c r="F115" s="10" t="s">
        <v>37</v>
      </c>
      <c r="G115" s="12" t="s">
        <v>400</v>
      </c>
      <c r="H115" s="26" t="s">
        <v>39</v>
      </c>
      <c r="I115" s="10" t="s">
        <v>40</v>
      </c>
      <c r="J115" s="10"/>
      <c r="K115" s="10" t="s">
        <v>42</v>
      </c>
      <c r="L115" s="10">
        <v>250</v>
      </c>
      <c r="M115" s="10"/>
      <c r="N115" s="10" t="s">
        <v>59</v>
      </c>
      <c r="O115" s="10">
        <v>223302035</v>
      </c>
      <c r="P115" s="10">
        <v>2021</v>
      </c>
      <c r="Q115" s="10">
        <v>1</v>
      </c>
      <c r="R115" s="10">
        <v>3</v>
      </c>
      <c r="S115" s="10" t="s">
        <v>88</v>
      </c>
      <c r="T115" s="10" t="s">
        <v>89</v>
      </c>
      <c r="U115" s="10">
        <v>2</v>
      </c>
      <c r="V115" s="10">
        <v>1</v>
      </c>
      <c r="W115" s="10"/>
      <c r="X115" s="10"/>
      <c r="Y115" s="10"/>
      <c r="Z115" s="10"/>
      <c r="AA115" s="10"/>
      <c r="AB115" s="10"/>
      <c r="AC115" s="10"/>
      <c r="AD115" s="10"/>
      <c r="AE115" s="16"/>
      <c r="AG115" s="17"/>
    </row>
    <row r="116" spans="1:33" s="14" customFormat="1">
      <c r="A116" s="26">
        <f t="shared" si="7"/>
        <v>99</v>
      </c>
      <c r="B116" s="11" t="s">
        <v>124</v>
      </c>
      <c r="C116" s="10" t="s">
        <v>398</v>
      </c>
      <c r="D116" s="10" t="s">
        <v>401</v>
      </c>
      <c r="E116" s="10"/>
      <c r="F116" s="10" t="s">
        <v>48</v>
      </c>
      <c r="G116" s="12" t="s">
        <v>402</v>
      </c>
      <c r="H116" s="10" t="s">
        <v>39</v>
      </c>
      <c r="I116" s="10" t="s">
        <v>403</v>
      </c>
      <c r="J116" s="16">
        <v>1008</v>
      </c>
      <c r="K116" s="10" t="s">
        <v>42</v>
      </c>
      <c r="L116" s="10">
        <v>630</v>
      </c>
      <c r="M116" s="10"/>
      <c r="N116" s="10" t="s">
        <v>59</v>
      </c>
      <c r="O116" s="10" t="s">
        <v>404</v>
      </c>
      <c r="P116" s="10" t="s">
        <v>405</v>
      </c>
      <c r="Q116" s="10"/>
      <c r="R116" s="10"/>
      <c r="S116" s="10" t="s">
        <v>45</v>
      </c>
      <c r="T116" s="10" t="s">
        <v>89</v>
      </c>
      <c r="U116" s="10">
        <v>2</v>
      </c>
      <c r="V116" s="10">
        <v>1</v>
      </c>
      <c r="W116" s="10">
        <v>0</v>
      </c>
      <c r="X116" s="10">
        <v>0</v>
      </c>
      <c r="Y116" s="10"/>
      <c r="Z116" s="10">
        <v>0</v>
      </c>
      <c r="AA116" s="10"/>
      <c r="AB116" s="10"/>
      <c r="AC116" s="10">
        <f t="shared" si="12"/>
        <v>3</v>
      </c>
      <c r="AD116" s="10"/>
      <c r="AE116" s="16"/>
      <c r="AG116" s="17"/>
    </row>
    <row r="117" spans="1:33" s="37" customFormat="1">
      <c r="A117" s="32">
        <f t="shared" si="7"/>
        <v>100</v>
      </c>
      <c r="B117" s="33" t="s">
        <v>124</v>
      </c>
      <c r="C117" s="32" t="s">
        <v>398</v>
      </c>
      <c r="D117" s="32" t="s">
        <v>406</v>
      </c>
      <c r="E117" s="32"/>
      <c r="F117" s="32" t="s">
        <v>63</v>
      </c>
      <c r="G117" s="34" t="s">
        <v>407</v>
      </c>
      <c r="H117" s="32" t="s">
        <v>39</v>
      </c>
      <c r="I117" s="32" t="s">
        <v>403</v>
      </c>
      <c r="J117" s="35" t="s">
        <v>408</v>
      </c>
      <c r="K117" s="32" t="s">
        <v>42</v>
      </c>
      <c r="L117" s="32"/>
      <c r="M117" s="32"/>
      <c r="N117" s="32"/>
      <c r="O117" s="32"/>
      <c r="P117" s="32"/>
      <c r="Q117" s="32"/>
      <c r="R117" s="32"/>
      <c r="S117" s="32" t="s">
        <v>45</v>
      </c>
      <c r="T117" s="32" t="s">
        <v>89</v>
      </c>
      <c r="U117" s="32">
        <v>2</v>
      </c>
      <c r="V117" s="32">
        <v>0</v>
      </c>
      <c r="W117" s="32">
        <v>0</v>
      </c>
      <c r="X117" s="32">
        <v>0</v>
      </c>
      <c r="Y117" s="32"/>
      <c r="Z117" s="32">
        <v>0</v>
      </c>
      <c r="AA117" s="32"/>
      <c r="AB117" s="32"/>
      <c r="AC117" s="32">
        <f t="shared" si="12"/>
        <v>2</v>
      </c>
      <c r="AD117" s="32"/>
      <c r="AE117" s="36"/>
      <c r="AG117" s="38"/>
    </row>
    <row r="118" spans="1:33" s="14" customFormat="1">
      <c r="A118" s="10">
        <f t="shared" si="7"/>
        <v>101</v>
      </c>
      <c r="B118" s="11" t="s">
        <v>124</v>
      </c>
      <c r="C118" s="10" t="s">
        <v>398</v>
      </c>
      <c r="D118" s="10" t="s">
        <v>409</v>
      </c>
      <c r="E118" s="10"/>
      <c r="F118" s="10" t="s">
        <v>37</v>
      </c>
      <c r="G118" s="12" t="s">
        <v>410</v>
      </c>
      <c r="H118" s="10" t="s">
        <v>39</v>
      </c>
      <c r="I118" s="10" t="s">
        <v>403</v>
      </c>
      <c r="J118" s="13" t="s">
        <v>411</v>
      </c>
      <c r="K118" s="10" t="s">
        <v>42</v>
      </c>
      <c r="L118" s="10">
        <v>630</v>
      </c>
      <c r="M118" s="10"/>
      <c r="N118" s="10" t="s">
        <v>43</v>
      </c>
      <c r="O118" s="10"/>
      <c r="P118" s="10">
        <v>1977</v>
      </c>
      <c r="Q118" s="10"/>
      <c r="R118" s="10">
        <v>13</v>
      </c>
      <c r="S118" s="10" t="s">
        <v>45</v>
      </c>
      <c r="T118" s="10" t="s">
        <v>89</v>
      </c>
      <c r="U118" s="10">
        <v>3</v>
      </c>
      <c r="V118" s="10">
        <v>1</v>
      </c>
      <c r="W118" s="10">
        <v>0</v>
      </c>
      <c r="X118" s="10">
        <v>0</v>
      </c>
      <c r="Y118" s="10"/>
      <c r="Z118" s="10">
        <v>0</v>
      </c>
      <c r="AA118" s="10"/>
      <c r="AB118" s="10"/>
      <c r="AC118" s="10">
        <f t="shared" si="12"/>
        <v>4</v>
      </c>
      <c r="AD118" s="10"/>
      <c r="AE118" s="16"/>
      <c r="AG118" s="17"/>
    </row>
    <row r="119" spans="1:33" s="37" customFormat="1">
      <c r="A119" s="32">
        <f t="shared" si="7"/>
        <v>102</v>
      </c>
      <c r="B119" s="33" t="s">
        <v>124</v>
      </c>
      <c r="C119" s="32" t="s">
        <v>398</v>
      </c>
      <c r="D119" s="32" t="s">
        <v>412</v>
      </c>
      <c r="E119" s="32"/>
      <c r="F119" s="32" t="s">
        <v>63</v>
      </c>
      <c r="G119" s="34" t="s">
        <v>413</v>
      </c>
      <c r="H119" s="32" t="s">
        <v>39</v>
      </c>
      <c r="I119" s="32" t="s">
        <v>403</v>
      </c>
      <c r="J119" s="35" t="s">
        <v>414</v>
      </c>
      <c r="K119" s="32" t="s">
        <v>42</v>
      </c>
      <c r="L119" s="32"/>
      <c r="M119" s="32"/>
      <c r="N119" s="32"/>
      <c r="O119" s="32"/>
      <c r="P119" s="32"/>
      <c r="Q119" s="32"/>
      <c r="R119" s="32"/>
      <c r="S119" s="32" t="s">
        <v>45</v>
      </c>
      <c r="T119" s="32" t="s">
        <v>89</v>
      </c>
      <c r="U119" s="32">
        <v>2</v>
      </c>
      <c r="V119" s="32">
        <v>0</v>
      </c>
      <c r="W119" s="32">
        <v>0</v>
      </c>
      <c r="X119" s="32">
        <v>0</v>
      </c>
      <c r="Y119" s="32"/>
      <c r="Z119" s="32">
        <v>0</v>
      </c>
      <c r="AA119" s="32"/>
      <c r="AB119" s="32"/>
      <c r="AC119" s="32">
        <f t="shared" si="12"/>
        <v>2</v>
      </c>
      <c r="AD119" s="32"/>
      <c r="AE119" s="36"/>
      <c r="AG119" s="38"/>
    </row>
    <row r="120" spans="1:33" s="14" customFormat="1">
      <c r="A120" s="10">
        <f t="shared" si="7"/>
        <v>103</v>
      </c>
      <c r="B120" s="11" t="s">
        <v>124</v>
      </c>
      <c r="C120" s="10" t="s">
        <v>398</v>
      </c>
      <c r="D120" s="10" t="s">
        <v>415</v>
      </c>
      <c r="E120" s="10"/>
      <c r="F120" s="10" t="s">
        <v>63</v>
      </c>
      <c r="G120" s="12" t="s">
        <v>416</v>
      </c>
      <c r="H120" s="10" t="s">
        <v>39</v>
      </c>
      <c r="I120" s="10" t="s">
        <v>403</v>
      </c>
      <c r="J120" s="13" t="s">
        <v>417</v>
      </c>
      <c r="K120" s="10" t="s">
        <v>42</v>
      </c>
      <c r="L120" s="10"/>
      <c r="M120" s="10"/>
      <c r="N120" s="10"/>
      <c r="O120" s="10"/>
      <c r="P120" s="10"/>
      <c r="Q120" s="10"/>
      <c r="R120" s="10"/>
      <c r="S120" s="10" t="s">
        <v>45</v>
      </c>
      <c r="T120" s="10" t="s">
        <v>89</v>
      </c>
      <c r="U120" s="10">
        <v>2</v>
      </c>
      <c r="V120" s="10">
        <v>0</v>
      </c>
      <c r="W120" s="10">
        <v>1</v>
      </c>
      <c r="X120" s="10">
        <v>0</v>
      </c>
      <c r="Y120" s="10"/>
      <c r="Z120" s="10">
        <v>0</v>
      </c>
      <c r="AA120" s="10"/>
      <c r="AB120" s="10"/>
      <c r="AC120" s="10">
        <f t="shared" si="12"/>
        <v>3</v>
      </c>
      <c r="AD120" s="10"/>
      <c r="AE120" s="16"/>
      <c r="AG120" s="17"/>
    </row>
    <row r="121" spans="1:33" s="14" customFormat="1">
      <c r="A121" s="10">
        <f t="shared" si="7"/>
        <v>104</v>
      </c>
      <c r="B121" s="11" t="s">
        <v>124</v>
      </c>
      <c r="C121" s="10" t="s">
        <v>398</v>
      </c>
      <c r="D121" s="10" t="s">
        <v>418</v>
      </c>
      <c r="E121" s="10"/>
      <c r="F121" s="10" t="s">
        <v>37</v>
      </c>
      <c r="G121" s="12" t="s">
        <v>419</v>
      </c>
      <c r="H121" s="10" t="s">
        <v>39</v>
      </c>
      <c r="I121" s="10" t="s">
        <v>403</v>
      </c>
      <c r="J121" s="13" t="s">
        <v>420</v>
      </c>
      <c r="K121" s="10" t="s">
        <v>42</v>
      </c>
      <c r="L121" s="10">
        <v>630</v>
      </c>
      <c r="M121" s="10"/>
      <c r="N121" s="10"/>
      <c r="O121" s="10"/>
      <c r="P121" s="10"/>
      <c r="Q121" s="10"/>
      <c r="R121" s="10">
        <f t="shared" ref="R121:R124" si="13">IF(H121="CANTOL",2,4)</f>
        <v>4</v>
      </c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>
        <f t="shared" si="12"/>
        <v>0</v>
      </c>
      <c r="AD121" s="10"/>
      <c r="AE121" s="16"/>
      <c r="AG121" s="17"/>
    </row>
    <row r="122" spans="1:33" s="44" customFormat="1">
      <c r="A122" s="39">
        <f>A120+1</f>
        <v>104</v>
      </c>
      <c r="B122" s="40" t="s">
        <v>124</v>
      </c>
      <c r="C122" s="39" t="s">
        <v>398</v>
      </c>
      <c r="D122" s="39" t="s">
        <v>421</v>
      </c>
      <c r="E122" s="39"/>
      <c r="F122" s="39" t="s">
        <v>48</v>
      </c>
      <c r="G122" s="41" t="s">
        <v>422</v>
      </c>
      <c r="H122" s="39" t="s">
        <v>39</v>
      </c>
      <c r="I122" s="39" t="s">
        <v>403</v>
      </c>
      <c r="J122" s="42" t="s">
        <v>423</v>
      </c>
      <c r="K122" s="39" t="s">
        <v>42</v>
      </c>
      <c r="L122" s="39">
        <v>250</v>
      </c>
      <c r="M122" s="39">
        <v>630</v>
      </c>
      <c r="N122" s="39" t="s">
        <v>424</v>
      </c>
      <c r="O122" s="39" t="s">
        <v>425</v>
      </c>
      <c r="P122" s="39">
        <v>2013</v>
      </c>
      <c r="Q122" s="39"/>
      <c r="R122" s="39">
        <f t="shared" si="13"/>
        <v>4</v>
      </c>
      <c r="S122" s="39" t="s">
        <v>45</v>
      </c>
      <c r="T122" s="39" t="s">
        <v>89</v>
      </c>
      <c r="U122" s="39">
        <v>2</v>
      </c>
      <c r="V122" s="39">
        <v>1</v>
      </c>
      <c r="W122" s="39">
        <v>0</v>
      </c>
      <c r="X122" s="39">
        <v>0</v>
      </c>
      <c r="Y122" s="39"/>
      <c r="Z122" s="39">
        <v>0</v>
      </c>
      <c r="AA122" s="39"/>
      <c r="AB122" s="39"/>
      <c r="AC122" s="39">
        <f t="shared" si="12"/>
        <v>3</v>
      </c>
      <c r="AD122" s="39"/>
      <c r="AE122" s="43"/>
      <c r="AG122" s="45"/>
    </row>
    <row r="123" spans="1:33" s="93" customFormat="1">
      <c r="A123" s="88">
        <f>A121+1</f>
        <v>105</v>
      </c>
      <c r="B123" s="89" t="s">
        <v>124</v>
      </c>
      <c r="C123" s="88" t="s">
        <v>398</v>
      </c>
      <c r="D123" s="88" t="s">
        <v>426</v>
      </c>
      <c r="E123" s="88"/>
      <c r="F123" s="88" t="s">
        <v>63</v>
      </c>
      <c r="G123" s="90" t="s">
        <v>427</v>
      </c>
      <c r="H123" s="88" t="s">
        <v>39</v>
      </c>
      <c r="I123" s="88" t="s">
        <v>40</v>
      </c>
      <c r="J123" s="91"/>
      <c r="K123" s="88" t="s">
        <v>42</v>
      </c>
      <c r="L123" s="88">
        <v>250</v>
      </c>
      <c r="M123" s="88"/>
      <c r="N123" s="88" t="s">
        <v>324</v>
      </c>
      <c r="O123" s="88" t="s">
        <v>428</v>
      </c>
      <c r="P123" s="88">
        <v>2025</v>
      </c>
      <c r="Q123" s="88"/>
      <c r="R123" s="88">
        <v>2</v>
      </c>
      <c r="S123" s="88" t="s">
        <v>88</v>
      </c>
      <c r="T123" s="88" t="s">
        <v>89</v>
      </c>
      <c r="U123" s="88">
        <v>2</v>
      </c>
      <c r="V123" s="88">
        <v>1</v>
      </c>
      <c r="W123" s="88">
        <v>0</v>
      </c>
      <c r="X123" s="88">
        <v>0</v>
      </c>
      <c r="Y123" s="88"/>
      <c r="Z123" s="88">
        <v>0</v>
      </c>
      <c r="AA123" s="88"/>
      <c r="AB123" s="88"/>
      <c r="AC123" s="88">
        <f t="shared" si="12"/>
        <v>3</v>
      </c>
      <c r="AD123" s="88"/>
      <c r="AE123" s="92"/>
      <c r="AG123" s="94"/>
    </row>
    <row r="124" spans="1:33" s="14" customFormat="1">
      <c r="A124" s="10">
        <f t="shared" si="7"/>
        <v>106</v>
      </c>
      <c r="B124" s="11" t="s">
        <v>124</v>
      </c>
      <c r="C124" s="10" t="s">
        <v>398</v>
      </c>
      <c r="D124" s="10" t="s">
        <v>429</v>
      </c>
      <c r="E124" s="10"/>
      <c r="F124" s="10" t="s">
        <v>37</v>
      </c>
      <c r="G124" s="12" t="s">
        <v>430</v>
      </c>
      <c r="H124" s="10" t="s">
        <v>39</v>
      </c>
      <c r="I124" s="10" t="s">
        <v>403</v>
      </c>
      <c r="J124" s="10" t="s">
        <v>431</v>
      </c>
      <c r="K124" s="10" t="s">
        <v>42</v>
      </c>
      <c r="L124" s="10" t="s">
        <v>345</v>
      </c>
      <c r="M124" s="10"/>
      <c r="N124" s="10" t="s">
        <v>59</v>
      </c>
      <c r="O124" s="10" t="s">
        <v>432</v>
      </c>
      <c r="P124" s="10" t="s">
        <v>255</v>
      </c>
      <c r="Q124" s="10"/>
      <c r="R124" s="10">
        <f t="shared" si="13"/>
        <v>4</v>
      </c>
      <c r="S124" s="10" t="s">
        <v>88</v>
      </c>
      <c r="T124" s="10" t="s">
        <v>89</v>
      </c>
      <c r="U124" s="10">
        <v>2</v>
      </c>
      <c r="V124" s="10">
        <v>0</v>
      </c>
      <c r="W124" s="10">
        <v>1</v>
      </c>
      <c r="X124" s="10">
        <v>0</v>
      </c>
      <c r="Y124" s="10"/>
      <c r="Z124" s="10">
        <v>0</v>
      </c>
      <c r="AA124" s="10"/>
      <c r="AB124" s="10"/>
      <c r="AC124" s="10">
        <f t="shared" si="12"/>
        <v>3</v>
      </c>
      <c r="AD124" s="10"/>
      <c r="AE124" s="16"/>
      <c r="AG124" s="17"/>
    </row>
    <row r="125" spans="1:33" s="14" customFormat="1">
      <c r="A125" s="10">
        <f t="shared" si="7"/>
        <v>107</v>
      </c>
      <c r="B125" s="11" t="s">
        <v>124</v>
      </c>
      <c r="C125" s="10" t="s">
        <v>398</v>
      </c>
      <c r="D125" s="10" t="s">
        <v>433</v>
      </c>
      <c r="E125" s="10"/>
      <c r="F125" s="10" t="s">
        <v>37</v>
      </c>
      <c r="G125" s="12" t="s">
        <v>434</v>
      </c>
      <c r="H125" s="10" t="s">
        <v>39</v>
      </c>
      <c r="I125" s="10" t="s">
        <v>403</v>
      </c>
      <c r="J125" s="13" t="s">
        <v>435</v>
      </c>
      <c r="K125" s="10" t="s">
        <v>42</v>
      </c>
      <c r="L125" s="10">
        <v>630</v>
      </c>
      <c r="M125" s="10"/>
      <c r="N125" s="10" t="s">
        <v>43</v>
      </c>
      <c r="O125" s="10"/>
      <c r="P125" s="10"/>
      <c r="Q125" s="10"/>
      <c r="R125" s="10">
        <v>8</v>
      </c>
      <c r="S125" s="10" t="s">
        <v>45</v>
      </c>
      <c r="T125" s="10" t="s">
        <v>89</v>
      </c>
      <c r="U125" s="10">
        <v>2</v>
      </c>
      <c r="V125" s="10">
        <v>1</v>
      </c>
      <c r="W125" s="10">
        <v>0</v>
      </c>
      <c r="X125" s="10">
        <v>0</v>
      </c>
      <c r="Y125" s="10"/>
      <c r="Z125" s="10">
        <v>0</v>
      </c>
      <c r="AA125" s="10"/>
      <c r="AB125" s="10"/>
      <c r="AC125" s="10">
        <f t="shared" si="12"/>
        <v>3</v>
      </c>
      <c r="AD125" s="10"/>
      <c r="AE125" s="16"/>
      <c r="AG125" s="17"/>
    </row>
    <row r="126" spans="1:33" s="14" customFormat="1">
      <c r="A126" s="10">
        <f t="shared" si="7"/>
        <v>108</v>
      </c>
      <c r="B126" s="11" t="s">
        <v>124</v>
      </c>
      <c r="C126" s="10" t="s">
        <v>436</v>
      </c>
      <c r="D126" s="10" t="s">
        <v>437</v>
      </c>
      <c r="E126" s="10"/>
      <c r="F126" s="10" t="s">
        <v>37</v>
      </c>
      <c r="G126" s="12" t="s">
        <v>438</v>
      </c>
      <c r="H126" s="10" t="s">
        <v>39</v>
      </c>
      <c r="I126" s="10" t="s">
        <v>403</v>
      </c>
      <c r="J126" s="13" t="s">
        <v>439</v>
      </c>
      <c r="K126" s="10" t="s">
        <v>42</v>
      </c>
      <c r="L126" s="10">
        <v>630</v>
      </c>
      <c r="M126" s="10"/>
      <c r="N126" s="10" t="s">
        <v>43</v>
      </c>
      <c r="O126" s="10"/>
      <c r="P126" s="10"/>
      <c r="Q126" s="10"/>
      <c r="R126" s="10">
        <v>6</v>
      </c>
      <c r="S126" s="10" t="s">
        <v>45</v>
      </c>
      <c r="T126" s="10" t="s">
        <v>89</v>
      </c>
      <c r="U126" s="10">
        <v>2</v>
      </c>
      <c r="V126" s="10">
        <v>2</v>
      </c>
      <c r="W126" s="10">
        <v>0</v>
      </c>
      <c r="X126" s="10">
        <v>0</v>
      </c>
      <c r="Y126" s="10"/>
      <c r="Z126" s="10">
        <v>0</v>
      </c>
      <c r="AA126" s="10"/>
      <c r="AB126" s="10"/>
      <c r="AC126" s="10">
        <f t="shared" si="12"/>
        <v>4</v>
      </c>
      <c r="AD126" s="10"/>
      <c r="AE126" s="16"/>
      <c r="AG126" s="17"/>
    </row>
    <row r="127" spans="1:33" s="44" customFormat="1">
      <c r="A127" s="39">
        <f t="shared" si="7"/>
        <v>109</v>
      </c>
      <c r="B127" s="40" t="s">
        <v>124</v>
      </c>
      <c r="C127" s="39" t="s">
        <v>398</v>
      </c>
      <c r="D127" s="39" t="s">
        <v>440</v>
      </c>
      <c r="E127" s="39"/>
      <c r="F127" s="39" t="s">
        <v>48</v>
      </c>
      <c r="G127" s="41" t="s">
        <v>441</v>
      </c>
      <c r="H127" s="39" t="s">
        <v>39</v>
      </c>
      <c r="I127" s="39" t="s">
        <v>403</v>
      </c>
      <c r="J127" s="42" t="s">
        <v>442</v>
      </c>
      <c r="K127" s="39" t="s">
        <v>42</v>
      </c>
      <c r="L127" s="39">
        <v>630</v>
      </c>
      <c r="M127" s="39"/>
      <c r="N127" s="39" t="s">
        <v>59</v>
      </c>
      <c r="O127" s="39" t="s">
        <v>443</v>
      </c>
      <c r="P127" s="39" t="s">
        <v>444</v>
      </c>
      <c r="Q127" s="39" t="s">
        <v>96</v>
      </c>
      <c r="R127" s="39">
        <v>10</v>
      </c>
      <c r="S127" s="39" t="s">
        <v>45</v>
      </c>
      <c r="T127" s="39" t="s">
        <v>89</v>
      </c>
      <c r="U127" s="39">
        <v>2</v>
      </c>
      <c r="V127" s="39">
        <v>1</v>
      </c>
      <c r="W127" s="39">
        <v>1</v>
      </c>
      <c r="X127" s="39">
        <v>0</v>
      </c>
      <c r="Y127" s="39"/>
      <c r="Z127" s="39">
        <v>0</v>
      </c>
      <c r="AA127" s="39"/>
      <c r="AB127" s="39"/>
      <c r="AC127" s="39">
        <f t="shared" si="12"/>
        <v>4</v>
      </c>
      <c r="AD127" s="39"/>
      <c r="AE127" s="43"/>
      <c r="AG127" s="45"/>
    </row>
    <row r="128" spans="1:33" s="14" customFormat="1">
      <c r="A128" s="10">
        <f t="shared" si="7"/>
        <v>110</v>
      </c>
      <c r="B128" s="11" t="s">
        <v>124</v>
      </c>
      <c r="C128" s="10" t="s">
        <v>398</v>
      </c>
      <c r="D128" s="10" t="s">
        <v>445</v>
      </c>
      <c r="E128" s="10"/>
      <c r="F128" s="10" t="s">
        <v>37</v>
      </c>
      <c r="G128" s="12" t="s">
        <v>446</v>
      </c>
      <c r="H128" s="10" t="s">
        <v>39</v>
      </c>
      <c r="I128" s="10" t="s">
        <v>403</v>
      </c>
      <c r="J128" s="10"/>
      <c r="K128" s="10" t="s">
        <v>42</v>
      </c>
      <c r="L128" s="10">
        <v>400</v>
      </c>
      <c r="M128" s="10"/>
      <c r="N128" s="10" t="s">
        <v>59</v>
      </c>
      <c r="O128" s="10" t="s">
        <v>447</v>
      </c>
      <c r="P128" s="10">
        <v>2023</v>
      </c>
      <c r="Q128" s="10">
        <v>1</v>
      </c>
      <c r="R128" s="10">
        <v>10</v>
      </c>
      <c r="S128" s="10" t="s">
        <v>88</v>
      </c>
      <c r="T128" s="10" t="s">
        <v>89</v>
      </c>
      <c r="U128" s="10">
        <v>2</v>
      </c>
      <c r="V128" s="10">
        <v>1</v>
      </c>
      <c r="W128" s="10">
        <v>0</v>
      </c>
      <c r="X128" s="10">
        <v>0</v>
      </c>
      <c r="Y128" s="10"/>
      <c r="Z128" s="10">
        <v>0</v>
      </c>
      <c r="AA128" s="10"/>
      <c r="AB128" s="10"/>
      <c r="AC128" s="10">
        <f t="shared" si="12"/>
        <v>3</v>
      </c>
      <c r="AD128" s="10"/>
      <c r="AE128" s="16" t="s">
        <v>448</v>
      </c>
      <c r="AG128" s="17"/>
    </row>
    <row r="129" spans="1:33" s="14" customFormat="1">
      <c r="A129" s="10">
        <f t="shared" si="7"/>
        <v>111</v>
      </c>
      <c r="B129" s="11" t="s">
        <v>124</v>
      </c>
      <c r="C129" s="10" t="s">
        <v>436</v>
      </c>
      <c r="D129" s="10" t="s">
        <v>449</v>
      </c>
      <c r="E129" s="10"/>
      <c r="F129" s="10" t="s">
        <v>37</v>
      </c>
      <c r="G129" s="12" t="s">
        <v>450</v>
      </c>
      <c r="H129" s="10" t="s">
        <v>39</v>
      </c>
      <c r="I129" s="10" t="s">
        <v>403</v>
      </c>
      <c r="J129" s="13" t="s">
        <v>451</v>
      </c>
      <c r="K129" s="10" t="s">
        <v>42</v>
      </c>
      <c r="L129" s="10" t="s">
        <v>452</v>
      </c>
      <c r="M129" s="10"/>
      <c r="N129" s="10" t="s">
        <v>59</v>
      </c>
      <c r="O129" s="10"/>
      <c r="P129" s="10"/>
      <c r="Q129" s="10"/>
      <c r="R129" s="10">
        <f t="shared" ref="R129:R130" si="14">IF(H129="CANTOL",2,4)</f>
        <v>4</v>
      </c>
      <c r="S129" s="10" t="s">
        <v>45</v>
      </c>
      <c r="T129" s="10" t="s">
        <v>89</v>
      </c>
      <c r="U129" s="10">
        <v>2</v>
      </c>
      <c r="V129" s="10">
        <v>1</v>
      </c>
      <c r="W129" s="10">
        <v>0</v>
      </c>
      <c r="X129" s="10">
        <v>0</v>
      </c>
      <c r="Y129" s="10"/>
      <c r="Z129" s="10">
        <v>0</v>
      </c>
      <c r="AA129" s="10"/>
      <c r="AB129" s="10"/>
      <c r="AC129" s="10">
        <f t="shared" si="12"/>
        <v>3</v>
      </c>
      <c r="AD129" s="10"/>
      <c r="AE129" s="16"/>
      <c r="AG129" s="17"/>
    </row>
    <row r="130" spans="1:33" s="14" customFormat="1" ht="14.25" customHeight="1">
      <c r="A130" s="10">
        <f t="shared" si="7"/>
        <v>112</v>
      </c>
      <c r="B130" s="11" t="s">
        <v>124</v>
      </c>
      <c r="C130" s="10" t="s">
        <v>436</v>
      </c>
      <c r="D130" s="10" t="s">
        <v>453</v>
      </c>
      <c r="E130" s="10"/>
      <c r="F130" s="10" t="s">
        <v>37</v>
      </c>
      <c r="G130" s="12" t="s">
        <v>438</v>
      </c>
      <c r="H130" s="10" t="s">
        <v>39</v>
      </c>
      <c r="I130" s="10" t="s">
        <v>403</v>
      </c>
      <c r="J130" s="13" t="s">
        <v>454</v>
      </c>
      <c r="K130" s="10" t="s">
        <v>42</v>
      </c>
      <c r="L130" s="10">
        <v>500</v>
      </c>
      <c r="M130" s="10"/>
      <c r="N130" s="10" t="s">
        <v>43</v>
      </c>
      <c r="O130" s="10"/>
      <c r="P130" s="10"/>
      <c r="Q130" s="10"/>
      <c r="R130" s="10">
        <f t="shared" si="14"/>
        <v>4</v>
      </c>
      <c r="S130" s="10" t="s">
        <v>45</v>
      </c>
      <c r="T130" s="10" t="s">
        <v>89</v>
      </c>
      <c r="U130" s="10">
        <v>2</v>
      </c>
      <c r="V130" s="10">
        <v>1</v>
      </c>
      <c r="W130" s="10">
        <v>0</v>
      </c>
      <c r="X130" s="10">
        <v>0</v>
      </c>
      <c r="Y130" s="10"/>
      <c r="Z130" s="10">
        <v>0</v>
      </c>
      <c r="AA130" s="10"/>
      <c r="AB130" s="10"/>
      <c r="AC130" s="10">
        <f t="shared" si="12"/>
        <v>3</v>
      </c>
      <c r="AD130" s="10"/>
      <c r="AE130" s="16"/>
      <c r="AG130" s="17"/>
    </row>
    <row r="131" spans="1:33" s="14" customFormat="1">
      <c r="A131" s="10">
        <f t="shared" si="7"/>
        <v>113</v>
      </c>
      <c r="B131" s="11" t="s">
        <v>124</v>
      </c>
      <c r="C131" s="10" t="s">
        <v>398</v>
      </c>
      <c r="D131" s="10" t="s">
        <v>455</v>
      </c>
      <c r="E131" s="10"/>
      <c r="F131" s="10" t="s">
        <v>37</v>
      </c>
      <c r="G131" s="12" t="s">
        <v>456</v>
      </c>
      <c r="H131" s="10" t="s">
        <v>39</v>
      </c>
      <c r="I131" s="10" t="s">
        <v>403</v>
      </c>
      <c r="J131" s="10" t="s">
        <v>457</v>
      </c>
      <c r="K131" s="10" t="s">
        <v>42</v>
      </c>
      <c r="L131" s="10">
        <v>630</v>
      </c>
      <c r="M131" s="10"/>
      <c r="N131" s="10" t="s">
        <v>59</v>
      </c>
      <c r="O131" s="10" t="s">
        <v>458</v>
      </c>
      <c r="P131" s="10" t="s">
        <v>95</v>
      </c>
      <c r="Q131" s="10" t="s">
        <v>96</v>
      </c>
      <c r="R131" s="10" t="s">
        <v>84</v>
      </c>
      <c r="S131" s="10" t="s">
        <v>459</v>
      </c>
      <c r="T131" s="10" t="s">
        <v>89</v>
      </c>
      <c r="U131" s="10">
        <v>3</v>
      </c>
      <c r="V131" s="10">
        <v>1</v>
      </c>
      <c r="W131" s="10">
        <v>0</v>
      </c>
      <c r="X131" s="10">
        <v>0</v>
      </c>
      <c r="Y131" s="10"/>
      <c r="Z131" s="10">
        <v>0</v>
      </c>
      <c r="AA131" s="10"/>
      <c r="AB131" s="10"/>
      <c r="AC131" s="10">
        <f t="shared" si="12"/>
        <v>4</v>
      </c>
      <c r="AD131" s="10"/>
      <c r="AE131" s="16"/>
      <c r="AG131" s="17"/>
    </row>
    <row r="132" spans="1:33" s="44" customFormat="1">
      <c r="A132" s="39">
        <f t="shared" si="7"/>
        <v>114</v>
      </c>
      <c r="B132" s="40" t="s">
        <v>124</v>
      </c>
      <c r="C132" s="39" t="s">
        <v>398</v>
      </c>
      <c r="D132" s="39" t="s">
        <v>460</v>
      </c>
      <c r="E132" s="39"/>
      <c r="F132" s="39" t="s">
        <v>37</v>
      </c>
      <c r="G132" s="41" t="s">
        <v>461</v>
      </c>
      <c r="H132" s="39" t="s">
        <v>39</v>
      </c>
      <c r="I132" s="39" t="s">
        <v>40</v>
      </c>
      <c r="J132" s="39"/>
      <c r="K132" s="39" t="s">
        <v>42</v>
      </c>
      <c r="L132" s="39">
        <v>400</v>
      </c>
      <c r="M132" s="39"/>
      <c r="N132" s="39" t="s">
        <v>93</v>
      </c>
      <c r="O132" s="39" t="s">
        <v>462</v>
      </c>
      <c r="P132" s="39">
        <v>2022</v>
      </c>
      <c r="Q132" s="39" t="s">
        <v>96</v>
      </c>
      <c r="R132" s="39" t="s">
        <v>84</v>
      </c>
      <c r="S132" s="39" t="s">
        <v>459</v>
      </c>
      <c r="T132" s="39" t="s">
        <v>89</v>
      </c>
      <c r="U132" s="39">
        <v>2</v>
      </c>
      <c r="V132" s="39">
        <v>1</v>
      </c>
      <c r="W132" s="39">
        <v>0</v>
      </c>
      <c r="X132" s="39">
        <v>0</v>
      </c>
      <c r="Y132" s="39"/>
      <c r="Z132" s="39">
        <v>0</v>
      </c>
      <c r="AA132" s="39"/>
      <c r="AB132" s="39"/>
      <c r="AC132" s="39">
        <f t="shared" si="12"/>
        <v>3</v>
      </c>
      <c r="AD132" s="39"/>
      <c r="AE132" s="43" t="s">
        <v>463</v>
      </c>
      <c r="AG132" s="45"/>
    </row>
    <row r="133" spans="1:33" s="14" customFormat="1">
      <c r="A133" s="10">
        <f t="shared" si="7"/>
        <v>115</v>
      </c>
      <c r="B133" s="11" t="s">
        <v>124</v>
      </c>
      <c r="C133" s="10" t="s">
        <v>398</v>
      </c>
      <c r="D133" s="10" t="s">
        <v>464</v>
      </c>
      <c r="E133" s="10"/>
      <c r="F133" s="10" t="s">
        <v>37</v>
      </c>
      <c r="G133" s="12" t="s">
        <v>465</v>
      </c>
      <c r="H133" s="10" t="s">
        <v>39</v>
      </c>
      <c r="I133" s="10" t="s">
        <v>466</v>
      </c>
      <c r="J133" s="10"/>
      <c r="K133" s="10" t="s">
        <v>42</v>
      </c>
      <c r="L133" s="10">
        <v>630</v>
      </c>
      <c r="M133" s="10"/>
      <c r="N133" s="10" t="s">
        <v>59</v>
      </c>
      <c r="O133" s="10">
        <v>213301634</v>
      </c>
      <c r="P133" s="10">
        <v>2021</v>
      </c>
      <c r="Q133" s="10">
        <v>1</v>
      </c>
      <c r="R133" s="10">
        <v>4</v>
      </c>
      <c r="S133" s="10" t="s">
        <v>459</v>
      </c>
      <c r="T133" s="10" t="s">
        <v>89</v>
      </c>
      <c r="U133" s="10">
        <v>2</v>
      </c>
      <c r="V133" s="10">
        <v>1</v>
      </c>
      <c r="W133" s="10">
        <v>0</v>
      </c>
      <c r="X133" s="10">
        <v>0</v>
      </c>
      <c r="Y133" s="10"/>
      <c r="Z133" s="10">
        <v>0</v>
      </c>
      <c r="AA133" s="10"/>
      <c r="AB133" s="10"/>
      <c r="AC133" s="10">
        <f t="shared" si="12"/>
        <v>3</v>
      </c>
      <c r="AD133" s="10"/>
      <c r="AE133" s="16"/>
      <c r="AG133" s="17"/>
    </row>
    <row r="134" spans="1:33" s="14" customFormat="1">
      <c r="A134" s="10">
        <f t="shared" si="7"/>
        <v>116</v>
      </c>
      <c r="B134" s="11" t="s">
        <v>124</v>
      </c>
      <c r="C134" s="10" t="s">
        <v>398</v>
      </c>
      <c r="D134" s="10" t="s">
        <v>467</v>
      </c>
      <c r="E134" s="10"/>
      <c r="F134" s="10" t="s">
        <v>37</v>
      </c>
      <c r="G134" s="12" t="s">
        <v>465</v>
      </c>
      <c r="H134" s="10" t="s">
        <v>39</v>
      </c>
      <c r="I134" s="10" t="s">
        <v>403</v>
      </c>
      <c r="J134" s="10"/>
      <c r="K134" s="10" t="s">
        <v>42</v>
      </c>
      <c r="L134" s="10">
        <v>630</v>
      </c>
      <c r="M134" s="10"/>
      <c r="N134" s="10" t="s">
        <v>59</v>
      </c>
      <c r="O134" s="10">
        <v>223301996</v>
      </c>
      <c r="P134" s="10">
        <v>2022</v>
      </c>
      <c r="Q134" s="10">
        <v>1</v>
      </c>
      <c r="R134" s="10">
        <v>9</v>
      </c>
      <c r="S134" s="10" t="s">
        <v>459</v>
      </c>
      <c r="T134" s="10" t="s">
        <v>89</v>
      </c>
      <c r="U134" s="10">
        <v>2</v>
      </c>
      <c r="V134" s="10">
        <v>1</v>
      </c>
      <c r="W134" s="10">
        <v>0</v>
      </c>
      <c r="X134" s="10">
        <v>0</v>
      </c>
      <c r="Y134" s="10"/>
      <c r="Z134" s="10">
        <v>0</v>
      </c>
      <c r="AA134" s="10"/>
      <c r="AB134" s="10"/>
      <c r="AC134" s="10">
        <f t="shared" si="12"/>
        <v>3</v>
      </c>
      <c r="AD134" s="10"/>
      <c r="AE134" s="16"/>
      <c r="AG134" s="17"/>
    </row>
    <row r="135" spans="1:33" s="14" customFormat="1">
      <c r="A135" s="10">
        <f>A132+1</f>
        <v>115</v>
      </c>
      <c r="B135" s="11" t="s">
        <v>124</v>
      </c>
      <c r="C135" s="10" t="s">
        <v>393</v>
      </c>
      <c r="D135" s="10" t="s">
        <v>468</v>
      </c>
      <c r="E135" s="10"/>
      <c r="F135" s="10" t="s">
        <v>37</v>
      </c>
      <c r="G135" s="12" t="s">
        <v>469</v>
      </c>
      <c r="H135" s="10" t="s">
        <v>39</v>
      </c>
      <c r="I135" s="10" t="s">
        <v>403</v>
      </c>
      <c r="J135" s="10"/>
      <c r="K135" s="10" t="s">
        <v>42</v>
      </c>
      <c r="L135" s="10">
        <v>630</v>
      </c>
      <c r="M135" s="10"/>
      <c r="N135" s="10" t="s">
        <v>59</v>
      </c>
      <c r="O135" s="10">
        <v>253307291</v>
      </c>
      <c r="P135" s="10">
        <v>2025</v>
      </c>
      <c r="Q135" s="10">
        <v>1</v>
      </c>
      <c r="R135" s="10">
        <v>8</v>
      </c>
      <c r="S135" s="10" t="s">
        <v>459</v>
      </c>
      <c r="T135" s="10" t="s">
        <v>89</v>
      </c>
      <c r="U135" s="10">
        <v>2</v>
      </c>
      <c r="V135" s="10">
        <v>1</v>
      </c>
      <c r="W135" s="10">
        <v>0</v>
      </c>
      <c r="X135" s="10">
        <v>0</v>
      </c>
      <c r="Y135" s="10"/>
      <c r="Z135" s="10">
        <v>0</v>
      </c>
      <c r="AA135" s="10"/>
      <c r="AB135" s="10"/>
      <c r="AC135" s="10">
        <f t="shared" si="12"/>
        <v>3</v>
      </c>
      <c r="AD135" s="10"/>
      <c r="AE135" s="16" t="s">
        <v>470</v>
      </c>
      <c r="AG135" s="17"/>
    </row>
    <row r="136" spans="1:33" s="14" customFormat="1">
      <c r="A136" s="10">
        <f>A133+1</f>
        <v>116</v>
      </c>
      <c r="B136" s="11" t="s">
        <v>124</v>
      </c>
      <c r="C136" s="10" t="s">
        <v>393</v>
      </c>
      <c r="D136" s="10" t="s">
        <v>471</v>
      </c>
      <c r="E136" s="10"/>
      <c r="F136" s="10" t="s">
        <v>37</v>
      </c>
      <c r="G136" s="12" t="s">
        <v>469</v>
      </c>
      <c r="H136" s="10" t="s">
        <v>39</v>
      </c>
      <c r="I136" s="10" t="s">
        <v>403</v>
      </c>
      <c r="J136" s="10"/>
      <c r="K136" s="10" t="s">
        <v>42</v>
      </c>
      <c r="L136" s="10">
        <v>630</v>
      </c>
      <c r="M136" s="10"/>
      <c r="N136" s="10" t="s">
        <v>59</v>
      </c>
      <c r="O136" s="10">
        <v>253307290</v>
      </c>
      <c r="P136" s="10">
        <v>2025</v>
      </c>
      <c r="Q136" s="10">
        <v>1</v>
      </c>
      <c r="R136" s="10">
        <v>8</v>
      </c>
      <c r="S136" s="10" t="s">
        <v>459</v>
      </c>
      <c r="T136" s="10" t="s">
        <v>89</v>
      </c>
      <c r="U136" s="10">
        <v>2</v>
      </c>
      <c r="V136" s="10">
        <v>1</v>
      </c>
      <c r="W136" s="10">
        <v>0</v>
      </c>
      <c r="X136" s="10">
        <v>0</v>
      </c>
      <c r="Y136" s="10"/>
      <c r="Z136" s="10">
        <v>0</v>
      </c>
      <c r="AA136" s="10"/>
      <c r="AB136" s="10"/>
      <c r="AC136" s="10">
        <f t="shared" si="12"/>
        <v>3</v>
      </c>
      <c r="AD136" s="10"/>
      <c r="AE136" s="16" t="s">
        <v>470</v>
      </c>
      <c r="AG136" s="17"/>
    </row>
    <row r="137" spans="1:33" s="14" customFormat="1">
      <c r="A137" s="10">
        <f>A134+1</f>
        <v>117</v>
      </c>
      <c r="B137" s="11" t="s">
        <v>124</v>
      </c>
      <c r="C137" s="10" t="s">
        <v>393</v>
      </c>
      <c r="D137" s="10" t="s">
        <v>472</v>
      </c>
      <c r="E137" s="10"/>
      <c r="F137" s="10" t="s">
        <v>37</v>
      </c>
      <c r="G137" s="12" t="s">
        <v>473</v>
      </c>
      <c r="H137" s="10" t="s">
        <v>39</v>
      </c>
      <c r="I137" s="10" t="s">
        <v>403</v>
      </c>
      <c r="J137" s="10"/>
      <c r="K137" s="10" t="s">
        <v>42</v>
      </c>
      <c r="L137" s="10">
        <v>400</v>
      </c>
      <c r="M137" s="10"/>
      <c r="N137" s="10" t="s">
        <v>59</v>
      </c>
      <c r="O137" s="10">
        <v>233300332</v>
      </c>
      <c r="P137" s="10">
        <v>2023</v>
      </c>
      <c r="Q137" s="10">
        <v>1</v>
      </c>
      <c r="R137" s="10">
        <v>8</v>
      </c>
      <c r="S137" s="10" t="s">
        <v>459</v>
      </c>
      <c r="T137" s="10" t="s">
        <v>89</v>
      </c>
      <c r="U137" s="10">
        <v>2</v>
      </c>
      <c r="V137" s="10">
        <v>1</v>
      </c>
      <c r="W137" s="10">
        <v>0</v>
      </c>
      <c r="X137" s="10">
        <v>0</v>
      </c>
      <c r="Y137" s="10"/>
      <c r="Z137" s="10">
        <v>0</v>
      </c>
      <c r="AA137" s="10"/>
      <c r="AB137" s="10"/>
      <c r="AC137" s="10">
        <f t="shared" si="12"/>
        <v>3</v>
      </c>
      <c r="AD137" s="10"/>
      <c r="AE137" s="16" t="s">
        <v>470</v>
      </c>
      <c r="AG137" s="17"/>
    </row>
    <row r="138" spans="1:33" s="14" customFormat="1">
      <c r="A138" s="10">
        <f>A134+1</f>
        <v>117</v>
      </c>
      <c r="B138" s="11" t="s">
        <v>124</v>
      </c>
      <c r="C138" s="10" t="s">
        <v>393</v>
      </c>
      <c r="D138" s="10" t="s">
        <v>474</v>
      </c>
      <c r="E138" s="10"/>
      <c r="F138" s="10" t="s">
        <v>37</v>
      </c>
      <c r="G138" s="12" t="s">
        <v>475</v>
      </c>
      <c r="H138" s="10" t="s">
        <v>39</v>
      </c>
      <c r="I138" s="10" t="s">
        <v>403</v>
      </c>
      <c r="J138" s="10"/>
      <c r="K138" s="10" t="s">
        <v>42</v>
      </c>
      <c r="L138" s="10">
        <v>400</v>
      </c>
      <c r="M138" s="10"/>
      <c r="N138" s="10" t="s">
        <v>59</v>
      </c>
      <c r="O138" s="10" t="s">
        <v>476</v>
      </c>
      <c r="P138" s="10">
        <v>2022</v>
      </c>
      <c r="Q138" s="10">
        <v>1</v>
      </c>
      <c r="R138" s="10">
        <v>8</v>
      </c>
      <c r="S138" s="10" t="s">
        <v>459</v>
      </c>
      <c r="T138" s="10" t="s">
        <v>89</v>
      </c>
      <c r="U138" s="10">
        <v>2</v>
      </c>
      <c r="V138" s="10">
        <v>1</v>
      </c>
      <c r="W138" s="10">
        <v>0</v>
      </c>
      <c r="X138" s="10">
        <v>0</v>
      </c>
      <c r="Y138" s="10"/>
      <c r="Z138" s="10">
        <v>0</v>
      </c>
      <c r="AA138" s="10"/>
      <c r="AB138" s="10"/>
      <c r="AC138" s="10">
        <f t="shared" ref="AC138" si="15">SUM(U138:AB138)</f>
        <v>3</v>
      </c>
      <c r="AD138" s="10"/>
      <c r="AE138" s="16" t="s">
        <v>477</v>
      </c>
      <c r="AG138" s="17"/>
    </row>
    <row r="139" spans="1:33" s="99" customFormat="1">
      <c r="A139" s="95">
        <f>A137+1</f>
        <v>118</v>
      </c>
      <c r="B139" s="96" t="s">
        <v>124</v>
      </c>
      <c r="C139" s="95" t="s">
        <v>393</v>
      </c>
      <c r="D139" s="95" t="s">
        <v>478</v>
      </c>
      <c r="E139" s="95"/>
      <c r="F139" s="95" t="s">
        <v>37</v>
      </c>
      <c r="G139" s="97" t="s">
        <v>475</v>
      </c>
      <c r="H139" s="95" t="s">
        <v>39</v>
      </c>
      <c r="I139" s="95" t="s">
        <v>403</v>
      </c>
      <c r="J139" s="95"/>
      <c r="K139" s="95" t="s">
        <v>42</v>
      </c>
      <c r="L139" s="95">
        <v>400</v>
      </c>
      <c r="M139" s="95"/>
      <c r="N139" s="95" t="s">
        <v>59</v>
      </c>
      <c r="O139" s="95">
        <v>253302661</v>
      </c>
      <c r="P139" s="95">
        <v>2025</v>
      </c>
      <c r="Q139" s="95">
        <v>1</v>
      </c>
      <c r="R139" s="95">
        <v>8</v>
      </c>
      <c r="S139" s="95" t="s">
        <v>459</v>
      </c>
      <c r="T139" s="95" t="s">
        <v>89</v>
      </c>
      <c r="U139" s="95">
        <v>2</v>
      </c>
      <c r="V139" s="95">
        <v>1</v>
      </c>
      <c r="W139" s="95">
        <v>0</v>
      </c>
      <c r="X139" s="95">
        <v>0</v>
      </c>
      <c r="Y139" s="95"/>
      <c r="Z139" s="95">
        <v>0</v>
      </c>
      <c r="AA139" s="95"/>
      <c r="AB139" s="95"/>
      <c r="AC139" s="95">
        <f t="shared" si="12"/>
        <v>3</v>
      </c>
      <c r="AD139" s="95"/>
      <c r="AE139" s="98" t="s">
        <v>477</v>
      </c>
      <c r="AG139" s="100"/>
    </row>
    <row r="140" spans="1:33" s="14" customFormat="1">
      <c r="A140" s="214">
        <v>119</v>
      </c>
      <c r="B140" s="11" t="s">
        <v>124</v>
      </c>
      <c r="C140" s="10" t="s">
        <v>393</v>
      </c>
      <c r="D140" s="10" t="s">
        <v>479</v>
      </c>
      <c r="E140" s="10"/>
      <c r="F140" s="10" t="s">
        <v>37</v>
      </c>
      <c r="G140" s="12" t="s">
        <v>480</v>
      </c>
      <c r="H140" s="10" t="s">
        <v>39</v>
      </c>
      <c r="I140" s="10" t="s">
        <v>403</v>
      </c>
      <c r="J140" s="10"/>
      <c r="K140" s="10" t="s">
        <v>42</v>
      </c>
      <c r="L140" s="10">
        <v>400</v>
      </c>
      <c r="M140" s="10"/>
      <c r="N140" s="10" t="s">
        <v>59</v>
      </c>
      <c r="O140" s="10" t="s">
        <v>481</v>
      </c>
      <c r="P140" s="10" t="s">
        <v>444</v>
      </c>
      <c r="Q140" s="10" t="s">
        <v>482</v>
      </c>
      <c r="R140" s="10" t="s">
        <v>483</v>
      </c>
      <c r="S140" s="10" t="s">
        <v>459</v>
      </c>
      <c r="T140" s="10" t="s">
        <v>89</v>
      </c>
      <c r="U140" s="10">
        <v>2</v>
      </c>
      <c r="V140" s="10">
        <v>2</v>
      </c>
      <c r="W140" s="10">
        <v>0</v>
      </c>
      <c r="X140" s="10">
        <v>0</v>
      </c>
      <c r="Y140" s="10"/>
      <c r="Z140" s="10">
        <v>0</v>
      </c>
      <c r="AA140" s="10"/>
      <c r="AB140" s="10"/>
      <c r="AC140" s="10">
        <f t="shared" si="12"/>
        <v>4</v>
      </c>
      <c r="AD140" s="10"/>
      <c r="AE140" s="16"/>
      <c r="AG140" s="17"/>
    </row>
    <row r="141" spans="1:33" s="14" customFormat="1">
      <c r="A141" s="215"/>
      <c r="B141" s="101"/>
      <c r="C141" s="102"/>
      <c r="D141" s="102"/>
      <c r="E141" s="102"/>
      <c r="F141" s="102"/>
      <c r="G141" s="103"/>
      <c r="H141" s="10"/>
      <c r="I141" s="10"/>
      <c r="J141" s="10"/>
      <c r="K141" s="10"/>
      <c r="L141" s="10">
        <v>400</v>
      </c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6"/>
      <c r="AG141" s="17"/>
    </row>
    <row r="142" spans="1:33" s="14" customFormat="1">
      <c r="A142" s="10">
        <f>A140+1</f>
        <v>120</v>
      </c>
      <c r="B142" s="11" t="s">
        <v>124</v>
      </c>
      <c r="C142" s="10" t="s">
        <v>436</v>
      </c>
      <c r="D142" s="10" t="s">
        <v>484</v>
      </c>
      <c r="E142" s="10"/>
      <c r="F142" s="10" t="s">
        <v>37</v>
      </c>
      <c r="G142" s="12" t="s">
        <v>485</v>
      </c>
      <c r="H142" s="10" t="s">
        <v>39</v>
      </c>
      <c r="I142" s="10" t="s">
        <v>403</v>
      </c>
      <c r="J142" s="10">
        <v>1026</v>
      </c>
      <c r="K142" s="10" t="s">
        <v>42</v>
      </c>
      <c r="L142" s="10">
        <v>630</v>
      </c>
      <c r="M142" s="10"/>
      <c r="N142" s="10" t="s">
        <v>59</v>
      </c>
      <c r="O142" s="10" t="s">
        <v>486</v>
      </c>
      <c r="P142" s="10">
        <v>2012</v>
      </c>
      <c r="Q142" s="10"/>
      <c r="R142" s="10">
        <f t="shared" ref="R142:R146" si="16">IF(H142="CANTOL",2,4)</f>
        <v>4</v>
      </c>
      <c r="S142" s="10" t="s">
        <v>45</v>
      </c>
      <c r="T142" s="10" t="s">
        <v>89</v>
      </c>
      <c r="U142" s="10">
        <v>2</v>
      </c>
      <c r="V142" s="10">
        <v>1</v>
      </c>
      <c r="W142" s="10"/>
      <c r="X142" s="10"/>
      <c r="Y142" s="10"/>
      <c r="Z142" s="10"/>
      <c r="AA142" s="10"/>
      <c r="AB142" s="10"/>
      <c r="AC142" s="10">
        <f t="shared" si="12"/>
        <v>3</v>
      </c>
      <c r="AD142" s="10"/>
      <c r="AE142" s="16"/>
      <c r="AG142" s="17"/>
    </row>
    <row r="143" spans="1:33" s="14" customFormat="1">
      <c r="A143" s="10">
        <f t="shared" ref="A143:A206" si="17">A142+1</f>
        <v>121</v>
      </c>
      <c r="B143" s="11" t="s">
        <v>124</v>
      </c>
      <c r="C143" s="10" t="s">
        <v>436</v>
      </c>
      <c r="D143" s="10" t="s">
        <v>487</v>
      </c>
      <c r="E143" s="10"/>
      <c r="F143" s="10" t="s">
        <v>37</v>
      </c>
      <c r="G143" s="12" t="s">
        <v>488</v>
      </c>
      <c r="H143" s="10" t="s">
        <v>39</v>
      </c>
      <c r="I143" s="10" t="s">
        <v>403</v>
      </c>
      <c r="J143" s="10">
        <v>1004</v>
      </c>
      <c r="K143" s="10" t="s">
        <v>42</v>
      </c>
      <c r="L143" s="10">
        <v>630</v>
      </c>
      <c r="M143" s="10"/>
      <c r="N143" s="10" t="s">
        <v>59</v>
      </c>
      <c r="O143" s="10" t="s">
        <v>489</v>
      </c>
      <c r="P143" s="10">
        <v>2011</v>
      </c>
      <c r="Q143" s="10"/>
      <c r="R143" s="10">
        <f t="shared" si="16"/>
        <v>4</v>
      </c>
      <c r="S143" s="10" t="s">
        <v>45</v>
      </c>
      <c r="T143" s="10" t="s">
        <v>89</v>
      </c>
      <c r="U143" s="10">
        <v>2</v>
      </c>
      <c r="V143" s="10">
        <v>1</v>
      </c>
      <c r="W143" s="10"/>
      <c r="X143" s="10"/>
      <c r="Y143" s="10"/>
      <c r="Z143" s="10"/>
      <c r="AA143" s="10"/>
      <c r="AB143" s="10"/>
      <c r="AC143" s="10">
        <f t="shared" si="12"/>
        <v>3</v>
      </c>
      <c r="AD143" s="10"/>
      <c r="AE143" s="16"/>
      <c r="AG143" s="17"/>
    </row>
    <row r="144" spans="1:33" s="14" customFormat="1">
      <c r="A144" s="10">
        <f t="shared" si="17"/>
        <v>122</v>
      </c>
      <c r="B144" s="11" t="s">
        <v>124</v>
      </c>
      <c r="C144" s="10" t="s">
        <v>436</v>
      </c>
      <c r="D144" s="10" t="s">
        <v>490</v>
      </c>
      <c r="E144" s="10"/>
      <c r="F144" s="10" t="s">
        <v>37</v>
      </c>
      <c r="G144" s="12" t="s">
        <v>491</v>
      </c>
      <c r="H144" s="10" t="s">
        <v>39</v>
      </c>
      <c r="I144" s="10" t="s">
        <v>403</v>
      </c>
      <c r="J144" s="13" t="s">
        <v>492</v>
      </c>
      <c r="K144" s="10" t="s">
        <v>42</v>
      </c>
      <c r="L144" s="10">
        <v>400</v>
      </c>
      <c r="M144" s="10"/>
      <c r="N144" s="10" t="s">
        <v>493</v>
      </c>
      <c r="O144" s="10" t="s">
        <v>494</v>
      </c>
      <c r="P144" s="10">
        <v>2007</v>
      </c>
      <c r="Q144" s="10"/>
      <c r="R144" s="10">
        <f t="shared" si="16"/>
        <v>4</v>
      </c>
      <c r="S144" s="10" t="s">
        <v>45</v>
      </c>
      <c r="T144" s="10" t="s">
        <v>89</v>
      </c>
      <c r="U144" s="10">
        <v>2</v>
      </c>
      <c r="V144" s="10">
        <v>1</v>
      </c>
      <c r="W144" s="10">
        <v>0</v>
      </c>
      <c r="X144" s="10">
        <v>0</v>
      </c>
      <c r="Y144" s="10"/>
      <c r="Z144" s="10">
        <v>0</v>
      </c>
      <c r="AA144" s="10"/>
      <c r="AB144" s="10"/>
      <c r="AC144" s="10">
        <f t="shared" si="12"/>
        <v>3</v>
      </c>
      <c r="AD144" s="10"/>
      <c r="AE144" s="16"/>
      <c r="AG144" s="17"/>
    </row>
    <row r="145" spans="1:33" s="14" customFormat="1">
      <c r="A145" s="10">
        <f t="shared" si="17"/>
        <v>123</v>
      </c>
      <c r="B145" s="11" t="s">
        <v>124</v>
      </c>
      <c r="C145" s="10" t="s">
        <v>436</v>
      </c>
      <c r="D145" s="10" t="s">
        <v>495</v>
      </c>
      <c r="E145" s="10"/>
      <c r="F145" s="10" t="s">
        <v>37</v>
      </c>
      <c r="G145" s="12" t="s">
        <v>496</v>
      </c>
      <c r="H145" s="10" t="s">
        <v>39</v>
      </c>
      <c r="I145" s="10" t="s">
        <v>403</v>
      </c>
      <c r="J145" s="13" t="s">
        <v>497</v>
      </c>
      <c r="K145" s="10" t="s">
        <v>42</v>
      </c>
      <c r="L145" s="10">
        <v>400</v>
      </c>
      <c r="M145" s="10"/>
      <c r="N145" s="10" t="s">
        <v>59</v>
      </c>
      <c r="O145" s="10"/>
      <c r="P145" s="10"/>
      <c r="Q145" s="10"/>
      <c r="R145" s="10">
        <f t="shared" si="16"/>
        <v>4</v>
      </c>
      <c r="S145" s="10" t="s">
        <v>45</v>
      </c>
      <c r="T145" s="10" t="s">
        <v>89</v>
      </c>
      <c r="U145" s="10">
        <v>2</v>
      </c>
      <c r="V145" s="10">
        <v>1</v>
      </c>
      <c r="W145" s="10">
        <v>0</v>
      </c>
      <c r="X145" s="10">
        <v>0</v>
      </c>
      <c r="Y145" s="10"/>
      <c r="Z145" s="10">
        <v>0</v>
      </c>
      <c r="AA145" s="10"/>
      <c r="AB145" s="10"/>
      <c r="AC145" s="10">
        <f t="shared" si="12"/>
        <v>3</v>
      </c>
      <c r="AD145" s="10"/>
      <c r="AE145" s="16"/>
      <c r="AG145" s="17"/>
    </row>
    <row r="146" spans="1:33" s="14" customFormat="1">
      <c r="A146" s="10">
        <f t="shared" si="17"/>
        <v>124</v>
      </c>
      <c r="B146" s="11" t="s">
        <v>124</v>
      </c>
      <c r="C146" s="10" t="s">
        <v>436</v>
      </c>
      <c r="D146" s="10" t="s">
        <v>498</v>
      </c>
      <c r="E146" s="10"/>
      <c r="F146" s="10" t="s">
        <v>37</v>
      </c>
      <c r="G146" s="12" t="s">
        <v>496</v>
      </c>
      <c r="H146" s="10" t="s">
        <v>39</v>
      </c>
      <c r="I146" s="10" t="s">
        <v>403</v>
      </c>
      <c r="J146" s="13" t="s">
        <v>499</v>
      </c>
      <c r="K146" s="10" t="s">
        <v>42</v>
      </c>
      <c r="L146" s="10">
        <v>400</v>
      </c>
      <c r="M146" s="10"/>
      <c r="N146" s="10" t="s">
        <v>59</v>
      </c>
      <c r="O146" s="10"/>
      <c r="P146" s="10"/>
      <c r="Q146" s="10"/>
      <c r="R146" s="10">
        <f t="shared" si="16"/>
        <v>4</v>
      </c>
      <c r="S146" s="10" t="s">
        <v>45</v>
      </c>
      <c r="T146" s="10" t="s">
        <v>89</v>
      </c>
      <c r="U146" s="10">
        <v>2</v>
      </c>
      <c r="V146" s="10">
        <v>1</v>
      </c>
      <c r="W146" s="10">
        <v>0</v>
      </c>
      <c r="X146" s="10">
        <v>0</v>
      </c>
      <c r="Y146" s="10"/>
      <c r="Z146" s="10">
        <v>0</v>
      </c>
      <c r="AA146" s="10"/>
      <c r="AB146" s="10"/>
      <c r="AC146" s="10">
        <f t="shared" si="12"/>
        <v>3</v>
      </c>
      <c r="AD146" s="10"/>
      <c r="AE146" s="16"/>
      <c r="AG146" s="17"/>
    </row>
    <row r="147" spans="1:33" s="14" customFormat="1">
      <c r="A147" s="10">
        <f t="shared" si="17"/>
        <v>125</v>
      </c>
      <c r="B147" s="11" t="s">
        <v>124</v>
      </c>
      <c r="C147" s="10" t="s">
        <v>436</v>
      </c>
      <c r="D147" s="10" t="s">
        <v>500</v>
      </c>
      <c r="E147" s="10"/>
      <c r="F147" s="10" t="s">
        <v>37</v>
      </c>
      <c r="G147" s="12" t="s">
        <v>501</v>
      </c>
      <c r="H147" s="10" t="s">
        <v>39</v>
      </c>
      <c r="I147" s="10" t="s">
        <v>403</v>
      </c>
      <c r="J147" s="13" t="s">
        <v>502</v>
      </c>
      <c r="K147" s="10" t="s">
        <v>42</v>
      </c>
      <c r="L147" s="10">
        <v>400</v>
      </c>
      <c r="M147" s="10"/>
      <c r="N147" s="10" t="s">
        <v>59</v>
      </c>
      <c r="O147" s="10"/>
      <c r="P147" s="10"/>
      <c r="Q147" s="10"/>
      <c r="R147" s="10">
        <v>5</v>
      </c>
      <c r="S147" s="10" t="s">
        <v>45</v>
      </c>
      <c r="T147" s="10" t="s">
        <v>89</v>
      </c>
      <c r="U147" s="10">
        <v>2</v>
      </c>
      <c r="V147" s="10">
        <v>1</v>
      </c>
      <c r="W147" s="10">
        <v>0</v>
      </c>
      <c r="X147" s="10">
        <v>0</v>
      </c>
      <c r="Y147" s="10"/>
      <c r="Z147" s="10">
        <v>0</v>
      </c>
      <c r="AA147" s="10"/>
      <c r="AB147" s="10"/>
      <c r="AC147" s="10">
        <f t="shared" si="12"/>
        <v>3</v>
      </c>
      <c r="AD147" s="10"/>
      <c r="AE147" s="16"/>
      <c r="AG147" s="17"/>
    </row>
    <row r="148" spans="1:33" s="14" customFormat="1">
      <c r="A148" s="10">
        <f t="shared" si="17"/>
        <v>126</v>
      </c>
      <c r="B148" s="11" t="s">
        <v>124</v>
      </c>
      <c r="C148" s="10" t="s">
        <v>436</v>
      </c>
      <c r="D148" s="10" t="s">
        <v>503</v>
      </c>
      <c r="E148" s="10"/>
      <c r="F148" s="10" t="s">
        <v>37</v>
      </c>
      <c r="G148" s="12" t="s">
        <v>504</v>
      </c>
      <c r="H148" s="10" t="s">
        <v>39</v>
      </c>
      <c r="I148" s="10" t="s">
        <v>403</v>
      </c>
      <c r="J148" s="13" t="s">
        <v>505</v>
      </c>
      <c r="K148" s="10" t="s">
        <v>42</v>
      </c>
      <c r="L148" s="10">
        <v>630</v>
      </c>
      <c r="M148" s="10"/>
      <c r="N148" s="10" t="s">
        <v>59</v>
      </c>
      <c r="O148" s="10">
        <v>8233354</v>
      </c>
      <c r="P148" s="10">
        <v>2008</v>
      </c>
      <c r="Q148" s="10"/>
      <c r="R148" s="10">
        <f>IF(H148="CANTOL",2,4)</f>
        <v>4</v>
      </c>
      <c r="S148" s="10" t="s">
        <v>45</v>
      </c>
      <c r="T148" s="10" t="s">
        <v>89</v>
      </c>
      <c r="U148" s="10">
        <v>2</v>
      </c>
      <c r="V148" s="10">
        <v>1</v>
      </c>
      <c r="W148" s="10">
        <v>0</v>
      </c>
      <c r="X148" s="10">
        <v>0</v>
      </c>
      <c r="Y148" s="10"/>
      <c r="Z148" s="10">
        <v>0</v>
      </c>
      <c r="AA148" s="10"/>
      <c r="AB148" s="10"/>
      <c r="AC148" s="10">
        <f t="shared" si="12"/>
        <v>3</v>
      </c>
      <c r="AD148" s="10"/>
      <c r="AE148" s="16"/>
      <c r="AG148" s="17"/>
    </row>
    <row r="149" spans="1:33" s="37" customFormat="1">
      <c r="A149" s="32">
        <f t="shared" si="17"/>
        <v>127</v>
      </c>
      <c r="B149" s="33" t="s">
        <v>124</v>
      </c>
      <c r="C149" s="32" t="s">
        <v>398</v>
      </c>
      <c r="D149" s="32" t="s">
        <v>506</v>
      </c>
      <c r="E149" s="32"/>
      <c r="F149" s="32" t="s">
        <v>63</v>
      </c>
      <c r="G149" s="34" t="s">
        <v>507</v>
      </c>
      <c r="H149" s="32" t="s">
        <v>39</v>
      </c>
      <c r="I149" s="32" t="s">
        <v>403</v>
      </c>
      <c r="J149" s="36">
        <v>1157</v>
      </c>
      <c r="K149" s="32" t="s">
        <v>42</v>
      </c>
      <c r="L149" s="32" t="s">
        <v>345</v>
      </c>
      <c r="M149" s="32"/>
      <c r="N149" s="32"/>
      <c r="O149" s="32"/>
      <c r="P149" s="32"/>
      <c r="Q149" s="32"/>
      <c r="R149" s="32"/>
      <c r="S149" s="32" t="s">
        <v>45</v>
      </c>
      <c r="T149" s="32" t="s">
        <v>89</v>
      </c>
      <c r="U149" s="32">
        <v>2</v>
      </c>
      <c r="V149" s="32"/>
      <c r="W149" s="32">
        <v>1</v>
      </c>
      <c r="X149" s="32"/>
      <c r="Y149" s="32"/>
      <c r="Z149" s="32"/>
      <c r="AA149" s="32"/>
      <c r="AB149" s="32"/>
      <c r="AC149" s="32">
        <f t="shared" si="12"/>
        <v>3</v>
      </c>
      <c r="AD149" s="32"/>
      <c r="AE149" s="36"/>
      <c r="AG149" s="38"/>
    </row>
    <row r="150" spans="1:33" s="14" customFormat="1">
      <c r="A150" s="214">
        <f t="shared" si="17"/>
        <v>128</v>
      </c>
      <c r="B150" s="11" t="s">
        <v>124</v>
      </c>
      <c r="C150" s="10" t="s">
        <v>436</v>
      </c>
      <c r="D150" s="10" t="s">
        <v>508</v>
      </c>
      <c r="E150" s="10"/>
      <c r="F150" s="10" t="s">
        <v>37</v>
      </c>
      <c r="G150" s="12" t="s">
        <v>509</v>
      </c>
      <c r="H150" s="10" t="s">
        <v>39</v>
      </c>
      <c r="I150" s="10" t="s">
        <v>403</v>
      </c>
      <c r="J150" s="10">
        <v>1083</v>
      </c>
      <c r="K150" s="10" t="s">
        <v>42</v>
      </c>
      <c r="L150" s="10">
        <v>400</v>
      </c>
      <c r="M150" s="10"/>
      <c r="N150" s="10"/>
      <c r="O150" s="10"/>
      <c r="P150" s="10"/>
      <c r="Q150" s="10"/>
      <c r="R150" s="10">
        <f>IF(H150="CANTOL",2,4)</f>
        <v>4</v>
      </c>
      <c r="S150" s="10" t="s">
        <v>88</v>
      </c>
      <c r="T150" s="10" t="s">
        <v>89</v>
      </c>
      <c r="U150" s="10">
        <v>2</v>
      </c>
      <c r="V150" s="10">
        <v>1</v>
      </c>
      <c r="W150" s="10"/>
      <c r="X150" s="10"/>
      <c r="Y150" s="10"/>
      <c r="Z150" s="10"/>
      <c r="AA150" s="10"/>
      <c r="AB150" s="10"/>
      <c r="AC150" s="10">
        <f t="shared" si="12"/>
        <v>3</v>
      </c>
      <c r="AD150" s="10"/>
      <c r="AE150" s="16"/>
      <c r="AG150" s="17"/>
    </row>
    <row r="151" spans="1:33" s="14" customFormat="1">
      <c r="A151" s="215"/>
      <c r="B151" s="29"/>
      <c r="C151" s="30"/>
      <c r="D151" s="30"/>
      <c r="E151" s="30"/>
      <c r="F151" s="30"/>
      <c r="G151" s="31"/>
      <c r="H151" s="30"/>
      <c r="I151" s="30"/>
      <c r="J151" s="30"/>
      <c r="K151" s="30"/>
      <c r="L151" s="10">
        <v>400</v>
      </c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6"/>
      <c r="AG151" s="17"/>
    </row>
    <row r="152" spans="1:33" s="14" customFormat="1">
      <c r="A152" s="10">
        <f>A150+1</f>
        <v>129</v>
      </c>
      <c r="B152" s="11" t="s">
        <v>124</v>
      </c>
      <c r="C152" s="10" t="s">
        <v>436</v>
      </c>
      <c r="D152" s="10" t="s">
        <v>510</v>
      </c>
      <c r="E152" s="10"/>
      <c r="F152" s="10" t="s">
        <v>37</v>
      </c>
      <c r="G152" s="12" t="s">
        <v>511</v>
      </c>
      <c r="H152" s="10" t="s">
        <v>39</v>
      </c>
      <c r="I152" s="10" t="s">
        <v>403</v>
      </c>
      <c r="J152" s="10" t="s">
        <v>512</v>
      </c>
      <c r="K152" s="10" t="s">
        <v>42</v>
      </c>
      <c r="L152" s="10">
        <v>400</v>
      </c>
      <c r="M152" s="10"/>
      <c r="N152" s="10"/>
      <c r="O152" s="10"/>
      <c r="P152" s="10"/>
      <c r="Q152" s="10"/>
      <c r="R152" s="10">
        <f>IF(H152="CANTOL",2,4)</f>
        <v>4</v>
      </c>
      <c r="S152" s="10" t="s">
        <v>88</v>
      </c>
      <c r="T152" s="10" t="s">
        <v>89</v>
      </c>
      <c r="U152" s="10">
        <v>2</v>
      </c>
      <c r="V152" s="10">
        <v>1</v>
      </c>
      <c r="W152" s="10"/>
      <c r="X152" s="10"/>
      <c r="Y152" s="10"/>
      <c r="Z152" s="10"/>
      <c r="AA152" s="10"/>
      <c r="AB152" s="10"/>
      <c r="AC152" s="10">
        <f t="shared" si="12"/>
        <v>3</v>
      </c>
      <c r="AD152" s="10"/>
      <c r="AE152" s="16"/>
      <c r="AG152" s="17"/>
    </row>
    <row r="153" spans="1:33" s="14" customFormat="1">
      <c r="A153" s="10">
        <f t="shared" si="17"/>
        <v>130</v>
      </c>
      <c r="B153" s="11" t="s">
        <v>124</v>
      </c>
      <c r="C153" s="10" t="s">
        <v>398</v>
      </c>
      <c r="D153" s="10" t="s">
        <v>513</v>
      </c>
      <c r="E153" s="10"/>
      <c r="F153" s="10" t="s">
        <v>37</v>
      </c>
      <c r="G153" s="12" t="s">
        <v>514</v>
      </c>
      <c r="H153" s="10" t="s">
        <v>39</v>
      </c>
      <c r="I153" s="10" t="s">
        <v>403</v>
      </c>
      <c r="J153" s="10" t="s">
        <v>515</v>
      </c>
      <c r="K153" s="10" t="s">
        <v>42</v>
      </c>
      <c r="L153" s="10" t="s">
        <v>452</v>
      </c>
      <c r="M153" s="10"/>
      <c r="N153" s="10" t="s">
        <v>59</v>
      </c>
      <c r="O153" s="10" t="s">
        <v>516</v>
      </c>
      <c r="P153" s="10">
        <v>2015</v>
      </c>
      <c r="Q153" s="10">
        <v>1</v>
      </c>
      <c r="R153" s="10">
        <v>5</v>
      </c>
      <c r="S153" s="10" t="s">
        <v>88</v>
      </c>
      <c r="T153" s="10" t="s">
        <v>89</v>
      </c>
      <c r="U153" s="10">
        <v>2</v>
      </c>
      <c r="V153" s="10">
        <v>1</v>
      </c>
      <c r="W153" s="10"/>
      <c r="X153" s="10"/>
      <c r="Y153" s="10"/>
      <c r="Z153" s="10"/>
      <c r="AA153" s="10"/>
      <c r="AB153" s="10"/>
      <c r="AC153" s="10">
        <f t="shared" si="12"/>
        <v>3</v>
      </c>
      <c r="AD153" s="10"/>
      <c r="AE153" s="16" t="s">
        <v>517</v>
      </c>
      <c r="AG153" s="17" t="s">
        <v>517</v>
      </c>
    </row>
    <row r="154" spans="1:33" s="14" customFormat="1">
      <c r="A154" s="10">
        <f t="shared" si="17"/>
        <v>131</v>
      </c>
      <c r="B154" s="11" t="s">
        <v>124</v>
      </c>
      <c r="C154" s="10" t="s">
        <v>436</v>
      </c>
      <c r="D154" s="10" t="s">
        <v>518</v>
      </c>
      <c r="E154" s="10"/>
      <c r="F154" s="10" t="s">
        <v>37</v>
      </c>
      <c r="G154" s="12" t="s">
        <v>514</v>
      </c>
      <c r="H154" s="10" t="s">
        <v>39</v>
      </c>
      <c r="I154" s="10" t="s">
        <v>403</v>
      </c>
      <c r="J154" s="10" t="s">
        <v>519</v>
      </c>
      <c r="K154" s="10" t="s">
        <v>42</v>
      </c>
      <c r="L154" s="10">
        <v>400</v>
      </c>
      <c r="M154" s="10"/>
      <c r="N154" s="10" t="s">
        <v>59</v>
      </c>
      <c r="O154" s="10">
        <v>153312050</v>
      </c>
      <c r="P154" s="10">
        <v>2015</v>
      </c>
      <c r="Q154" s="10">
        <v>1</v>
      </c>
      <c r="R154" s="10">
        <v>5</v>
      </c>
      <c r="S154" s="10" t="s">
        <v>88</v>
      </c>
      <c r="T154" s="10" t="s">
        <v>89</v>
      </c>
      <c r="U154" s="10">
        <v>2</v>
      </c>
      <c r="V154" s="10">
        <v>1</v>
      </c>
      <c r="W154" s="10"/>
      <c r="X154" s="10"/>
      <c r="Y154" s="10"/>
      <c r="Z154" s="10"/>
      <c r="AA154" s="10"/>
      <c r="AB154" s="10"/>
      <c r="AC154" s="10">
        <f t="shared" si="12"/>
        <v>3</v>
      </c>
      <c r="AD154" s="10"/>
      <c r="AE154" s="16"/>
      <c r="AG154" s="17"/>
    </row>
    <row r="155" spans="1:33" s="14" customFormat="1">
      <c r="A155" s="10">
        <f t="shared" si="17"/>
        <v>132</v>
      </c>
      <c r="B155" s="11" t="s">
        <v>124</v>
      </c>
      <c r="C155" s="10" t="s">
        <v>436</v>
      </c>
      <c r="D155" s="10" t="s">
        <v>520</v>
      </c>
      <c r="E155" s="10"/>
      <c r="F155" s="10" t="s">
        <v>37</v>
      </c>
      <c r="G155" s="12" t="s">
        <v>521</v>
      </c>
      <c r="H155" s="10" t="s">
        <v>39</v>
      </c>
      <c r="I155" s="10" t="s">
        <v>403</v>
      </c>
      <c r="J155" s="10" t="s">
        <v>522</v>
      </c>
      <c r="K155" s="10" t="s">
        <v>42</v>
      </c>
      <c r="L155" s="10">
        <v>400</v>
      </c>
      <c r="M155" s="10"/>
      <c r="N155" s="10"/>
      <c r="O155" s="10"/>
      <c r="P155" s="10"/>
      <c r="Q155" s="10">
        <v>1</v>
      </c>
      <c r="R155" s="10">
        <v>5</v>
      </c>
      <c r="S155" s="10" t="s">
        <v>88</v>
      </c>
      <c r="T155" s="10" t="s">
        <v>89</v>
      </c>
      <c r="U155" s="10">
        <v>2</v>
      </c>
      <c r="V155" s="10">
        <v>1</v>
      </c>
      <c r="W155" s="10"/>
      <c r="X155" s="10"/>
      <c r="Y155" s="10"/>
      <c r="Z155" s="10"/>
      <c r="AA155" s="10"/>
      <c r="AB155" s="10"/>
      <c r="AC155" s="10">
        <f t="shared" si="12"/>
        <v>3</v>
      </c>
      <c r="AD155" s="10"/>
      <c r="AE155" s="16"/>
      <c r="AG155" s="17"/>
    </row>
    <row r="156" spans="1:33" s="44" customFormat="1">
      <c r="A156" s="39">
        <f t="shared" si="17"/>
        <v>133</v>
      </c>
      <c r="B156" s="40" t="s">
        <v>124</v>
      </c>
      <c r="C156" s="39" t="s">
        <v>436</v>
      </c>
      <c r="D156" s="39" t="s">
        <v>523</v>
      </c>
      <c r="E156" s="39"/>
      <c r="F156" s="39" t="s">
        <v>37</v>
      </c>
      <c r="G156" s="41" t="s">
        <v>524</v>
      </c>
      <c r="H156" s="39" t="s">
        <v>39</v>
      </c>
      <c r="I156" s="39" t="s">
        <v>403</v>
      </c>
      <c r="J156" s="39" t="s">
        <v>525</v>
      </c>
      <c r="K156" s="39" t="s">
        <v>42</v>
      </c>
      <c r="L156" s="39">
        <v>400</v>
      </c>
      <c r="M156" s="39"/>
      <c r="N156" s="39"/>
      <c r="O156" s="39"/>
      <c r="P156" s="39"/>
      <c r="Q156" s="39"/>
      <c r="R156" s="39">
        <f>IF(H156="CANTOL",2,4)</f>
        <v>4</v>
      </c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>
        <f t="shared" si="12"/>
        <v>0</v>
      </c>
      <c r="AD156" s="39"/>
      <c r="AE156" s="43"/>
      <c r="AG156" s="45"/>
    </row>
    <row r="157" spans="1:33" s="37" customFormat="1" ht="14.25" customHeight="1">
      <c r="A157" s="32">
        <f t="shared" si="17"/>
        <v>134</v>
      </c>
      <c r="B157" s="33" t="s">
        <v>124</v>
      </c>
      <c r="C157" s="32" t="s">
        <v>436</v>
      </c>
      <c r="D157" s="32" t="s">
        <v>526</v>
      </c>
      <c r="E157" s="32"/>
      <c r="F157" s="32" t="s">
        <v>63</v>
      </c>
      <c r="G157" s="34" t="s">
        <v>527</v>
      </c>
      <c r="H157" s="32" t="s">
        <v>39</v>
      </c>
      <c r="I157" s="32" t="s">
        <v>403</v>
      </c>
      <c r="J157" s="32" t="s">
        <v>528</v>
      </c>
      <c r="K157" s="32" t="s">
        <v>42</v>
      </c>
      <c r="L157" s="32">
        <v>400</v>
      </c>
      <c r="M157" s="32"/>
      <c r="N157" s="32"/>
      <c r="O157" s="32"/>
      <c r="P157" s="32"/>
      <c r="Q157" s="32"/>
      <c r="R157" s="32"/>
      <c r="S157" s="32"/>
      <c r="T157" s="32"/>
      <c r="U157" s="32">
        <v>2</v>
      </c>
      <c r="V157" s="32">
        <v>0</v>
      </c>
      <c r="W157" s="32">
        <v>1</v>
      </c>
      <c r="X157" s="32">
        <v>0</v>
      </c>
      <c r="Y157" s="32"/>
      <c r="Z157" s="32"/>
      <c r="AA157" s="32"/>
      <c r="AB157" s="32"/>
      <c r="AC157" s="32">
        <f t="shared" si="12"/>
        <v>3</v>
      </c>
      <c r="AD157" s="32"/>
      <c r="AE157" s="36"/>
      <c r="AG157" s="38"/>
    </row>
    <row r="158" spans="1:33" s="14" customFormat="1">
      <c r="A158" s="214">
        <f>A156+1</f>
        <v>134</v>
      </c>
      <c r="B158" s="224" t="s">
        <v>124</v>
      </c>
      <c r="C158" s="214" t="s">
        <v>398</v>
      </c>
      <c r="D158" s="214" t="s">
        <v>529</v>
      </c>
      <c r="E158" s="10"/>
      <c r="F158" s="214" t="s">
        <v>37</v>
      </c>
      <c r="G158" s="222" t="s">
        <v>530</v>
      </c>
      <c r="H158" s="214" t="s">
        <v>39</v>
      </c>
      <c r="I158" s="214" t="s">
        <v>403</v>
      </c>
      <c r="J158" s="214"/>
      <c r="K158" s="214" t="s">
        <v>42</v>
      </c>
      <c r="L158" s="10">
        <v>630</v>
      </c>
      <c r="M158" s="10"/>
      <c r="N158" s="10" t="s">
        <v>59</v>
      </c>
      <c r="O158" s="10">
        <v>2633012401</v>
      </c>
      <c r="P158" s="10">
        <v>2026</v>
      </c>
      <c r="Q158" s="10">
        <v>1</v>
      </c>
      <c r="R158" s="10">
        <v>8</v>
      </c>
      <c r="S158" s="214" t="s">
        <v>88</v>
      </c>
      <c r="T158" s="214" t="s">
        <v>89</v>
      </c>
      <c r="U158" s="214">
        <v>2</v>
      </c>
      <c r="V158" s="214">
        <v>1</v>
      </c>
      <c r="W158" s="10"/>
      <c r="X158" s="10"/>
      <c r="Y158" s="10"/>
      <c r="Z158" s="10"/>
      <c r="AA158" s="10"/>
      <c r="AB158" s="10"/>
      <c r="AC158" s="214">
        <f t="shared" si="12"/>
        <v>3</v>
      </c>
      <c r="AD158" s="10"/>
      <c r="AE158" s="216"/>
      <c r="AG158" s="218"/>
    </row>
    <row r="159" spans="1:33" s="14" customFormat="1">
      <c r="A159" s="215"/>
      <c r="B159" s="225"/>
      <c r="C159" s="215"/>
      <c r="D159" s="215"/>
      <c r="E159" s="10"/>
      <c r="F159" s="215"/>
      <c r="G159" s="223"/>
      <c r="H159" s="215"/>
      <c r="I159" s="215"/>
      <c r="J159" s="215"/>
      <c r="K159" s="215"/>
      <c r="L159" s="10">
        <v>630</v>
      </c>
      <c r="M159" s="10"/>
      <c r="N159" s="10" t="s">
        <v>59</v>
      </c>
      <c r="O159" s="10">
        <v>2633012404</v>
      </c>
      <c r="P159" s="10">
        <v>2026</v>
      </c>
      <c r="Q159" s="10">
        <v>1</v>
      </c>
      <c r="R159" s="10">
        <v>8</v>
      </c>
      <c r="S159" s="215"/>
      <c r="T159" s="215"/>
      <c r="U159" s="215"/>
      <c r="V159" s="215"/>
      <c r="W159" s="10"/>
      <c r="X159" s="10"/>
      <c r="Y159" s="10"/>
      <c r="Z159" s="10"/>
      <c r="AA159" s="10"/>
      <c r="AB159" s="10"/>
      <c r="AC159" s="215"/>
      <c r="AD159" s="10"/>
      <c r="AE159" s="217"/>
      <c r="AG159" s="219"/>
    </row>
    <row r="160" spans="1:33" s="14" customFormat="1">
      <c r="A160" s="10">
        <f>A157+1</f>
        <v>135</v>
      </c>
      <c r="B160" s="11" t="s">
        <v>124</v>
      </c>
      <c r="C160" s="10" t="s">
        <v>398</v>
      </c>
      <c r="D160" s="10" t="s">
        <v>531</v>
      </c>
      <c r="E160" s="10"/>
      <c r="F160" s="10" t="s">
        <v>37</v>
      </c>
      <c r="G160" s="12" t="s">
        <v>532</v>
      </c>
      <c r="H160" s="10" t="s">
        <v>39</v>
      </c>
      <c r="I160" s="10" t="s">
        <v>403</v>
      </c>
      <c r="J160" s="10" t="s">
        <v>533</v>
      </c>
      <c r="K160" s="10" t="s">
        <v>42</v>
      </c>
      <c r="L160" s="10">
        <v>400</v>
      </c>
      <c r="M160" s="10"/>
      <c r="N160" s="10"/>
      <c r="O160" s="10"/>
      <c r="P160" s="10"/>
      <c r="Q160" s="10"/>
      <c r="R160" s="10">
        <f>IF(H160="CANTOL",2,4)</f>
        <v>4</v>
      </c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>
        <f t="shared" si="12"/>
        <v>0</v>
      </c>
      <c r="AD160" s="10"/>
      <c r="AE160" s="16"/>
      <c r="AG160" s="17"/>
    </row>
    <row r="161" spans="1:33" s="14" customFormat="1">
      <c r="A161" s="10">
        <f t="shared" si="17"/>
        <v>136</v>
      </c>
      <c r="B161" s="11" t="s">
        <v>34</v>
      </c>
      <c r="C161" s="10" t="s">
        <v>534</v>
      </c>
      <c r="D161" s="10" t="s">
        <v>535</v>
      </c>
      <c r="E161" s="10"/>
      <c r="F161" s="10" t="s">
        <v>37</v>
      </c>
      <c r="G161" s="12" t="s">
        <v>536</v>
      </c>
      <c r="H161" s="10" t="s">
        <v>39</v>
      </c>
      <c r="I161" s="10" t="s">
        <v>40</v>
      </c>
      <c r="J161" s="13" t="s">
        <v>537</v>
      </c>
      <c r="K161" s="10" t="s">
        <v>42</v>
      </c>
      <c r="L161" s="10">
        <v>250</v>
      </c>
      <c r="M161" s="10"/>
      <c r="N161" s="10" t="s">
        <v>424</v>
      </c>
      <c r="O161" s="10">
        <v>14109320</v>
      </c>
      <c r="P161" s="10">
        <v>2014</v>
      </c>
      <c r="Q161" s="104"/>
      <c r="R161" s="10">
        <v>4</v>
      </c>
      <c r="S161" s="10" t="s">
        <v>263</v>
      </c>
      <c r="T161" s="10">
        <v>0</v>
      </c>
      <c r="U161" s="10">
        <v>2</v>
      </c>
      <c r="V161" s="10">
        <v>1</v>
      </c>
      <c r="W161" s="10">
        <v>0</v>
      </c>
      <c r="X161" s="10">
        <v>0</v>
      </c>
      <c r="Y161" s="10"/>
      <c r="Z161" s="10">
        <v>0</v>
      </c>
      <c r="AA161" s="10"/>
      <c r="AB161" s="10"/>
      <c r="AC161" s="10">
        <f t="shared" si="12"/>
        <v>3</v>
      </c>
      <c r="AD161" s="10"/>
      <c r="AE161" s="16" t="s">
        <v>538</v>
      </c>
      <c r="AG161" s="17"/>
    </row>
    <row r="162" spans="1:33" s="14" customFormat="1">
      <c r="A162" s="214">
        <f t="shared" si="17"/>
        <v>137</v>
      </c>
      <c r="B162" s="25" t="s">
        <v>34</v>
      </c>
      <c r="C162" s="26" t="s">
        <v>534</v>
      </c>
      <c r="D162" s="26" t="s">
        <v>539</v>
      </c>
      <c r="E162" s="26"/>
      <c r="F162" s="26" t="s">
        <v>37</v>
      </c>
      <c r="G162" s="27" t="s">
        <v>540</v>
      </c>
      <c r="H162" s="26" t="s">
        <v>39</v>
      </c>
      <c r="I162" s="10" t="s">
        <v>136</v>
      </c>
      <c r="J162" s="28" t="s">
        <v>541</v>
      </c>
      <c r="K162" s="26" t="s">
        <v>42</v>
      </c>
      <c r="L162" s="10">
        <v>250</v>
      </c>
      <c r="M162" s="10"/>
      <c r="N162" s="10" t="s">
        <v>43</v>
      </c>
      <c r="O162" s="10">
        <v>16468</v>
      </c>
      <c r="P162" s="10">
        <v>1982</v>
      </c>
      <c r="Q162" s="10"/>
      <c r="R162" s="10">
        <v>2</v>
      </c>
      <c r="S162" s="10" t="s">
        <v>542</v>
      </c>
      <c r="T162" s="10" t="s">
        <v>543</v>
      </c>
      <c r="U162" s="10">
        <v>2</v>
      </c>
      <c r="V162" s="10">
        <v>2</v>
      </c>
      <c r="W162" s="10">
        <v>0</v>
      </c>
      <c r="X162" s="10">
        <v>0</v>
      </c>
      <c r="Y162" s="10"/>
      <c r="Z162" s="10">
        <v>0</v>
      </c>
      <c r="AA162" s="10"/>
      <c r="AB162" s="10"/>
      <c r="AC162" s="10">
        <f t="shared" si="12"/>
        <v>4</v>
      </c>
      <c r="AD162" s="10"/>
      <c r="AE162" s="16"/>
      <c r="AG162" s="17"/>
    </row>
    <row r="163" spans="1:33" s="14" customFormat="1">
      <c r="A163" s="215"/>
      <c r="B163" s="29"/>
      <c r="C163" s="30"/>
      <c r="D163" s="30"/>
      <c r="E163" s="30"/>
      <c r="F163" s="30"/>
      <c r="G163" s="31"/>
      <c r="H163" s="30"/>
      <c r="I163" s="30"/>
      <c r="J163" s="30"/>
      <c r="K163" s="30"/>
      <c r="L163" s="10">
        <v>400</v>
      </c>
      <c r="M163" s="10"/>
      <c r="N163" s="10" t="s">
        <v>544</v>
      </c>
      <c r="O163" s="10">
        <v>7815109</v>
      </c>
      <c r="P163" s="10">
        <v>1979</v>
      </c>
      <c r="Q163" s="10"/>
      <c r="R163" s="10">
        <v>2</v>
      </c>
      <c r="S163" s="10" t="s">
        <v>542</v>
      </c>
      <c r="T163" s="10" t="s">
        <v>543</v>
      </c>
      <c r="U163" s="10">
        <v>2</v>
      </c>
      <c r="V163" s="10">
        <v>2</v>
      </c>
      <c r="W163" s="10">
        <v>0</v>
      </c>
      <c r="X163" s="10">
        <v>0</v>
      </c>
      <c r="Y163" s="10"/>
      <c r="Z163" s="10">
        <v>0</v>
      </c>
      <c r="AA163" s="10"/>
      <c r="AB163" s="10"/>
      <c r="AC163" s="10">
        <f t="shared" si="12"/>
        <v>4</v>
      </c>
      <c r="AD163" s="10"/>
      <c r="AE163" s="16"/>
      <c r="AG163" s="17"/>
    </row>
    <row r="164" spans="1:33" s="99" customFormat="1">
      <c r="A164" s="95">
        <f>A162+1</f>
        <v>138</v>
      </c>
      <c r="B164" s="96" t="s">
        <v>34</v>
      </c>
      <c r="C164" s="95" t="s">
        <v>534</v>
      </c>
      <c r="D164" s="95" t="s">
        <v>545</v>
      </c>
      <c r="E164" s="95"/>
      <c r="F164" s="95" t="s">
        <v>37</v>
      </c>
      <c r="G164" s="97" t="s">
        <v>540</v>
      </c>
      <c r="H164" s="95" t="s">
        <v>39</v>
      </c>
      <c r="I164" s="95" t="s">
        <v>40</v>
      </c>
      <c r="J164" s="105" t="s">
        <v>546</v>
      </c>
      <c r="K164" s="95" t="s">
        <v>42</v>
      </c>
      <c r="L164" s="95">
        <v>400</v>
      </c>
      <c r="M164" s="95"/>
      <c r="N164" s="95" t="s">
        <v>93</v>
      </c>
      <c r="O164" s="95" t="s">
        <v>462</v>
      </c>
      <c r="P164" s="95">
        <v>2022</v>
      </c>
      <c r="Q164" s="95"/>
      <c r="R164" s="95">
        <v>4</v>
      </c>
      <c r="S164" s="95" t="s">
        <v>542</v>
      </c>
      <c r="T164" s="95" t="s">
        <v>543</v>
      </c>
      <c r="U164" s="95">
        <v>3</v>
      </c>
      <c r="V164" s="95">
        <v>1</v>
      </c>
      <c r="W164" s="95">
        <v>0</v>
      </c>
      <c r="X164" s="95">
        <v>0</v>
      </c>
      <c r="Y164" s="95"/>
      <c r="Z164" s="95">
        <v>0</v>
      </c>
      <c r="AA164" s="95"/>
      <c r="AB164" s="95"/>
      <c r="AC164" s="95">
        <f t="shared" si="12"/>
        <v>4</v>
      </c>
      <c r="AD164" s="95"/>
      <c r="AE164" s="98"/>
      <c r="AG164" s="100"/>
    </row>
    <row r="165" spans="1:33" s="44" customFormat="1">
      <c r="A165" s="39">
        <f t="shared" si="17"/>
        <v>139</v>
      </c>
      <c r="B165" s="40" t="s">
        <v>34</v>
      </c>
      <c r="C165" s="39" t="s">
        <v>534</v>
      </c>
      <c r="D165" s="39" t="s">
        <v>547</v>
      </c>
      <c r="E165" s="39"/>
      <c r="F165" s="39" t="s">
        <v>63</v>
      </c>
      <c r="G165" s="41" t="s">
        <v>548</v>
      </c>
      <c r="H165" s="39" t="s">
        <v>39</v>
      </c>
      <c r="I165" s="39" t="s">
        <v>50</v>
      </c>
      <c r="J165" s="42" t="s">
        <v>549</v>
      </c>
      <c r="K165" s="39" t="s">
        <v>42</v>
      </c>
      <c r="L165" s="39">
        <v>250</v>
      </c>
      <c r="M165" s="39"/>
      <c r="N165" s="39" t="s">
        <v>93</v>
      </c>
      <c r="O165" s="39" t="s">
        <v>550</v>
      </c>
      <c r="P165" s="39" t="s">
        <v>444</v>
      </c>
      <c r="Q165" s="39"/>
      <c r="R165" s="39">
        <v>1</v>
      </c>
      <c r="S165" s="39" t="s">
        <v>45</v>
      </c>
      <c r="T165" s="39" t="s">
        <v>46</v>
      </c>
      <c r="U165" s="39">
        <v>2</v>
      </c>
      <c r="V165" s="39">
        <v>1</v>
      </c>
      <c r="W165" s="39">
        <v>1</v>
      </c>
      <c r="X165" s="39">
        <v>0</v>
      </c>
      <c r="Y165" s="39"/>
      <c r="Z165" s="39">
        <v>0</v>
      </c>
      <c r="AA165" s="39"/>
      <c r="AB165" s="39"/>
      <c r="AC165" s="39">
        <f t="shared" si="12"/>
        <v>4</v>
      </c>
      <c r="AD165" s="39"/>
      <c r="AE165" s="43"/>
      <c r="AG165" s="45"/>
    </row>
    <row r="166" spans="1:33" s="14" customFormat="1">
      <c r="A166" s="10">
        <f t="shared" si="17"/>
        <v>140</v>
      </c>
      <c r="B166" s="11" t="s">
        <v>34</v>
      </c>
      <c r="C166" s="10" t="s">
        <v>534</v>
      </c>
      <c r="D166" s="10" t="s">
        <v>551</v>
      </c>
      <c r="E166" s="10"/>
      <c r="F166" s="10" t="s">
        <v>37</v>
      </c>
      <c r="G166" s="12" t="s">
        <v>552</v>
      </c>
      <c r="H166" s="10" t="s">
        <v>39</v>
      </c>
      <c r="I166" s="10" t="s">
        <v>50</v>
      </c>
      <c r="J166" s="13" t="s">
        <v>553</v>
      </c>
      <c r="K166" s="10" t="s">
        <v>42</v>
      </c>
      <c r="L166" s="10">
        <v>400</v>
      </c>
      <c r="M166" s="10"/>
      <c r="N166" s="10" t="s">
        <v>554</v>
      </c>
      <c r="O166" s="10">
        <v>11024</v>
      </c>
      <c r="P166" s="10">
        <v>1997</v>
      </c>
      <c r="Q166" s="10"/>
      <c r="R166" s="10">
        <v>4</v>
      </c>
      <c r="S166" s="10" t="s">
        <v>133</v>
      </c>
      <c r="T166" s="10" t="s">
        <v>89</v>
      </c>
      <c r="U166" s="10">
        <v>2</v>
      </c>
      <c r="V166" s="10">
        <v>1</v>
      </c>
      <c r="W166" s="10">
        <v>0</v>
      </c>
      <c r="X166" s="10">
        <v>0</v>
      </c>
      <c r="Y166" s="10"/>
      <c r="Z166" s="10">
        <v>0</v>
      </c>
      <c r="AA166" s="10"/>
      <c r="AB166" s="10"/>
      <c r="AC166" s="10">
        <f t="shared" si="12"/>
        <v>3</v>
      </c>
      <c r="AD166" s="10"/>
      <c r="AE166" s="16"/>
      <c r="AG166" s="17"/>
    </row>
    <row r="167" spans="1:33" s="44" customFormat="1">
      <c r="A167" s="39">
        <f t="shared" si="17"/>
        <v>141</v>
      </c>
      <c r="B167" s="40" t="s">
        <v>34</v>
      </c>
      <c r="C167" s="39" t="s">
        <v>534</v>
      </c>
      <c r="D167" s="39" t="s">
        <v>555</v>
      </c>
      <c r="E167" s="39"/>
      <c r="F167" s="39" t="s">
        <v>37</v>
      </c>
      <c r="G167" s="41" t="s">
        <v>556</v>
      </c>
      <c r="H167" s="39" t="s">
        <v>39</v>
      </c>
      <c r="I167" s="39" t="s">
        <v>136</v>
      </c>
      <c r="J167" s="42" t="s">
        <v>557</v>
      </c>
      <c r="K167" s="39" t="s">
        <v>42</v>
      </c>
      <c r="L167" s="39">
        <v>400</v>
      </c>
      <c r="M167" s="39"/>
      <c r="N167" s="39" t="s">
        <v>544</v>
      </c>
      <c r="O167" s="39">
        <v>7815056</v>
      </c>
      <c r="P167" s="39">
        <v>1979</v>
      </c>
      <c r="Q167" s="39"/>
      <c r="R167" s="39">
        <v>5</v>
      </c>
      <c r="S167" s="39" t="s">
        <v>45</v>
      </c>
      <c r="T167" s="39" t="s">
        <v>46</v>
      </c>
      <c r="U167" s="39">
        <v>2</v>
      </c>
      <c r="V167" s="39">
        <v>1</v>
      </c>
      <c r="W167" s="39">
        <v>0</v>
      </c>
      <c r="X167" s="39">
        <v>0</v>
      </c>
      <c r="Y167" s="39"/>
      <c r="Z167" s="39">
        <v>0</v>
      </c>
      <c r="AA167" s="39"/>
      <c r="AB167" s="39"/>
      <c r="AC167" s="39">
        <f t="shared" si="12"/>
        <v>3</v>
      </c>
      <c r="AD167" s="39"/>
      <c r="AE167" s="43"/>
      <c r="AG167" s="45"/>
    </row>
    <row r="168" spans="1:33" s="37" customFormat="1">
      <c r="A168" s="32">
        <f t="shared" si="17"/>
        <v>142</v>
      </c>
      <c r="B168" s="33" t="s">
        <v>34</v>
      </c>
      <c r="C168" s="32" t="s">
        <v>534</v>
      </c>
      <c r="D168" s="32" t="s">
        <v>558</v>
      </c>
      <c r="E168" s="32"/>
      <c r="F168" s="32" t="s">
        <v>63</v>
      </c>
      <c r="G168" s="34" t="s">
        <v>559</v>
      </c>
      <c r="H168" s="32" t="s">
        <v>39</v>
      </c>
      <c r="I168" s="32" t="s">
        <v>50</v>
      </c>
      <c r="J168" s="35" t="s">
        <v>560</v>
      </c>
      <c r="K168" s="32" t="s">
        <v>42</v>
      </c>
      <c r="L168" s="32"/>
      <c r="M168" s="32"/>
      <c r="N168" s="32"/>
      <c r="O168" s="32"/>
      <c r="P168" s="32"/>
      <c r="Q168" s="32"/>
      <c r="R168" s="32"/>
      <c r="S168" s="32" t="s">
        <v>45</v>
      </c>
      <c r="T168" s="32" t="s">
        <v>46</v>
      </c>
      <c r="U168" s="32">
        <v>2</v>
      </c>
      <c r="V168" s="32">
        <v>1</v>
      </c>
      <c r="W168" s="32">
        <v>0</v>
      </c>
      <c r="X168" s="32">
        <v>0</v>
      </c>
      <c r="Y168" s="32"/>
      <c r="Z168" s="32">
        <v>0</v>
      </c>
      <c r="AA168" s="32"/>
      <c r="AB168" s="32"/>
      <c r="AC168" s="32">
        <f t="shared" si="12"/>
        <v>3</v>
      </c>
      <c r="AD168" s="32"/>
      <c r="AE168" s="36"/>
      <c r="AG168" s="38"/>
    </row>
    <row r="169" spans="1:33" s="44" customFormat="1">
      <c r="A169" s="39">
        <f t="shared" si="17"/>
        <v>143</v>
      </c>
      <c r="B169" s="40" t="s">
        <v>34</v>
      </c>
      <c r="C169" s="39" t="s">
        <v>534</v>
      </c>
      <c r="D169" s="39" t="s">
        <v>561</v>
      </c>
      <c r="E169" s="39"/>
      <c r="F169" s="39" t="s">
        <v>48</v>
      </c>
      <c r="G169" s="41" t="s">
        <v>562</v>
      </c>
      <c r="H169" s="39" t="s">
        <v>39</v>
      </c>
      <c r="I169" s="39" t="s">
        <v>136</v>
      </c>
      <c r="J169" s="42" t="s">
        <v>563</v>
      </c>
      <c r="K169" s="39" t="s">
        <v>42</v>
      </c>
      <c r="L169" s="39">
        <v>250</v>
      </c>
      <c r="M169" s="39"/>
      <c r="N169" s="39" t="s">
        <v>43</v>
      </c>
      <c r="O169" s="39">
        <v>17345</v>
      </c>
      <c r="P169" s="39">
        <v>1982</v>
      </c>
      <c r="Q169" s="39"/>
      <c r="R169" s="39">
        <f>IF(H169="CANTOL",2,4)</f>
        <v>4</v>
      </c>
      <c r="S169" s="39" t="s">
        <v>45</v>
      </c>
      <c r="T169" s="39" t="s">
        <v>46</v>
      </c>
      <c r="U169" s="39">
        <v>5</v>
      </c>
      <c r="V169" s="39">
        <v>1</v>
      </c>
      <c r="W169" s="39">
        <v>1</v>
      </c>
      <c r="X169" s="39">
        <v>0</v>
      </c>
      <c r="Y169" s="39"/>
      <c r="Z169" s="39">
        <v>0</v>
      </c>
      <c r="AA169" s="39"/>
      <c r="AB169" s="39"/>
      <c r="AC169" s="39">
        <f t="shared" si="12"/>
        <v>7</v>
      </c>
      <c r="AD169" s="39"/>
      <c r="AE169" s="43"/>
      <c r="AG169" s="45"/>
    </row>
    <row r="170" spans="1:33" s="37" customFormat="1">
      <c r="A170" s="32">
        <f t="shared" si="17"/>
        <v>144</v>
      </c>
      <c r="B170" s="33" t="s">
        <v>34</v>
      </c>
      <c r="C170" s="32" t="s">
        <v>534</v>
      </c>
      <c r="D170" s="32" t="s">
        <v>564</v>
      </c>
      <c r="E170" s="32"/>
      <c r="F170" s="32" t="s">
        <v>63</v>
      </c>
      <c r="G170" s="34" t="s">
        <v>565</v>
      </c>
      <c r="H170" s="32" t="s">
        <v>39</v>
      </c>
      <c r="I170" s="32" t="s">
        <v>50</v>
      </c>
      <c r="J170" s="35" t="s">
        <v>566</v>
      </c>
      <c r="K170" s="32" t="s">
        <v>42</v>
      </c>
      <c r="L170" s="32"/>
      <c r="M170" s="32"/>
      <c r="N170" s="32"/>
      <c r="O170" s="32"/>
      <c r="P170" s="32"/>
      <c r="Q170" s="32"/>
      <c r="R170" s="32"/>
      <c r="S170" s="32" t="s">
        <v>45</v>
      </c>
      <c r="T170" s="32" t="s">
        <v>46</v>
      </c>
      <c r="U170" s="32">
        <v>2</v>
      </c>
      <c r="V170" s="32">
        <v>0</v>
      </c>
      <c r="W170" s="32">
        <v>1</v>
      </c>
      <c r="X170" s="32">
        <v>1</v>
      </c>
      <c r="Y170" s="32"/>
      <c r="Z170" s="32">
        <v>1</v>
      </c>
      <c r="AA170" s="32"/>
      <c r="AB170" s="32"/>
      <c r="AC170" s="32">
        <f t="shared" si="12"/>
        <v>5</v>
      </c>
      <c r="AD170" s="32"/>
      <c r="AE170" s="36"/>
      <c r="AG170" s="38"/>
    </row>
    <row r="171" spans="1:33" s="14" customFormat="1">
      <c r="A171" s="10">
        <f t="shared" si="17"/>
        <v>145</v>
      </c>
      <c r="B171" s="11" t="s">
        <v>34</v>
      </c>
      <c r="C171" s="10" t="s">
        <v>534</v>
      </c>
      <c r="D171" s="10" t="s">
        <v>567</v>
      </c>
      <c r="E171" s="10"/>
      <c r="F171" s="10" t="s">
        <v>37</v>
      </c>
      <c r="G171" s="12" t="s">
        <v>568</v>
      </c>
      <c r="H171" s="10" t="s">
        <v>39</v>
      </c>
      <c r="I171" s="10" t="s">
        <v>40</v>
      </c>
      <c r="J171" s="13" t="s">
        <v>569</v>
      </c>
      <c r="K171" s="10" t="s">
        <v>42</v>
      </c>
      <c r="L171" s="10">
        <v>400</v>
      </c>
      <c r="M171" s="10"/>
      <c r="N171" s="10" t="s">
        <v>70</v>
      </c>
      <c r="O171" s="10">
        <v>10899411</v>
      </c>
      <c r="P171" s="10">
        <v>1980</v>
      </c>
      <c r="Q171" s="10"/>
      <c r="R171" s="10">
        <v>4</v>
      </c>
      <c r="S171" s="10" t="s">
        <v>45</v>
      </c>
      <c r="T171" s="10" t="s">
        <v>46</v>
      </c>
      <c r="U171" s="10">
        <v>2</v>
      </c>
      <c r="V171" s="10">
        <v>1</v>
      </c>
      <c r="W171" s="10">
        <v>0</v>
      </c>
      <c r="X171" s="10">
        <v>0</v>
      </c>
      <c r="Y171" s="10"/>
      <c r="Z171" s="10">
        <v>0</v>
      </c>
      <c r="AA171" s="10"/>
      <c r="AB171" s="10"/>
      <c r="AC171" s="10">
        <f t="shared" si="12"/>
        <v>3</v>
      </c>
      <c r="AD171" s="10"/>
      <c r="AE171" s="16"/>
      <c r="AG171" s="17"/>
    </row>
    <row r="172" spans="1:33" s="14" customFormat="1">
      <c r="A172" s="10">
        <f t="shared" si="17"/>
        <v>146</v>
      </c>
      <c r="B172" s="11" t="s">
        <v>34</v>
      </c>
      <c r="C172" s="10" t="s">
        <v>534</v>
      </c>
      <c r="D172" s="10" t="s">
        <v>570</v>
      </c>
      <c r="E172" s="10"/>
      <c r="F172" s="10" t="s">
        <v>37</v>
      </c>
      <c r="G172" s="12" t="s">
        <v>571</v>
      </c>
      <c r="H172" s="10" t="s">
        <v>39</v>
      </c>
      <c r="I172" s="10" t="s">
        <v>40</v>
      </c>
      <c r="J172" s="13" t="s">
        <v>572</v>
      </c>
      <c r="K172" s="10" t="s">
        <v>42</v>
      </c>
      <c r="L172" s="10">
        <v>400</v>
      </c>
      <c r="M172" s="10"/>
      <c r="N172" s="10" t="s">
        <v>573</v>
      </c>
      <c r="O172" s="10" t="s">
        <v>574</v>
      </c>
      <c r="P172" s="10">
        <v>1984</v>
      </c>
      <c r="Q172" s="10"/>
      <c r="R172" s="10">
        <v>4</v>
      </c>
      <c r="S172" s="10" t="s">
        <v>45</v>
      </c>
      <c r="T172" s="10" t="s">
        <v>46</v>
      </c>
      <c r="U172" s="10">
        <v>2</v>
      </c>
      <c r="V172" s="10">
        <v>1</v>
      </c>
      <c r="W172" s="10">
        <v>1</v>
      </c>
      <c r="X172" s="10">
        <v>0</v>
      </c>
      <c r="Y172" s="10"/>
      <c r="Z172" s="10">
        <v>0</v>
      </c>
      <c r="AA172" s="10"/>
      <c r="AB172" s="10"/>
      <c r="AC172" s="10">
        <f t="shared" si="12"/>
        <v>4</v>
      </c>
      <c r="AD172" s="10"/>
      <c r="AE172" s="16" t="s">
        <v>575</v>
      </c>
      <c r="AG172" s="17"/>
    </row>
    <row r="173" spans="1:33" s="14" customFormat="1">
      <c r="A173" s="10">
        <f t="shared" si="17"/>
        <v>147</v>
      </c>
      <c r="B173" s="11" t="s">
        <v>124</v>
      </c>
      <c r="C173" s="10" t="s">
        <v>576</v>
      </c>
      <c r="D173" s="10" t="s">
        <v>577</v>
      </c>
      <c r="E173" s="10"/>
      <c r="F173" s="10" t="s">
        <v>37</v>
      </c>
      <c r="G173" s="12" t="s">
        <v>578</v>
      </c>
      <c r="H173" s="10" t="s">
        <v>39</v>
      </c>
      <c r="I173" s="10" t="s">
        <v>136</v>
      </c>
      <c r="J173" s="13" t="s">
        <v>579</v>
      </c>
      <c r="K173" s="10" t="s">
        <v>42</v>
      </c>
      <c r="L173" s="10">
        <v>630</v>
      </c>
      <c r="M173" s="10"/>
      <c r="N173" s="10" t="s">
        <v>59</v>
      </c>
      <c r="O173" s="10">
        <v>9731878</v>
      </c>
      <c r="P173" s="10">
        <v>1997</v>
      </c>
      <c r="Q173" s="10"/>
      <c r="R173" s="10">
        <v>3</v>
      </c>
      <c r="S173" s="10" t="s">
        <v>45</v>
      </c>
      <c r="T173" s="10" t="s">
        <v>46</v>
      </c>
      <c r="U173" s="10">
        <v>2</v>
      </c>
      <c r="V173" s="10">
        <v>1</v>
      </c>
      <c r="W173" s="10">
        <v>0</v>
      </c>
      <c r="X173" s="10">
        <v>0</v>
      </c>
      <c r="Y173" s="10"/>
      <c r="Z173" s="10">
        <v>0</v>
      </c>
      <c r="AA173" s="10"/>
      <c r="AB173" s="10"/>
      <c r="AC173" s="10">
        <f t="shared" si="12"/>
        <v>3</v>
      </c>
      <c r="AD173" s="10"/>
      <c r="AE173" s="16"/>
      <c r="AG173" s="17"/>
    </row>
    <row r="174" spans="1:33" s="37" customFormat="1">
      <c r="A174" s="32">
        <f t="shared" si="17"/>
        <v>148</v>
      </c>
      <c r="B174" s="33" t="s">
        <v>124</v>
      </c>
      <c r="C174" s="32" t="s">
        <v>576</v>
      </c>
      <c r="D174" s="32" t="s">
        <v>580</v>
      </c>
      <c r="E174" s="32"/>
      <c r="F174" s="32" t="s">
        <v>63</v>
      </c>
      <c r="G174" s="34" t="s">
        <v>581</v>
      </c>
      <c r="H174" s="32" t="s">
        <v>39</v>
      </c>
      <c r="I174" s="32" t="s">
        <v>40</v>
      </c>
      <c r="J174" s="35" t="s">
        <v>582</v>
      </c>
      <c r="K174" s="32" t="s">
        <v>42</v>
      </c>
      <c r="L174" s="32"/>
      <c r="M174" s="32"/>
      <c r="N174" s="32"/>
      <c r="O174" s="32"/>
      <c r="P174" s="32"/>
      <c r="Q174" s="32"/>
      <c r="R174" s="32"/>
      <c r="S174" s="32" t="s">
        <v>43</v>
      </c>
      <c r="T174" s="32" t="s">
        <v>85</v>
      </c>
      <c r="U174" s="32">
        <v>2</v>
      </c>
      <c r="V174" s="32">
        <v>0</v>
      </c>
      <c r="W174" s="32">
        <v>0</v>
      </c>
      <c r="X174" s="32">
        <v>0</v>
      </c>
      <c r="Y174" s="32"/>
      <c r="Z174" s="32">
        <v>0</v>
      </c>
      <c r="AA174" s="32"/>
      <c r="AB174" s="32"/>
      <c r="AC174" s="32">
        <f t="shared" si="12"/>
        <v>2</v>
      </c>
      <c r="AD174" s="32"/>
      <c r="AE174" s="36"/>
      <c r="AG174" s="38" t="s">
        <v>583</v>
      </c>
    </row>
    <row r="175" spans="1:33" s="37" customFormat="1">
      <c r="A175" s="32">
        <f t="shared" si="17"/>
        <v>149</v>
      </c>
      <c r="B175" s="33" t="s">
        <v>124</v>
      </c>
      <c r="C175" s="32" t="s">
        <v>576</v>
      </c>
      <c r="D175" s="32" t="s">
        <v>584</v>
      </c>
      <c r="E175" s="32"/>
      <c r="F175" s="32" t="s">
        <v>63</v>
      </c>
      <c r="G175" s="34" t="s">
        <v>585</v>
      </c>
      <c r="H175" s="32" t="s">
        <v>39</v>
      </c>
      <c r="I175" s="32" t="s">
        <v>50</v>
      </c>
      <c r="J175" s="32" t="s">
        <v>586</v>
      </c>
      <c r="K175" s="32" t="s">
        <v>42</v>
      </c>
      <c r="L175" s="32"/>
      <c r="M175" s="32"/>
      <c r="N175" s="32"/>
      <c r="O175" s="32"/>
      <c r="P175" s="32"/>
      <c r="Q175" s="32"/>
      <c r="R175" s="32"/>
      <c r="S175" s="32" t="s">
        <v>45</v>
      </c>
      <c r="T175" s="32" t="s">
        <v>89</v>
      </c>
      <c r="U175" s="32">
        <v>2</v>
      </c>
      <c r="V175" s="32">
        <v>0</v>
      </c>
      <c r="W175" s="32">
        <v>0</v>
      </c>
      <c r="X175" s="32">
        <v>0</v>
      </c>
      <c r="Y175" s="32"/>
      <c r="Z175" s="32">
        <v>0</v>
      </c>
      <c r="AA175" s="32"/>
      <c r="AB175" s="32"/>
      <c r="AC175" s="32">
        <f t="shared" si="12"/>
        <v>2</v>
      </c>
      <c r="AD175" s="32"/>
      <c r="AE175" s="36"/>
      <c r="AG175" s="38"/>
    </row>
    <row r="176" spans="1:33" s="37" customFormat="1">
      <c r="A176" s="32">
        <f t="shared" si="17"/>
        <v>150</v>
      </c>
      <c r="B176" s="33" t="s">
        <v>124</v>
      </c>
      <c r="C176" s="32" t="s">
        <v>576</v>
      </c>
      <c r="D176" s="32" t="s">
        <v>587</v>
      </c>
      <c r="E176" s="32"/>
      <c r="F176" s="32" t="s">
        <v>63</v>
      </c>
      <c r="G176" s="34" t="s">
        <v>588</v>
      </c>
      <c r="H176" s="32" t="s">
        <v>39</v>
      </c>
      <c r="I176" s="32" t="s">
        <v>50</v>
      </c>
      <c r="J176" s="35" t="s">
        <v>589</v>
      </c>
      <c r="K176" s="32" t="s">
        <v>42</v>
      </c>
      <c r="L176" s="32"/>
      <c r="M176" s="32"/>
      <c r="N176" s="32"/>
      <c r="O176" s="32"/>
      <c r="P176" s="32"/>
      <c r="Q176" s="32"/>
      <c r="R176" s="32"/>
      <c r="S176" s="32" t="s">
        <v>43</v>
      </c>
      <c r="T176" s="32" t="s">
        <v>85</v>
      </c>
      <c r="U176" s="32">
        <v>2</v>
      </c>
      <c r="V176" s="32">
        <v>0</v>
      </c>
      <c r="W176" s="32">
        <v>0</v>
      </c>
      <c r="X176" s="32">
        <v>0</v>
      </c>
      <c r="Y176" s="32"/>
      <c r="Z176" s="32">
        <v>0</v>
      </c>
      <c r="AA176" s="32"/>
      <c r="AB176" s="32"/>
      <c r="AC176" s="32">
        <f t="shared" si="12"/>
        <v>2</v>
      </c>
      <c r="AD176" s="32"/>
      <c r="AE176" s="36"/>
      <c r="AG176" s="38" t="s">
        <v>590</v>
      </c>
    </row>
    <row r="177" spans="1:33" s="37" customFormat="1">
      <c r="A177" s="32">
        <f t="shared" si="17"/>
        <v>151</v>
      </c>
      <c r="B177" s="33" t="s">
        <v>124</v>
      </c>
      <c r="C177" s="32" t="s">
        <v>576</v>
      </c>
      <c r="D177" s="32" t="s">
        <v>591</v>
      </c>
      <c r="E177" s="32"/>
      <c r="F177" s="32" t="s">
        <v>63</v>
      </c>
      <c r="G177" s="34" t="s">
        <v>592</v>
      </c>
      <c r="H177" s="32" t="s">
        <v>39</v>
      </c>
      <c r="I177" s="32" t="s">
        <v>50</v>
      </c>
      <c r="J177" s="35" t="s">
        <v>593</v>
      </c>
      <c r="K177" s="32" t="s">
        <v>42</v>
      </c>
      <c r="L177" s="32"/>
      <c r="M177" s="32"/>
      <c r="N177" s="32"/>
      <c r="O177" s="32"/>
      <c r="P177" s="32"/>
      <c r="Q177" s="32"/>
      <c r="R177" s="32"/>
      <c r="S177" s="32" t="s">
        <v>45</v>
      </c>
      <c r="T177" s="32" t="s">
        <v>89</v>
      </c>
      <c r="U177" s="32">
        <v>2</v>
      </c>
      <c r="V177" s="32">
        <v>0</v>
      </c>
      <c r="W177" s="32">
        <v>1</v>
      </c>
      <c r="X177" s="32">
        <v>0</v>
      </c>
      <c r="Y177" s="32"/>
      <c r="Z177" s="32">
        <v>0</v>
      </c>
      <c r="AA177" s="32"/>
      <c r="AB177" s="32"/>
      <c r="AC177" s="32">
        <f t="shared" si="12"/>
        <v>3</v>
      </c>
      <c r="AD177" s="32"/>
      <c r="AE177" s="36"/>
      <c r="AG177" s="38"/>
    </row>
    <row r="178" spans="1:33" s="37" customFormat="1">
      <c r="A178" s="32">
        <f t="shared" si="17"/>
        <v>152</v>
      </c>
      <c r="B178" s="33" t="s">
        <v>124</v>
      </c>
      <c r="C178" s="32" t="s">
        <v>576</v>
      </c>
      <c r="D178" s="32" t="s">
        <v>594</v>
      </c>
      <c r="E178" s="32"/>
      <c r="F178" s="32" t="s">
        <v>63</v>
      </c>
      <c r="G178" s="34" t="s">
        <v>595</v>
      </c>
      <c r="H178" s="32" t="s">
        <v>39</v>
      </c>
      <c r="I178" s="32" t="s">
        <v>50</v>
      </c>
      <c r="J178" s="35" t="s">
        <v>596</v>
      </c>
      <c r="K178" s="32" t="s">
        <v>42</v>
      </c>
      <c r="L178" s="32"/>
      <c r="M178" s="32"/>
      <c r="N178" s="32"/>
      <c r="O178" s="32"/>
      <c r="P178" s="32"/>
      <c r="Q178" s="32"/>
      <c r="R178" s="32"/>
      <c r="S178" s="32" t="s">
        <v>45</v>
      </c>
      <c r="T178" s="32" t="s">
        <v>46</v>
      </c>
      <c r="U178" s="32">
        <v>2</v>
      </c>
      <c r="V178" s="32">
        <v>0</v>
      </c>
      <c r="W178" s="32">
        <v>1</v>
      </c>
      <c r="X178" s="32">
        <v>1</v>
      </c>
      <c r="Y178" s="32"/>
      <c r="Z178" s="32">
        <v>0</v>
      </c>
      <c r="AA178" s="32"/>
      <c r="AB178" s="32"/>
      <c r="AC178" s="32">
        <f t="shared" si="12"/>
        <v>4</v>
      </c>
      <c r="AD178" s="32"/>
      <c r="AE178" s="36"/>
      <c r="AG178" s="38" t="s">
        <v>597</v>
      </c>
    </row>
    <row r="179" spans="1:33" s="37" customFormat="1">
      <c r="A179" s="32">
        <f t="shared" si="17"/>
        <v>153</v>
      </c>
      <c r="B179" s="33" t="s">
        <v>124</v>
      </c>
      <c r="C179" s="32" t="s">
        <v>576</v>
      </c>
      <c r="D179" s="32" t="s">
        <v>598</v>
      </c>
      <c r="E179" s="32"/>
      <c r="F179" s="32" t="s">
        <v>63</v>
      </c>
      <c r="G179" s="34" t="s">
        <v>599</v>
      </c>
      <c r="H179" s="32" t="s">
        <v>39</v>
      </c>
      <c r="I179" s="32" t="s">
        <v>136</v>
      </c>
      <c r="J179" s="35" t="s">
        <v>600</v>
      </c>
      <c r="K179" s="32" t="s">
        <v>42</v>
      </c>
      <c r="L179" s="32"/>
      <c r="M179" s="32"/>
      <c r="N179" s="32"/>
      <c r="O179" s="32"/>
      <c r="P179" s="32"/>
      <c r="Q179" s="32"/>
      <c r="R179" s="32"/>
      <c r="S179" s="32" t="s">
        <v>45</v>
      </c>
      <c r="T179" s="32" t="s">
        <v>46</v>
      </c>
      <c r="U179" s="32">
        <v>3</v>
      </c>
      <c r="V179" s="32">
        <v>1</v>
      </c>
      <c r="W179" s="32">
        <v>0</v>
      </c>
      <c r="X179" s="32">
        <v>0</v>
      </c>
      <c r="Y179" s="32"/>
      <c r="Z179" s="32">
        <v>0</v>
      </c>
      <c r="AA179" s="32"/>
      <c r="AB179" s="32"/>
      <c r="AC179" s="32">
        <f t="shared" si="12"/>
        <v>4</v>
      </c>
      <c r="AD179" s="32"/>
      <c r="AE179" s="36"/>
      <c r="AG179" s="38" t="s">
        <v>597</v>
      </c>
    </row>
    <row r="180" spans="1:33" s="44" customFormat="1">
      <c r="A180" s="39">
        <f t="shared" si="17"/>
        <v>154</v>
      </c>
      <c r="B180" s="40" t="s">
        <v>187</v>
      </c>
      <c r="C180" s="39" t="s">
        <v>601</v>
      </c>
      <c r="D180" s="39" t="s">
        <v>602</v>
      </c>
      <c r="E180" s="39"/>
      <c r="F180" s="39" t="s">
        <v>48</v>
      </c>
      <c r="G180" s="41" t="s">
        <v>603</v>
      </c>
      <c r="H180" s="39" t="s">
        <v>39</v>
      </c>
      <c r="I180" s="39" t="s">
        <v>50</v>
      </c>
      <c r="J180" s="42" t="s">
        <v>604</v>
      </c>
      <c r="K180" s="39" t="s">
        <v>42</v>
      </c>
      <c r="L180" s="39">
        <v>400</v>
      </c>
      <c r="M180" s="39"/>
      <c r="N180" s="39" t="s">
        <v>43</v>
      </c>
      <c r="O180" s="106" t="s">
        <v>605</v>
      </c>
      <c r="P180" s="39">
        <v>1986</v>
      </c>
      <c r="Q180" s="39"/>
      <c r="R180" s="39">
        <f>IF(H180="CANTOL",2,4)</f>
        <v>4</v>
      </c>
      <c r="S180" s="39" t="s">
        <v>45</v>
      </c>
      <c r="T180" s="39" t="s">
        <v>46</v>
      </c>
      <c r="U180" s="39">
        <v>2</v>
      </c>
      <c r="V180" s="39">
        <v>0</v>
      </c>
      <c r="W180" s="39">
        <v>0</v>
      </c>
      <c r="X180" s="39">
        <v>0</v>
      </c>
      <c r="Y180" s="39"/>
      <c r="Z180" s="39">
        <v>0</v>
      </c>
      <c r="AA180" s="39"/>
      <c r="AB180" s="39"/>
      <c r="AC180" s="39">
        <f t="shared" si="12"/>
        <v>2</v>
      </c>
      <c r="AD180" s="39"/>
      <c r="AE180" s="43"/>
      <c r="AG180" s="45"/>
    </row>
    <row r="181" spans="1:33" s="37" customFormat="1">
      <c r="A181" s="32">
        <f t="shared" si="17"/>
        <v>155</v>
      </c>
      <c r="B181" s="33" t="s">
        <v>187</v>
      </c>
      <c r="C181" s="32" t="s">
        <v>601</v>
      </c>
      <c r="D181" s="32" t="s">
        <v>606</v>
      </c>
      <c r="E181" s="32"/>
      <c r="F181" s="32" t="s">
        <v>63</v>
      </c>
      <c r="G181" s="34" t="s">
        <v>607</v>
      </c>
      <c r="H181" s="32" t="s">
        <v>39</v>
      </c>
      <c r="I181" s="32" t="s">
        <v>40</v>
      </c>
      <c r="J181" s="35" t="s">
        <v>608</v>
      </c>
      <c r="K181" s="32" t="s">
        <v>42</v>
      </c>
      <c r="L181" s="32"/>
      <c r="M181" s="32"/>
      <c r="N181" s="32"/>
      <c r="O181" s="32"/>
      <c r="P181" s="32"/>
      <c r="Q181" s="32"/>
      <c r="R181" s="32"/>
      <c r="S181" s="32" t="s">
        <v>45</v>
      </c>
      <c r="T181" s="32" t="s">
        <v>46</v>
      </c>
      <c r="U181" s="32">
        <v>2</v>
      </c>
      <c r="V181" s="32">
        <v>0</v>
      </c>
      <c r="W181" s="32">
        <v>0</v>
      </c>
      <c r="X181" s="32">
        <v>0</v>
      </c>
      <c r="Y181" s="32"/>
      <c r="Z181" s="32">
        <v>1</v>
      </c>
      <c r="AA181" s="32"/>
      <c r="AB181" s="32"/>
      <c r="AC181" s="32">
        <f t="shared" si="12"/>
        <v>3</v>
      </c>
      <c r="AD181" s="32"/>
      <c r="AE181" s="36"/>
      <c r="AG181" s="38"/>
    </row>
    <row r="182" spans="1:33" s="44" customFormat="1">
      <c r="A182" s="39">
        <f t="shared" si="17"/>
        <v>156</v>
      </c>
      <c r="B182" s="40" t="s">
        <v>187</v>
      </c>
      <c r="C182" s="39" t="s">
        <v>601</v>
      </c>
      <c r="D182" s="39" t="s">
        <v>609</v>
      </c>
      <c r="E182" s="39"/>
      <c r="F182" s="39" t="s">
        <v>48</v>
      </c>
      <c r="G182" s="41" t="s">
        <v>610</v>
      </c>
      <c r="H182" s="39" t="s">
        <v>39</v>
      </c>
      <c r="I182" s="39" t="s">
        <v>50</v>
      </c>
      <c r="J182" s="42" t="s">
        <v>611</v>
      </c>
      <c r="K182" s="39" t="s">
        <v>42</v>
      </c>
      <c r="L182" s="39">
        <v>630</v>
      </c>
      <c r="M182" s="39"/>
      <c r="N182" s="39" t="s">
        <v>612</v>
      </c>
      <c r="O182" s="39">
        <v>85029728</v>
      </c>
      <c r="P182" s="39">
        <v>1986</v>
      </c>
      <c r="Q182" s="39"/>
      <c r="R182" s="39">
        <v>4</v>
      </c>
      <c r="S182" s="39" t="s">
        <v>45</v>
      </c>
      <c r="T182" s="39" t="s">
        <v>46</v>
      </c>
      <c r="U182" s="39">
        <v>2</v>
      </c>
      <c r="V182" s="39">
        <v>1</v>
      </c>
      <c r="W182" s="39">
        <v>1</v>
      </c>
      <c r="X182" s="39">
        <v>0</v>
      </c>
      <c r="Y182" s="39"/>
      <c r="Z182" s="39">
        <v>0</v>
      </c>
      <c r="AA182" s="39"/>
      <c r="AB182" s="39"/>
      <c r="AC182" s="39">
        <f t="shared" si="12"/>
        <v>4</v>
      </c>
      <c r="AD182" s="39"/>
      <c r="AE182" s="43"/>
      <c r="AG182" s="45"/>
    </row>
    <row r="183" spans="1:33" s="14" customFormat="1">
      <c r="A183" s="10">
        <f t="shared" si="17"/>
        <v>157</v>
      </c>
      <c r="B183" s="11" t="s">
        <v>187</v>
      </c>
      <c r="C183" s="10" t="s">
        <v>601</v>
      </c>
      <c r="D183" s="10" t="s">
        <v>613</v>
      </c>
      <c r="E183" s="10"/>
      <c r="F183" s="10" t="s">
        <v>37</v>
      </c>
      <c r="G183" s="12" t="s">
        <v>614</v>
      </c>
      <c r="H183" s="10" t="s">
        <v>39</v>
      </c>
      <c r="I183" s="10" t="s">
        <v>50</v>
      </c>
      <c r="J183" s="13" t="s">
        <v>615</v>
      </c>
      <c r="K183" s="10" t="s">
        <v>42</v>
      </c>
      <c r="L183" s="10">
        <v>400</v>
      </c>
      <c r="M183" s="10"/>
      <c r="N183" s="10" t="s">
        <v>43</v>
      </c>
      <c r="O183" s="10">
        <v>89207</v>
      </c>
      <c r="P183" s="10">
        <v>1998</v>
      </c>
      <c r="Q183" s="10"/>
      <c r="R183" s="10">
        <v>4</v>
      </c>
      <c r="S183" s="10" t="s">
        <v>45</v>
      </c>
      <c r="T183" s="10" t="s">
        <v>46</v>
      </c>
      <c r="U183" s="10">
        <v>2</v>
      </c>
      <c r="V183" s="10">
        <v>1</v>
      </c>
      <c r="W183" s="10">
        <v>0</v>
      </c>
      <c r="X183" s="10">
        <v>0</v>
      </c>
      <c r="Y183" s="10"/>
      <c r="Z183" s="10">
        <v>0</v>
      </c>
      <c r="AA183" s="10"/>
      <c r="AB183" s="10"/>
      <c r="AC183" s="10">
        <f t="shared" si="12"/>
        <v>3</v>
      </c>
      <c r="AD183" s="10"/>
      <c r="AE183" s="16"/>
      <c r="AG183" s="17"/>
    </row>
    <row r="184" spans="1:33" s="37" customFormat="1">
      <c r="A184" s="32">
        <f t="shared" si="17"/>
        <v>158</v>
      </c>
      <c r="B184" s="33" t="s">
        <v>124</v>
      </c>
      <c r="C184" s="32" t="s">
        <v>616</v>
      </c>
      <c r="D184" s="32" t="s">
        <v>617</v>
      </c>
      <c r="E184" s="32"/>
      <c r="F184" s="32" t="s">
        <v>63</v>
      </c>
      <c r="G184" s="34" t="s">
        <v>618</v>
      </c>
      <c r="H184" s="32" t="s">
        <v>39</v>
      </c>
      <c r="I184" s="32" t="s">
        <v>40</v>
      </c>
      <c r="J184" s="36">
        <v>1029</v>
      </c>
      <c r="K184" s="32" t="s">
        <v>42</v>
      </c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>
        <f t="shared" ref="AC184:AC247" si="18">SUM(U184:AB184)</f>
        <v>0</v>
      </c>
      <c r="AD184" s="32"/>
      <c r="AE184" s="36"/>
      <c r="AG184" s="38"/>
    </row>
    <row r="185" spans="1:33" s="37" customFormat="1">
      <c r="A185" s="32">
        <f t="shared" si="17"/>
        <v>159</v>
      </c>
      <c r="B185" s="33" t="s">
        <v>124</v>
      </c>
      <c r="C185" s="32" t="s">
        <v>616</v>
      </c>
      <c r="D185" s="32" t="s">
        <v>619</v>
      </c>
      <c r="E185" s="32"/>
      <c r="F185" s="32" t="s">
        <v>63</v>
      </c>
      <c r="G185" s="34" t="s">
        <v>620</v>
      </c>
      <c r="H185" s="32" t="s">
        <v>39</v>
      </c>
      <c r="I185" s="32" t="s">
        <v>50</v>
      </c>
      <c r="J185" s="35" t="s">
        <v>621</v>
      </c>
      <c r="K185" s="32" t="s">
        <v>42</v>
      </c>
      <c r="L185" s="32"/>
      <c r="M185" s="32"/>
      <c r="N185" s="32"/>
      <c r="O185" s="32"/>
      <c r="P185" s="32"/>
      <c r="Q185" s="32"/>
      <c r="R185" s="32"/>
      <c r="S185" s="32" t="s">
        <v>274</v>
      </c>
      <c r="T185" s="32">
        <v>0</v>
      </c>
      <c r="U185" s="32">
        <v>8</v>
      </c>
      <c r="V185" s="32">
        <v>0</v>
      </c>
      <c r="W185" s="32">
        <v>2</v>
      </c>
      <c r="X185" s="32">
        <v>0</v>
      </c>
      <c r="Y185" s="32"/>
      <c r="Z185" s="32">
        <v>0</v>
      </c>
      <c r="AA185" s="32"/>
      <c r="AB185" s="32"/>
      <c r="AC185" s="32">
        <f t="shared" si="18"/>
        <v>10</v>
      </c>
      <c r="AD185" s="32"/>
      <c r="AE185" s="36"/>
      <c r="AG185" s="38"/>
    </row>
    <row r="186" spans="1:33" s="23" customFormat="1">
      <c r="A186" s="18">
        <f t="shared" si="17"/>
        <v>160</v>
      </c>
      <c r="B186" s="19" t="s">
        <v>622</v>
      </c>
      <c r="C186" s="18" t="s">
        <v>623</v>
      </c>
      <c r="D186" s="18" t="s">
        <v>624</v>
      </c>
      <c r="E186" s="18"/>
      <c r="F186" s="18" t="s">
        <v>63</v>
      </c>
      <c r="G186" s="20" t="s">
        <v>625</v>
      </c>
      <c r="H186" s="18" t="s">
        <v>39</v>
      </c>
      <c r="I186" s="18" t="s">
        <v>50</v>
      </c>
      <c r="J186" s="21" t="s">
        <v>626</v>
      </c>
      <c r="K186" s="18" t="s">
        <v>175</v>
      </c>
      <c r="L186" s="18"/>
      <c r="M186" s="18"/>
      <c r="N186" s="18"/>
      <c r="O186" s="18"/>
      <c r="P186" s="18"/>
      <c r="Q186" s="18"/>
      <c r="R186" s="18"/>
      <c r="S186" s="18" t="s">
        <v>627</v>
      </c>
      <c r="T186" s="18">
        <v>0</v>
      </c>
      <c r="U186" s="18">
        <v>2</v>
      </c>
      <c r="V186" s="18">
        <v>0</v>
      </c>
      <c r="W186" s="18">
        <v>0</v>
      </c>
      <c r="X186" s="18">
        <v>0</v>
      </c>
      <c r="Y186" s="18"/>
      <c r="Z186" s="18">
        <v>0</v>
      </c>
      <c r="AA186" s="18"/>
      <c r="AB186" s="18"/>
      <c r="AC186" s="18">
        <f t="shared" si="18"/>
        <v>2</v>
      </c>
      <c r="AD186" s="18"/>
      <c r="AE186" s="22"/>
      <c r="AG186" s="24"/>
    </row>
    <row r="187" spans="1:33" s="37" customFormat="1">
      <c r="A187" s="32">
        <f t="shared" si="17"/>
        <v>161</v>
      </c>
      <c r="B187" s="33" t="s">
        <v>622</v>
      </c>
      <c r="C187" s="32" t="s">
        <v>623</v>
      </c>
      <c r="D187" s="32" t="s">
        <v>628</v>
      </c>
      <c r="E187" s="32"/>
      <c r="F187" s="32" t="s">
        <v>63</v>
      </c>
      <c r="G187" s="34" t="s">
        <v>629</v>
      </c>
      <c r="H187" s="32" t="s">
        <v>39</v>
      </c>
      <c r="I187" s="32" t="s">
        <v>50</v>
      </c>
      <c r="J187" s="35" t="s">
        <v>630</v>
      </c>
      <c r="K187" s="32" t="s">
        <v>175</v>
      </c>
      <c r="L187" s="32"/>
      <c r="M187" s="32"/>
      <c r="N187" s="32"/>
      <c r="O187" s="32"/>
      <c r="P187" s="32"/>
      <c r="Q187" s="32"/>
      <c r="R187" s="32"/>
      <c r="S187" s="32" t="s">
        <v>45</v>
      </c>
      <c r="T187" s="32" t="s">
        <v>46</v>
      </c>
      <c r="U187" s="32">
        <v>2</v>
      </c>
      <c r="V187" s="32">
        <v>1</v>
      </c>
      <c r="W187" s="32">
        <v>1</v>
      </c>
      <c r="X187" s="32">
        <v>0</v>
      </c>
      <c r="Y187" s="32"/>
      <c r="Z187" s="32">
        <v>0</v>
      </c>
      <c r="AA187" s="32"/>
      <c r="AB187" s="32"/>
      <c r="AC187" s="32">
        <f t="shared" si="18"/>
        <v>4</v>
      </c>
      <c r="AD187" s="32"/>
      <c r="AE187" s="36"/>
      <c r="AG187" s="38"/>
    </row>
    <row r="188" spans="1:33" s="37" customFormat="1">
      <c r="A188" s="32">
        <f t="shared" si="17"/>
        <v>162</v>
      </c>
      <c r="B188" s="33" t="s">
        <v>622</v>
      </c>
      <c r="C188" s="32" t="s">
        <v>623</v>
      </c>
      <c r="D188" s="32" t="s">
        <v>631</v>
      </c>
      <c r="E188" s="32"/>
      <c r="F188" s="32" t="s">
        <v>63</v>
      </c>
      <c r="G188" s="34" t="s">
        <v>632</v>
      </c>
      <c r="H188" s="32" t="s">
        <v>39</v>
      </c>
      <c r="I188" s="32" t="s">
        <v>40</v>
      </c>
      <c r="J188" s="36">
        <v>1057</v>
      </c>
      <c r="K188" s="32" t="s">
        <v>175</v>
      </c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>
        <f t="shared" si="18"/>
        <v>0</v>
      </c>
      <c r="AD188" s="32"/>
      <c r="AE188" s="36"/>
      <c r="AG188" s="38"/>
    </row>
    <row r="189" spans="1:33" s="44" customFormat="1">
      <c r="A189" s="214">
        <f t="shared" si="17"/>
        <v>163</v>
      </c>
      <c r="B189" s="60" t="s">
        <v>622</v>
      </c>
      <c r="C189" s="61" t="s">
        <v>623</v>
      </c>
      <c r="D189" s="61" t="s">
        <v>633</v>
      </c>
      <c r="E189" s="61"/>
      <c r="F189" s="61" t="s">
        <v>48</v>
      </c>
      <c r="G189" s="62" t="s">
        <v>634</v>
      </c>
      <c r="H189" s="61" t="s">
        <v>39</v>
      </c>
      <c r="I189" s="39" t="s">
        <v>136</v>
      </c>
      <c r="J189" s="71" t="s">
        <v>635</v>
      </c>
      <c r="K189" s="61" t="s">
        <v>175</v>
      </c>
      <c r="L189" s="39">
        <v>630</v>
      </c>
      <c r="M189" s="39"/>
      <c r="N189" s="39" t="s">
        <v>43</v>
      </c>
      <c r="O189" s="39">
        <v>10826</v>
      </c>
      <c r="P189" s="39"/>
      <c r="Q189" s="39"/>
      <c r="R189" s="39">
        <v>5</v>
      </c>
      <c r="S189" s="39" t="s">
        <v>45</v>
      </c>
      <c r="T189" s="39" t="s">
        <v>46</v>
      </c>
      <c r="U189" s="39">
        <v>2</v>
      </c>
      <c r="V189" s="39">
        <v>1</v>
      </c>
      <c r="W189" s="39">
        <v>0</v>
      </c>
      <c r="X189" s="39">
        <v>0</v>
      </c>
      <c r="Y189" s="39"/>
      <c r="Z189" s="39">
        <v>0</v>
      </c>
      <c r="AA189" s="39"/>
      <c r="AB189" s="39"/>
      <c r="AC189" s="39">
        <f t="shared" si="18"/>
        <v>3</v>
      </c>
      <c r="AD189" s="39"/>
      <c r="AE189" s="43"/>
      <c r="AG189" s="45"/>
    </row>
    <row r="190" spans="1:33" s="14" customFormat="1">
      <c r="A190" s="215"/>
      <c r="B190" s="29"/>
      <c r="C190" s="30"/>
      <c r="D190" s="30"/>
      <c r="E190" s="30"/>
      <c r="F190" s="30"/>
      <c r="G190" s="31"/>
      <c r="H190" s="30"/>
      <c r="I190" s="30"/>
      <c r="J190" s="30"/>
      <c r="K190" s="30"/>
      <c r="L190" s="10">
        <v>250</v>
      </c>
      <c r="M190" s="10"/>
      <c r="N190" s="10" t="s">
        <v>636</v>
      </c>
      <c r="O190" s="10" t="s">
        <v>637</v>
      </c>
      <c r="P190" s="10">
        <v>1983</v>
      </c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>
        <f t="shared" si="18"/>
        <v>0</v>
      </c>
      <c r="AD190" s="10"/>
      <c r="AE190" s="16"/>
      <c r="AG190" s="17"/>
    </row>
    <row r="191" spans="1:33" s="14" customFormat="1">
      <c r="A191" s="49">
        <v>162</v>
      </c>
      <c r="B191" s="11" t="s">
        <v>622</v>
      </c>
      <c r="C191" s="10" t="s">
        <v>623</v>
      </c>
      <c r="D191" s="49" t="s">
        <v>638</v>
      </c>
      <c r="E191" s="49"/>
      <c r="F191" s="49" t="s">
        <v>63</v>
      </c>
      <c r="G191" s="107" t="s">
        <v>639</v>
      </c>
      <c r="H191" s="49" t="s">
        <v>39</v>
      </c>
      <c r="I191" s="49" t="s">
        <v>40</v>
      </c>
      <c r="J191" s="108" t="s">
        <v>640</v>
      </c>
      <c r="K191" s="49" t="s">
        <v>175</v>
      </c>
      <c r="L191" s="10">
        <v>400</v>
      </c>
      <c r="M191" s="10"/>
      <c r="N191" s="10" t="s">
        <v>641</v>
      </c>
      <c r="O191" s="10" t="s">
        <v>642</v>
      </c>
      <c r="P191" s="10" t="s">
        <v>643</v>
      </c>
      <c r="Q191" s="10" t="s">
        <v>96</v>
      </c>
      <c r="R191" s="10" t="s">
        <v>96</v>
      </c>
      <c r="S191" s="10" t="s">
        <v>88</v>
      </c>
      <c r="T191" s="10" t="s">
        <v>88</v>
      </c>
      <c r="U191" s="10">
        <v>2</v>
      </c>
      <c r="V191" s="10">
        <v>1</v>
      </c>
      <c r="W191" s="10"/>
      <c r="X191" s="10"/>
      <c r="Y191" s="10"/>
      <c r="Z191" s="10"/>
      <c r="AA191" s="10"/>
      <c r="AB191" s="10"/>
      <c r="AC191" s="10"/>
      <c r="AD191" s="10"/>
      <c r="AE191" s="16" t="s">
        <v>644</v>
      </c>
      <c r="AG191" s="17"/>
    </row>
    <row r="192" spans="1:33" s="37" customFormat="1">
      <c r="A192" s="32">
        <v>163</v>
      </c>
      <c r="B192" s="33" t="s">
        <v>622</v>
      </c>
      <c r="C192" s="32" t="s">
        <v>623</v>
      </c>
      <c r="D192" s="32" t="s">
        <v>645</v>
      </c>
      <c r="E192" s="32"/>
      <c r="F192" s="32" t="s">
        <v>63</v>
      </c>
      <c r="G192" s="34" t="s">
        <v>177</v>
      </c>
      <c r="H192" s="32" t="s">
        <v>39</v>
      </c>
      <c r="I192" s="32" t="s">
        <v>50</v>
      </c>
      <c r="J192" s="35" t="s">
        <v>646</v>
      </c>
      <c r="K192" s="32" t="s">
        <v>175</v>
      </c>
      <c r="L192" s="32"/>
      <c r="M192" s="32"/>
      <c r="N192" s="32"/>
      <c r="O192" s="32"/>
      <c r="P192" s="32"/>
      <c r="Q192" s="32"/>
      <c r="R192" s="32"/>
      <c r="S192" s="32" t="s">
        <v>627</v>
      </c>
      <c r="T192" s="32">
        <v>0</v>
      </c>
      <c r="U192" s="32">
        <v>3</v>
      </c>
      <c r="V192" s="32">
        <v>0</v>
      </c>
      <c r="W192" s="32">
        <v>1</v>
      </c>
      <c r="X192" s="32">
        <v>0</v>
      </c>
      <c r="Y192" s="32"/>
      <c r="Z192" s="32">
        <v>1</v>
      </c>
      <c r="AA192" s="32"/>
      <c r="AB192" s="32"/>
      <c r="AC192" s="32">
        <f t="shared" si="18"/>
        <v>5</v>
      </c>
      <c r="AD192" s="32"/>
      <c r="AE192" s="36"/>
      <c r="AG192" s="38"/>
    </row>
    <row r="193" spans="1:33" s="44" customFormat="1">
      <c r="A193" s="39">
        <f>A192+1</f>
        <v>164</v>
      </c>
      <c r="B193" s="40" t="s">
        <v>622</v>
      </c>
      <c r="C193" s="39" t="s">
        <v>623</v>
      </c>
      <c r="D193" s="39" t="s">
        <v>647</v>
      </c>
      <c r="E193" s="39"/>
      <c r="F193" s="39" t="s">
        <v>48</v>
      </c>
      <c r="G193" s="41" t="s">
        <v>648</v>
      </c>
      <c r="H193" s="39" t="s">
        <v>39</v>
      </c>
      <c r="I193" s="39" t="s">
        <v>136</v>
      </c>
      <c r="J193" s="42" t="s">
        <v>649</v>
      </c>
      <c r="K193" s="39" t="s">
        <v>175</v>
      </c>
      <c r="L193" s="39">
        <v>400</v>
      </c>
      <c r="M193" s="39"/>
      <c r="N193" s="39" t="s">
        <v>43</v>
      </c>
      <c r="O193" s="39" t="s">
        <v>650</v>
      </c>
      <c r="P193" s="39">
        <v>1986</v>
      </c>
      <c r="Q193" s="39"/>
      <c r="R193" s="39" t="s">
        <v>84</v>
      </c>
      <c r="S193" s="39" t="s">
        <v>45</v>
      </c>
      <c r="T193" s="39" t="s">
        <v>46</v>
      </c>
      <c r="U193" s="39">
        <v>2</v>
      </c>
      <c r="V193" s="39">
        <v>0</v>
      </c>
      <c r="W193" s="39">
        <v>1</v>
      </c>
      <c r="X193" s="39">
        <v>1</v>
      </c>
      <c r="Y193" s="39"/>
      <c r="Z193" s="39">
        <v>1</v>
      </c>
      <c r="AA193" s="39"/>
      <c r="AB193" s="39"/>
      <c r="AC193" s="39">
        <f t="shared" si="18"/>
        <v>5</v>
      </c>
      <c r="AD193" s="39"/>
      <c r="AE193" s="43"/>
      <c r="AG193" s="45"/>
    </row>
    <row r="194" spans="1:33" s="37" customFormat="1">
      <c r="A194" s="32">
        <f t="shared" si="17"/>
        <v>165</v>
      </c>
      <c r="B194" s="33" t="s">
        <v>622</v>
      </c>
      <c r="C194" s="32" t="s">
        <v>623</v>
      </c>
      <c r="D194" s="32" t="s">
        <v>651</v>
      </c>
      <c r="E194" s="32"/>
      <c r="F194" s="32" t="s">
        <v>63</v>
      </c>
      <c r="G194" s="34" t="s">
        <v>652</v>
      </c>
      <c r="H194" s="32" t="s">
        <v>39</v>
      </c>
      <c r="I194" s="32" t="s">
        <v>40</v>
      </c>
      <c r="J194" s="35" t="s">
        <v>653</v>
      </c>
      <c r="K194" s="32" t="s">
        <v>175</v>
      </c>
      <c r="L194" s="32"/>
      <c r="M194" s="32"/>
      <c r="N194" s="32"/>
      <c r="O194" s="32"/>
      <c r="P194" s="32"/>
      <c r="Q194" s="32"/>
      <c r="R194" s="32"/>
      <c r="S194" s="32" t="s">
        <v>45</v>
      </c>
      <c r="T194" s="32" t="s">
        <v>89</v>
      </c>
      <c r="U194" s="32">
        <v>2</v>
      </c>
      <c r="V194" s="32">
        <v>0</v>
      </c>
      <c r="W194" s="32">
        <v>0</v>
      </c>
      <c r="X194" s="32">
        <v>0</v>
      </c>
      <c r="Y194" s="32"/>
      <c r="Z194" s="32">
        <v>0</v>
      </c>
      <c r="AA194" s="32"/>
      <c r="AB194" s="32"/>
      <c r="AC194" s="32">
        <f t="shared" si="18"/>
        <v>2</v>
      </c>
      <c r="AD194" s="32"/>
      <c r="AE194" s="36" t="s">
        <v>654</v>
      </c>
      <c r="AG194" s="38" t="s">
        <v>654</v>
      </c>
    </row>
    <row r="195" spans="1:33" s="37" customFormat="1">
      <c r="A195" s="32">
        <f t="shared" si="17"/>
        <v>166</v>
      </c>
      <c r="B195" s="33" t="s">
        <v>622</v>
      </c>
      <c r="C195" s="32" t="s">
        <v>623</v>
      </c>
      <c r="D195" s="32" t="s">
        <v>655</v>
      </c>
      <c r="E195" s="32"/>
      <c r="F195" s="32" t="s">
        <v>63</v>
      </c>
      <c r="G195" s="34" t="s">
        <v>656</v>
      </c>
      <c r="H195" s="32" t="s">
        <v>39</v>
      </c>
      <c r="I195" s="32" t="s">
        <v>40</v>
      </c>
      <c r="J195" s="36">
        <v>1045</v>
      </c>
      <c r="K195" s="32" t="s">
        <v>175</v>
      </c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>
        <f t="shared" si="18"/>
        <v>0</v>
      </c>
      <c r="AD195" s="32"/>
      <c r="AE195" s="36"/>
      <c r="AG195" s="38"/>
    </row>
    <row r="196" spans="1:33" s="37" customFormat="1">
      <c r="A196" s="32">
        <f t="shared" si="17"/>
        <v>167</v>
      </c>
      <c r="B196" s="33" t="s">
        <v>622</v>
      </c>
      <c r="C196" s="32" t="s">
        <v>623</v>
      </c>
      <c r="D196" s="32" t="s">
        <v>657</v>
      </c>
      <c r="E196" s="32"/>
      <c r="F196" s="32" t="s">
        <v>63</v>
      </c>
      <c r="G196" s="34" t="s">
        <v>652</v>
      </c>
      <c r="H196" s="32" t="s">
        <v>39</v>
      </c>
      <c r="I196" s="32" t="s">
        <v>40</v>
      </c>
      <c r="J196" s="36">
        <v>1030</v>
      </c>
      <c r="K196" s="32" t="s">
        <v>175</v>
      </c>
      <c r="L196" s="32"/>
      <c r="M196" s="32"/>
      <c r="N196" s="32"/>
      <c r="O196" s="32"/>
      <c r="P196" s="32"/>
      <c r="Q196" s="32"/>
      <c r="R196" s="32"/>
      <c r="S196" s="32" t="s">
        <v>88</v>
      </c>
      <c r="T196" s="32" t="s">
        <v>89</v>
      </c>
      <c r="U196" s="32">
        <v>2</v>
      </c>
      <c r="V196" s="32">
        <v>0</v>
      </c>
      <c r="W196" s="32">
        <v>0</v>
      </c>
      <c r="X196" s="32">
        <v>0</v>
      </c>
      <c r="Y196" s="32"/>
      <c r="Z196" s="32">
        <v>0</v>
      </c>
      <c r="AA196" s="32"/>
      <c r="AB196" s="32"/>
      <c r="AC196" s="32">
        <f t="shared" si="18"/>
        <v>2</v>
      </c>
      <c r="AD196" s="32"/>
      <c r="AE196" s="36"/>
      <c r="AG196" s="38"/>
    </row>
    <row r="197" spans="1:33" s="37" customFormat="1">
      <c r="A197" s="32">
        <f t="shared" si="17"/>
        <v>168</v>
      </c>
      <c r="B197" s="33" t="s">
        <v>622</v>
      </c>
      <c r="C197" s="32" t="s">
        <v>623</v>
      </c>
      <c r="D197" s="32" t="s">
        <v>658</v>
      </c>
      <c r="E197" s="32"/>
      <c r="F197" s="32" t="s">
        <v>63</v>
      </c>
      <c r="G197" s="34" t="s">
        <v>659</v>
      </c>
      <c r="H197" s="32" t="s">
        <v>39</v>
      </c>
      <c r="I197" s="32" t="s">
        <v>40</v>
      </c>
      <c r="J197" s="36">
        <v>1055</v>
      </c>
      <c r="K197" s="32" t="s">
        <v>175</v>
      </c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>
        <f t="shared" si="18"/>
        <v>0</v>
      </c>
      <c r="AD197" s="32"/>
      <c r="AE197" s="36"/>
      <c r="AG197" s="38"/>
    </row>
    <row r="198" spans="1:33" s="14" customFormat="1">
      <c r="A198" s="10">
        <f t="shared" si="17"/>
        <v>169</v>
      </c>
      <c r="B198" s="11" t="s">
        <v>622</v>
      </c>
      <c r="C198" s="10" t="s">
        <v>660</v>
      </c>
      <c r="D198" s="10" t="s">
        <v>661</v>
      </c>
      <c r="E198" s="10"/>
      <c r="F198" s="10" t="s">
        <v>37</v>
      </c>
      <c r="G198" s="12" t="s">
        <v>662</v>
      </c>
      <c r="H198" s="10" t="s">
        <v>39</v>
      </c>
      <c r="I198" s="10" t="s">
        <v>50</v>
      </c>
      <c r="J198" s="13" t="s">
        <v>663</v>
      </c>
      <c r="K198" s="10" t="s">
        <v>175</v>
      </c>
      <c r="L198" s="10">
        <v>630</v>
      </c>
      <c r="M198" s="10"/>
      <c r="N198" s="10" t="s">
        <v>664</v>
      </c>
      <c r="O198" s="10" t="s">
        <v>665</v>
      </c>
      <c r="P198" s="10">
        <v>2015</v>
      </c>
      <c r="Q198" s="10"/>
      <c r="R198" s="10">
        <v>5</v>
      </c>
      <c r="S198" s="10" t="s">
        <v>45</v>
      </c>
      <c r="T198" s="10" t="s">
        <v>666</v>
      </c>
      <c r="U198" s="10">
        <v>2</v>
      </c>
      <c r="V198" s="10">
        <v>1</v>
      </c>
      <c r="W198" s="10">
        <v>0</v>
      </c>
      <c r="X198" s="10">
        <v>0</v>
      </c>
      <c r="Y198" s="10"/>
      <c r="Z198" s="10">
        <v>0</v>
      </c>
      <c r="AA198" s="10"/>
      <c r="AB198" s="10"/>
      <c r="AC198" s="10">
        <f t="shared" si="18"/>
        <v>3</v>
      </c>
      <c r="AD198" s="10"/>
      <c r="AE198" s="16"/>
      <c r="AG198" s="17"/>
    </row>
    <row r="199" spans="1:33" s="14" customFormat="1">
      <c r="A199" s="10">
        <f t="shared" si="17"/>
        <v>170</v>
      </c>
      <c r="B199" s="11" t="s">
        <v>622</v>
      </c>
      <c r="C199" s="10" t="s">
        <v>660</v>
      </c>
      <c r="D199" s="10" t="s">
        <v>667</v>
      </c>
      <c r="E199" s="10"/>
      <c r="F199" s="10" t="s">
        <v>37</v>
      </c>
      <c r="G199" s="12" t="s">
        <v>668</v>
      </c>
      <c r="H199" s="10" t="s">
        <v>39</v>
      </c>
      <c r="I199" s="10" t="s">
        <v>50</v>
      </c>
      <c r="J199" s="13" t="s">
        <v>669</v>
      </c>
      <c r="K199" s="10" t="s">
        <v>175</v>
      </c>
      <c r="L199" s="10">
        <v>630</v>
      </c>
      <c r="M199" s="10"/>
      <c r="N199" s="10" t="s">
        <v>74</v>
      </c>
      <c r="O199" s="10">
        <v>85029756</v>
      </c>
      <c r="P199" s="10">
        <v>1986</v>
      </c>
      <c r="Q199" s="10"/>
      <c r="R199" s="10">
        <v>7</v>
      </c>
      <c r="S199" s="10" t="s">
        <v>542</v>
      </c>
      <c r="T199" s="10">
        <v>0</v>
      </c>
      <c r="U199" s="109">
        <v>2</v>
      </c>
      <c r="V199" s="109">
        <v>1</v>
      </c>
      <c r="W199" s="10">
        <v>0</v>
      </c>
      <c r="X199" s="10">
        <v>0</v>
      </c>
      <c r="Y199" s="10"/>
      <c r="Z199" s="10">
        <v>0</v>
      </c>
      <c r="AA199" s="10"/>
      <c r="AB199" s="10"/>
      <c r="AC199" s="10">
        <f t="shared" si="18"/>
        <v>3</v>
      </c>
      <c r="AD199" s="10"/>
      <c r="AE199" s="16"/>
      <c r="AG199" s="17"/>
    </row>
    <row r="200" spans="1:33" s="14" customFormat="1">
      <c r="A200" s="10">
        <f t="shared" si="17"/>
        <v>171</v>
      </c>
      <c r="B200" s="11" t="s">
        <v>622</v>
      </c>
      <c r="C200" s="10" t="s">
        <v>660</v>
      </c>
      <c r="D200" s="10" t="s">
        <v>670</v>
      </c>
      <c r="E200" s="10"/>
      <c r="F200" s="10" t="s">
        <v>37</v>
      </c>
      <c r="G200" s="12" t="s">
        <v>671</v>
      </c>
      <c r="H200" s="10" t="s">
        <v>39</v>
      </c>
      <c r="I200" s="10" t="s">
        <v>50</v>
      </c>
      <c r="J200" s="13" t="s">
        <v>672</v>
      </c>
      <c r="K200" s="10" t="s">
        <v>175</v>
      </c>
      <c r="L200" s="10">
        <v>400</v>
      </c>
      <c r="M200" s="10"/>
      <c r="N200" s="10" t="s">
        <v>673</v>
      </c>
      <c r="O200" s="10">
        <v>840281</v>
      </c>
      <c r="P200" s="10"/>
      <c r="Q200" s="10"/>
      <c r="R200" s="10">
        <v>5</v>
      </c>
      <c r="S200" s="10" t="s">
        <v>542</v>
      </c>
      <c r="T200" s="10">
        <v>0</v>
      </c>
      <c r="U200" s="109">
        <v>2</v>
      </c>
      <c r="V200" s="109">
        <v>1</v>
      </c>
      <c r="W200" s="10">
        <v>0</v>
      </c>
      <c r="X200" s="10">
        <v>0</v>
      </c>
      <c r="Y200" s="10"/>
      <c r="Z200" s="10">
        <v>0</v>
      </c>
      <c r="AA200" s="10"/>
      <c r="AB200" s="10"/>
      <c r="AC200" s="10">
        <f t="shared" si="18"/>
        <v>3</v>
      </c>
      <c r="AD200" s="10"/>
      <c r="AE200" s="16"/>
      <c r="AG200" s="17"/>
    </row>
    <row r="201" spans="1:33" s="14" customFormat="1">
      <c r="A201" s="10">
        <f t="shared" si="17"/>
        <v>172</v>
      </c>
      <c r="B201" s="11" t="s">
        <v>622</v>
      </c>
      <c r="C201" s="10" t="s">
        <v>660</v>
      </c>
      <c r="D201" s="10" t="s">
        <v>674</v>
      </c>
      <c r="E201" s="10"/>
      <c r="F201" s="10" t="s">
        <v>37</v>
      </c>
      <c r="G201" s="12" t="s">
        <v>675</v>
      </c>
      <c r="H201" s="10" t="s">
        <v>39</v>
      </c>
      <c r="I201" s="10" t="s">
        <v>50</v>
      </c>
      <c r="J201" s="13" t="s">
        <v>345</v>
      </c>
      <c r="K201" s="10" t="s">
        <v>175</v>
      </c>
      <c r="L201" s="10">
        <v>200</v>
      </c>
      <c r="M201" s="10"/>
      <c r="N201" s="10" t="s">
        <v>43</v>
      </c>
      <c r="O201" s="10">
        <v>7637</v>
      </c>
      <c r="P201" s="10">
        <v>1988</v>
      </c>
      <c r="Q201" s="10"/>
      <c r="R201" s="10" t="s">
        <v>84</v>
      </c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>
        <f t="shared" si="18"/>
        <v>0</v>
      </c>
      <c r="AD201" s="10"/>
      <c r="AE201" s="16"/>
      <c r="AG201" s="17"/>
    </row>
    <row r="202" spans="1:33" s="14" customFormat="1">
      <c r="A202" s="10">
        <f t="shared" si="17"/>
        <v>173</v>
      </c>
      <c r="B202" s="11" t="s">
        <v>622</v>
      </c>
      <c r="C202" s="10" t="s">
        <v>660</v>
      </c>
      <c r="D202" s="10" t="s">
        <v>676</v>
      </c>
      <c r="E202" s="10"/>
      <c r="F202" s="10" t="s">
        <v>37</v>
      </c>
      <c r="G202" s="12" t="s">
        <v>677</v>
      </c>
      <c r="H202" s="10" t="s">
        <v>39</v>
      </c>
      <c r="I202" s="10" t="s">
        <v>50</v>
      </c>
      <c r="J202" s="13" t="s">
        <v>678</v>
      </c>
      <c r="K202" s="10" t="s">
        <v>175</v>
      </c>
      <c r="L202" s="10">
        <v>630</v>
      </c>
      <c r="M202" s="10"/>
      <c r="N202" s="10" t="s">
        <v>74</v>
      </c>
      <c r="O202" s="10">
        <v>29731</v>
      </c>
      <c r="P202" s="10">
        <v>1986</v>
      </c>
      <c r="Q202" s="10"/>
      <c r="R202" s="10">
        <v>3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/>
      <c r="Z202" s="10">
        <v>0</v>
      </c>
      <c r="AA202" s="10"/>
      <c r="AB202" s="10"/>
      <c r="AC202" s="10">
        <f t="shared" si="18"/>
        <v>0</v>
      </c>
      <c r="AD202" s="10"/>
      <c r="AE202" s="16"/>
      <c r="AG202" s="17"/>
    </row>
    <row r="203" spans="1:33" s="44" customFormat="1">
      <c r="A203" s="39">
        <f t="shared" si="17"/>
        <v>174</v>
      </c>
      <c r="B203" s="40" t="s">
        <v>622</v>
      </c>
      <c r="C203" s="39" t="s">
        <v>660</v>
      </c>
      <c r="D203" s="39" t="s">
        <v>679</v>
      </c>
      <c r="E203" s="39"/>
      <c r="F203" s="39" t="s">
        <v>48</v>
      </c>
      <c r="G203" s="41" t="s">
        <v>680</v>
      </c>
      <c r="H203" s="39" t="s">
        <v>39</v>
      </c>
      <c r="I203" s="39" t="s">
        <v>50</v>
      </c>
      <c r="J203" s="42" t="s">
        <v>681</v>
      </c>
      <c r="K203" s="39" t="s">
        <v>175</v>
      </c>
      <c r="L203" s="39">
        <v>630</v>
      </c>
      <c r="M203" s="39"/>
      <c r="N203" s="39" t="s">
        <v>59</v>
      </c>
      <c r="O203" s="39" t="s">
        <v>682</v>
      </c>
      <c r="P203" s="39">
        <v>2011</v>
      </c>
      <c r="Q203" s="39"/>
      <c r="R203" s="39">
        <v>2</v>
      </c>
      <c r="S203" s="39" t="s">
        <v>45</v>
      </c>
      <c r="T203" s="39" t="s">
        <v>46</v>
      </c>
      <c r="U203" s="39">
        <v>2</v>
      </c>
      <c r="V203" s="39">
        <v>1</v>
      </c>
      <c r="W203" s="39">
        <v>0</v>
      </c>
      <c r="X203" s="39">
        <v>0</v>
      </c>
      <c r="Y203" s="39"/>
      <c r="Z203" s="39">
        <v>0</v>
      </c>
      <c r="AA203" s="39"/>
      <c r="AB203" s="39"/>
      <c r="AC203" s="39">
        <f t="shared" si="18"/>
        <v>3</v>
      </c>
      <c r="AD203" s="39"/>
      <c r="AE203" s="43" t="s">
        <v>538</v>
      </c>
      <c r="AG203" s="45"/>
    </row>
    <row r="204" spans="1:33" s="37" customFormat="1">
      <c r="A204" s="32">
        <f t="shared" si="17"/>
        <v>175</v>
      </c>
      <c r="B204" s="33" t="s">
        <v>622</v>
      </c>
      <c r="C204" s="32" t="s">
        <v>660</v>
      </c>
      <c r="D204" s="32" t="s">
        <v>683</v>
      </c>
      <c r="E204" s="32"/>
      <c r="F204" s="32" t="s">
        <v>63</v>
      </c>
      <c r="G204" s="34" t="s">
        <v>684</v>
      </c>
      <c r="H204" s="32" t="s">
        <v>39</v>
      </c>
      <c r="I204" s="32" t="s">
        <v>40</v>
      </c>
      <c r="J204" s="36">
        <v>1007</v>
      </c>
      <c r="K204" s="32" t="s">
        <v>175</v>
      </c>
      <c r="L204" s="32"/>
      <c r="M204" s="32"/>
      <c r="N204" s="32"/>
      <c r="O204" s="32"/>
      <c r="P204" s="32"/>
      <c r="Q204" s="32"/>
      <c r="R204" s="32"/>
      <c r="S204" s="32" t="s">
        <v>88</v>
      </c>
      <c r="T204" s="32" t="s">
        <v>89</v>
      </c>
      <c r="U204" s="32">
        <v>2</v>
      </c>
      <c r="V204" s="32">
        <v>0</v>
      </c>
      <c r="W204" s="32">
        <v>0</v>
      </c>
      <c r="X204" s="32">
        <v>0</v>
      </c>
      <c r="Y204" s="32"/>
      <c r="Z204" s="32">
        <v>0</v>
      </c>
      <c r="AA204" s="32"/>
      <c r="AB204" s="32"/>
      <c r="AC204" s="32">
        <f t="shared" si="18"/>
        <v>2</v>
      </c>
      <c r="AD204" s="32"/>
      <c r="AE204" s="36"/>
      <c r="AG204" s="38"/>
    </row>
    <row r="205" spans="1:33" s="37" customFormat="1">
      <c r="A205" s="32">
        <f t="shared" si="17"/>
        <v>176</v>
      </c>
      <c r="B205" s="33" t="s">
        <v>622</v>
      </c>
      <c r="C205" s="32" t="s">
        <v>660</v>
      </c>
      <c r="D205" s="32" t="s">
        <v>685</v>
      </c>
      <c r="E205" s="32"/>
      <c r="F205" s="32" t="s">
        <v>63</v>
      </c>
      <c r="G205" s="34" t="s">
        <v>686</v>
      </c>
      <c r="H205" s="32" t="s">
        <v>39</v>
      </c>
      <c r="I205" s="32" t="s">
        <v>50</v>
      </c>
      <c r="J205" s="35" t="s">
        <v>687</v>
      </c>
      <c r="K205" s="32" t="s">
        <v>175</v>
      </c>
      <c r="L205" s="32"/>
      <c r="M205" s="32"/>
      <c r="N205" s="32"/>
      <c r="O205" s="32"/>
      <c r="P205" s="32"/>
      <c r="Q205" s="32"/>
      <c r="R205" s="32"/>
      <c r="S205" s="32" t="s">
        <v>45</v>
      </c>
      <c r="T205" s="32" t="s">
        <v>46</v>
      </c>
      <c r="U205" s="32">
        <v>2</v>
      </c>
      <c r="V205" s="32">
        <v>0</v>
      </c>
      <c r="W205" s="32">
        <v>0</v>
      </c>
      <c r="X205" s="32">
        <v>0</v>
      </c>
      <c r="Y205" s="32"/>
      <c r="Z205" s="32">
        <v>0</v>
      </c>
      <c r="AA205" s="32"/>
      <c r="AB205" s="32"/>
      <c r="AC205" s="32">
        <f t="shared" si="18"/>
        <v>2</v>
      </c>
      <c r="AD205" s="32"/>
      <c r="AE205" s="36"/>
      <c r="AG205" s="38" t="s">
        <v>688</v>
      </c>
    </row>
    <row r="206" spans="1:33" s="37" customFormat="1">
      <c r="A206" s="32">
        <f t="shared" si="17"/>
        <v>177</v>
      </c>
      <c r="B206" s="33" t="s">
        <v>622</v>
      </c>
      <c r="C206" s="32" t="s">
        <v>660</v>
      </c>
      <c r="D206" s="32" t="s">
        <v>689</v>
      </c>
      <c r="E206" s="32"/>
      <c r="F206" s="32" t="s">
        <v>63</v>
      </c>
      <c r="G206" s="34" t="s">
        <v>690</v>
      </c>
      <c r="H206" s="32" t="s">
        <v>39</v>
      </c>
      <c r="I206" s="32" t="s">
        <v>50</v>
      </c>
      <c r="J206" s="35" t="s">
        <v>691</v>
      </c>
      <c r="K206" s="32" t="s">
        <v>175</v>
      </c>
      <c r="L206" s="32"/>
      <c r="M206" s="32"/>
      <c r="N206" s="32"/>
      <c r="O206" s="32"/>
      <c r="P206" s="32"/>
      <c r="Q206" s="32"/>
      <c r="R206" s="32"/>
      <c r="S206" s="32" t="s">
        <v>45</v>
      </c>
      <c r="T206" s="32" t="s">
        <v>46</v>
      </c>
      <c r="U206" s="32">
        <v>2</v>
      </c>
      <c r="V206" s="32">
        <v>0</v>
      </c>
      <c r="W206" s="32">
        <v>1</v>
      </c>
      <c r="X206" s="32">
        <v>1</v>
      </c>
      <c r="Y206" s="32"/>
      <c r="Z206" s="32">
        <v>0</v>
      </c>
      <c r="AA206" s="32"/>
      <c r="AB206" s="32"/>
      <c r="AC206" s="32">
        <f t="shared" si="18"/>
        <v>4</v>
      </c>
      <c r="AD206" s="32"/>
      <c r="AE206" s="36"/>
      <c r="AG206" s="38"/>
    </row>
    <row r="207" spans="1:33" s="37" customFormat="1">
      <c r="A207" s="32">
        <f t="shared" ref="A207:A270" si="19">A206+1</f>
        <v>178</v>
      </c>
      <c r="B207" s="33" t="s">
        <v>622</v>
      </c>
      <c r="C207" s="32" t="s">
        <v>660</v>
      </c>
      <c r="D207" s="32" t="s">
        <v>692</v>
      </c>
      <c r="E207" s="32"/>
      <c r="F207" s="32" t="s">
        <v>63</v>
      </c>
      <c r="G207" s="34" t="s">
        <v>693</v>
      </c>
      <c r="H207" s="32" t="s">
        <v>39</v>
      </c>
      <c r="I207" s="32" t="s">
        <v>50</v>
      </c>
      <c r="J207" s="35" t="s">
        <v>694</v>
      </c>
      <c r="K207" s="32" t="s">
        <v>175</v>
      </c>
      <c r="L207" s="32"/>
      <c r="M207" s="32"/>
      <c r="N207" s="32"/>
      <c r="O207" s="32"/>
      <c r="P207" s="32"/>
      <c r="Q207" s="32"/>
      <c r="R207" s="32"/>
      <c r="S207" s="32" t="s">
        <v>45</v>
      </c>
      <c r="T207" s="32" t="s">
        <v>46</v>
      </c>
      <c r="U207" s="32">
        <v>2</v>
      </c>
      <c r="V207" s="32">
        <v>1</v>
      </c>
      <c r="W207" s="32">
        <v>1</v>
      </c>
      <c r="X207" s="32">
        <v>0</v>
      </c>
      <c r="Y207" s="32"/>
      <c r="Z207" s="32">
        <v>0</v>
      </c>
      <c r="AA207" s="32"/>
      <c r="AB207" s="32"/>
      <c r="AC207" s="32">
        <f t="shared" si="18"/>
        <v>4</v>
      </c>
      <c r="AD207" s="32"/>
      <c r="AE207" s="36"/>
      <c r="AG207" s="38"/>
    </row>
    <row r="208" spans="1:33" s="37" customFormat="1">
      <c r="A208" s="32">
        <f t="shared" si="19"/>
        <v>179</v>
      </c>
      <c r="B208" s="33" t="s">
        <v>622</v>
      </c>
      <c r="C208" s="32" t="s">
        <v>660</v>
      </c>
      <c r="D208" s="32" t="s">
        <v>695</v>
      </c>
      <c r="E208" s="32"/>
      <c r="F208" s="32" t="s">
        <v>63</v>
      </c>
      <c r="G208" s="34" t="s">
        <v>696</v>
      </c>
      <c r="H208" s="32" t="s">
        <v>39</v>
      </c>
      <c r="I208" s="32" t="s">
        <v>40</v>
      </c>
      <c r="J208" s="36">
        <v>1071</v>
      </c>
      <c r="K208" s="32" t="s">
        <v>175</v>
      </c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>
        <f t="shared" si="18"/>
        <v>0</v>
      </c>
      <c r="AD208" s="32"/>
      <c r="AE208" s="36"/>
      <c r="AG208" s="38"/>
    </row>
    <row r="209" spans="1:33" s="37" customFormat="1">
      <c r="A209" s="32">
        <f t="shared" si="19"/>
        <v>180</v>
      </c>
      <c r="B209" s="33" t="s">
        <v>622</v>
      </c>
      <c r="C209" s="32" t="s">
        <v>697</v>
      </c>
      <c r="D209" s="32" t="s">
        <v>698</v>
      </c>
      <c r="E209" s="32"/>
      <c r="F209" s="32" t="s">
        <v>63</v>
      </c>
      <c r="G209" s="34" t="s">
        <v>699</v>
      </c>
      <c r="H209" s="32" t="s">
        <v>39</v>
      </c>
      <c r="I209" s="32" t="s">
        <v>40</v>
      </c>
      <c r="J209" s="35" t="s">
        <v>700</v>
      </c>
      <c r="K209" s="32" t="s">
        <v>175</v>
      </c>
      <c r="L209" s="32"/>
      <c r="M209" s="32"/>
      <c r="N209" s="32"/>
      <c r="O209" s="32"/>
      <c r="P209" s="32"/>
      <c r="Q209" s="32"/>
      <c r="R209" s="32"/>
      <c r="S209" s="32" t="s">
        <v>45</v>
      </c>
      <c r="T209" s="32" t="s">
        <v>89</v>
      </c>
      <c r="U209" s="32">
        <v>2</v>
      </c>
      <c r="V209" s="32">
        <v>0</v>
      </c>
      <c r="W209" s="32">
        <v>0</v>
      </c>
      <c r="X209" s="32">
        <v>0</v>
      </c>
      <c r="Y209" s="32"/>
      <c r="Z209" s="32">
        <v>0</v>
      </c>
      <c r="AA209" s="32"/>
      <c r="AB209" s="32"/>
      <c r="AC209" s="32">
        <f t="shared" si="18"/>
        <v>2</v>
      </c>
      <c r="AD209" s="32"/>
      <c r="AE209" s="36"/>
      <c r="AG209" s="38"/>
    </row>
    <row r="210" spans="1:33" s="37" customFormat="1">
      <c r="A210" s="32">
        <f t="shared" si="19"/>
        <v>181</v>
      </c>
      <c r="B210" s="33" t="s">
        <v>622</v>
      </c>
      <c r="C210" s="32" t="s">
        <v>697</v>
      </c>
      <c r="D210" s="32" t="s">
        <v>701</v>
      </c>
      <c r="E210" s="32"/>
      <c r="F210" s="32" t="s">
        <v>63</v>
      </c>
      <c r="G210" s="34" t="s">
        <v>702</v>
      </c>
      <c r="H210" s="32" t="s">
        <v>39</v>
      </c>
      <c r="I210" s="32" t="s">
        <v>50</v>
      </c>
      <c r="J210" s="35" t="s">
        <v>703</v>
      </c>
      <c r="K210" s="32" t="s">
        <v>175</v>
      </c>
      <c r="L210" s="32"/>
      <c r="M210" s="32"/>
      <c r="N210" s="32"/>
      <c r="O210" s="32"/>
      <c r="P210" s="32"/>
      <c r="Q210" s="32"/>
      <c r="R210" s="32"/>
      <c r="S210" s="32" t="s">
        <v>43</v>
      </c>
      <c r="T210" s="32" t="s">
        <v>85</v>
      </c>
      <c r="U210" s="32">
        <v>2</v>
      </c>
      <c r="V210" s="32">
        <v>0</v>
      </c>
      <c r="W210" s="32">
        <v>0</v>
      </c>
      <c r="X210" s="32">
        <v>0</v>
      </c>
      <c r="Y210" s="32"/>
      <c r="Z210" s="32">
        <v>0</v>
      </c>
      <c r="AA210" s="32"/>
      <c r="AB210" s="32"/>
      <c r="AC210" s="32">
        <f t="shared" si="18"/>
        <v>2</v>
      </c>
      <c r="AD210" s="32"/>
      <c r="AE210" s="36"/>
      <c r="AG210" s="38"/>
    </row>
    <row r="211" spans="1:33" s="37" customFormat="1">
      <c r="A211" s="32">
        <f t="shared" si="19"/>
        <v>182</v>
      </c>
      <c r="B211" s="33" t="s">
        <v>622</v>
      </c>
      <c r="C211" s="32" t="s">
        <v>697</v>
      </c>
      <c r="D211" s="32" t="s">
        <v>704</v>
      </c>
      <c r="E211" s="32"/>
      <c r="F211" s="32" t="s">
        <v>63</v>
      </c>
      <c r="G211" s="34" t="s">
        <v>705</v>
      </c>
      <c r="H211" s="32" t="s">
        <v>39</v>
      </c>
      <c r="I211" s="32" t="s">
        <v>50</v>
      </c>
      <c r="J211" s="35" t="s">
        <v>706</v>
      </c>
      <c r="K211" s="32" t="s">
        <v>175</v>
      </c>
      <c r="L211" s="32"/>
      <c r="M211" s="32"/>
      <c r="N211" s="32"/>
      <c r="O211" s="32"/>
      <c r="P211" s="32"/>
      <c r="Q211" s="32"/>
      <c r="R211" s="32"/>
      <c r="S211" s="32" t="s">
        <v>45</v>
      </c>
      <c r="T211" s="32" t="s">
        <v>46</v>
      </c>
      <c r="U211" s="32">
        <v>2</v>
      </c>
      <c r="V211" s="32">
        <v>0</v>
      </c>
      <c r="W211" s="32">
        <v>1</v>
      </c>
      <c r="X211" s="32">
        <v>0</v>
      </c>
      <c r="Y211" s="32"/>
      <c r="Z211" s="32">
        <v>0</v>
      </c>
      <c r="AA211" s="32"/>
      <c r="AB211" s="32"/>
      <c r="AC211" s="32">
        <f t="shared" si="18"/>
        <v>3</v>
      </c>
      <c r="AD211" s="32"/>
      <c r="AE211" s="36"/>
      <c r="AG211" s="38"/>
    </row>
    <row r="212" spans="1:33" s="37" customFormat="1">
      <c r="A212" s="32">
        <f t="shared" si="19"/>
        <v>183</v>
      </c>
      <c r="B212" s="33" t="s">
        <v>622</v>
      </c>
      <c r="C212" s="32" t="s">
        <v>697</v>
      </c>
      <c r="D212" s="32" t="s">
        <v>707</v>
      </c>
      <c r="E212" s="32"/>
      <c r="F212" s="32" t="s">
        <v>63</v>
      </c>
      <c r="G212" s="34" t="s">
        <v>708</v>
      </c>
      <c r="H212" s="32" t="s">
        <v>39</v>
      </c>
      <c r="I212" s="32" t="s">
        <v>40</v>
      </c>
      <c r="J212" s="35" t="s">
        <v>709</v>
      </c>
      <c r="K212" s="32" t="s">
        <v>175</v>
      </c>
      <c r="L212" s="32"/>
      <c r="M212" s="32"/>
      <c r="N212" s="32"/>
      <c r="O212" s="32"/>
      <c r="P212" s="32"/>
      <c r="Q212" s="32"/>
      <c r="R212" s="32"/>
      <c r="S212" s="32" t="s">
        <v>45</v>
      </c>
      <c r="T212" s="32" t="s">
        <v>46</v>
      </c>
      <c r="U212" s="32">
        <v>2</v>
      </c>
      <c r="V212" s="32">
        <v>0</v>
      </c>
      <c r="W212" s="32">
        <v>1</v>
      </c>
      <c r="X212" s="32">
        <v>1</v>
      </c>
      <c r="Y212" s="32"/>
      <c r="Z212" s="32">
        <v>0</v>
      </c>
      <c r="AA212" s="32"/>
      <c r="AB212" s="32"/>
      <c r="AC212" s="32">
        <f t="shared" si="18"/>
        <v>4</v>
      </c>
      <c r="AD212" s="32"/>
      <c r="AE212" s="36"/>
      <c r="AG212" s="38"/>
    </row>
    <row r="213" spans="1:33" s="37" customFormat="1">
      <c r="A213" s="32">
        <f t="shared" si="19"/>
        <v>184</v>
      </c>
      <c r="B213" s="33" t="s">
        <v>622</v>
      </c>
      <c r="C213" s="32" t="s">
        <v>697</v>
      </c>
      <c r="D213" s="32" t="s">
        <v>710</v>
      </c>
      <c r="E213" s="32"/>
      <c r="F213" s="32" t="s">
        <v>63</v>
      </c>
      <c r="G213" s="34" t="s">
        <v>699</v>
      </c>
      <c r="H213" s="32" t="s">
        <v>39</v>
      </c>
      <c r="I213" s="32" t="s">
        <v>50</v>
      </c>
      <c r="J213" s="35" t="s">
        <v>711</v>
      </c>
      <c r="K213" s="32" t="s">
        <v>175</v>
      </c>
      <c r="L213" s="32"/>
      <c r="M213" s="32"/>
      <c r="N213" s="32"/>
      <c r="O213" s="32"/>
      <c r="P213" s="32"/>
      <c r="Q213" s="32"/>
      <c r="R213" s="32"/>
      <c r="S213" s="32" t="s">
        <v>45</v>
      </c>
      <c r="T213" s="32" t="s">
        <v>89</v>
      </c>
      <c r="U213" s="32">
        <v>2</v>
      </c>
      <c r="V213" s="32">
        <v>0</v>
      </c>
      <c r="W213" s="32">
        <v>0</v>
      </c>
      <c r="X213" s="32">
        <v>0</v>
      </c>
      <c r="Y213" s="32"/>
      <c r="Z213" s="32">
        <v>0</v>
      </c>
      <c r="AA213" s="32"/>
      <c r="AB213" s="32"/>
      <c r="AC213" s="32">
        <f t="shared" si="18"/>
        <v>2</v>
      </c>
      <c r="AD213" s="32"/>
      <c r="AE213" s="36"/>
      <c r="AG213" s="38"/>
    </row>
    <row r="214" spans="1:33" s="37" customFormat="1">
      <c r="A214" s="32">
        <f t="shared" si="19"/>
        <v>185</v>
      </c>
      <c r="B214" s="33" t="s">
        <v>622</v>
      </c>
      <c r="C214" s="32" t="s">
        <v>697</v>
      </c>
      <c r="D214" s="32" t="s">
        <v>712</v>
      </c>
      <c r="E214" s="32"/>
      <c r="F214" s="32" t="s">
        <v>63</v>
      </c>
      <c r="G214" s="34" t="s">
        <v>713</v>
      </c>
      <c r="H214" s="32" t="s">
        <v>39</v>
      </c>
      <c r="I214" s="32" t="s">
        <v>40</v>
      </c>
      <c r="J214" s="36">
        <v>1164</v>
      </c>
      <c r="K214" s="32" t="s">
        <v>175</v>
      </c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>
        <f t="shared" si="18"/>
        <v>0</v>
      </c>
      <c r="AD214" s="32"/>
      <c r="AE214" s="36"/>
      <c r="AG214" s="38"/>
    </row>
    <row r="215" spans="1:33" s="44" customFormat="1">
      <c r="A215" s="39">
        <f t="shared" si="19"/>
        <v>186</v>
      </c>
      <c r="B215" s="40" t="s">
        <v>622</v>
      </c>
      <c r="C215" s="39" t="s">
        <v>697</v>
      </c>
      <c r="D215" s="39" t="s">
        <v>714</v>
      </c>
      <c r="E215" s="39"/>
      <c r="F215" s="39" t="s">
        <v>48</v>
      </c>
      <c r="G215" s="41" t="s">
        <v>715</v>
      </c>
      <c r="H215" s="39" t="s">
        <v>39</v>
      </c>
      <c r="I215" s="39" t="s">
        <v>50</v>
      </c>
      <c r="J215" s="42" t="s">
        <v>716</v>
      </c>
      <c r="K215" s="39" t="s">
        <v>175</v>
      </c>
      <c r="L215" s="39">
        <v>250</v>
      </c>
      <c r="M215" s="39"/>
      <c r="N215" s="39" t="s">
        <v>573</v>
      </c>
      <c r="O215" s="39">
        <v>833100</v>
      </c>
      <c r="P215" s="39">
        <v>1976</v>
      </c>
      <c r="Q215" s="39"/>
      <c r="R215" s="39" t="s">
        <v>482</v>
      </c>
      <c r="S215" s="39" t="s">
        <v>45</v>
      </c>
      <c r="T215" s="39" t="s">
        <v>46</v>
      </c>
      <c r="U215" s="39">
        <v>2</v>
      </c>
      <c r="V215" s="39">
        <v>1</v>
      </c>
      <c r="W215" s="39">
        <v>0</v>
      </c>
      <c r="X215" s="39">
        <v>0</v>
      </c>
      <c r="Y215" s="39"/>
      <c r="Z215" s="39">
        <v>0</v>
      </c>
      <c r="AA215" s="39"/>
      <c r="AB215" s="39"/>
      <c r="AC215" s="39">
        <f t="shared" si="18"/>
        <v>3</v>
      </c>
      <c r="AD215" s="39"/>
      <c r="AE215" s="43"/>
      <c r="AG215" s="45"/>
    </row>
    <row r="216" spans="1:33" s="44" customFormat="1">
      <c r="A216" s="39">
        <f t="shared" si="19"/>
        <v>187</v>
      </c>
      <c r="B216" s="40" t="s">
        <v>622</v>
      </c>
      <c r="C216" s="39" t="s">
        <v>717</v>
      </c>
      <c r="D216" s="39" t="s">
        <v>718</v>
      </c>
      <c r="E216" s="39"/>
      <c r="F216" s="39" t="s">
        <v>48</v>
      </c>
      <c r="G216" s="41" t="s">
        <v>719</v>
      </c>
      <c r="H216" s="39" t="s">
        <v>39</v>
      </c>
      <c r="I216" s="39" t="s">
        <v>50</v>
      </c>
      <c r="J216" s="42" t="s">
        <v>720</v>
      </c>
      <c r="K216" s="39" t="s">
        <v>42</v>
      </c>
      <c r="L216" s="39">
        <v>250</v>
      </c>
      <c r="M216" s="39" t="s">
        <v>721</v>
      </c>
      <c r="N216" s="39" t="s">
        <v>59</v>
      </c>
      <c r="O216" s="39" t="s">
        <v>722</v>
      </c>
      <c r="P216" s="39">
        <v>2010</v>
      </c>
      <c r="Q216" s="39"/>
      <c r="R216" s="39">
        <f>IF(H216="CANTOL",2,4)</f>
        <v>4</v>
      </c>
      <c r="S216" s="39" t="s">
        <v>45</v>
      </c>
      <c r="T216" s="39" t="s">
        <v>46</v>
      </c>
      <c r="U216" s="39">
        <v>2</v>
      </c>
      <c r="V216" s="39">
        <v>1</v>
      </c>
      <c r="W216" s="39">
        <v>0</v>
      </c>
      <c r="X216" s="39">
        <v>0</v>
      </c>
      <c r="Y216" s="39"/>
      <c r="Z216" s="39">
        <v>0</v>
      </c>
      <c r="AA216" s="39"/>
      <c r="AB216" s="39"/>
      <c r="AC216" s="39">
        <f t="shared" si="18"/>
        <v>3</v>
      </c>
      <c r="AD216" s="39"/>
      <c r="AE216" s="43"/>
      <c r="AG216" s="45"/>
    </row>
    <row r="217" spans="1:33" s="37" customFormat="1">
      <c r="A217" s="32">
        <f t="shared" si="19"/>
        <v>188</v>
      </c>
      <c r="B217" s="33" t="s">
        <v>622</v>
      </c>
      <c r="C217" s="32" t="s">
        <v>717</v>
      </c>
      <c r="D217" s="32" t="s">
        <v>723</v>
      </c>
      <c r="E217" s="32"/>
      <c r="F217" s="32" t="s">
        <v>63</v>
      </c>
      <c r="G217" s="34" t="s">
        <v>724</v>
      </c>
      <c r="H217" s="32" t="s">
        <v>39</v>
      </c>
      <c r="I217" s="32" t="s">
        <v>50</v>
      </c>
      <c r="J217" s="35" t="s">
        <v>725</v>
      </c>
      <c r="K217" s="32" t="s">
        <v>42</v>
      </c>
      <c r="L217" s="32"/>
      <c r="M217" s="32"/>
      <c r="N217" s="32"/>
      <c r="O217" s="32"/>
      <c r="P217" s="32"/>
      <c r="Q217" s="32"/>
      <c r="R217" s="32"/>
      <c r="S217" s="32" t="s">
        <v>45</v>
      </c>
      <c r="T217" s="32" t="s">
        <v>46</v>
      </c>
      <c r="U217" s="32">
        <v>2</v>
      </c>
      <c r="V217" s="32">
        <v>0</v>
      </c>
      <c r="W217" s="32">
        <v>1</v>
      </c>
      <c r="X217" s="32">
        <v>0</v>
      </c>
      <c r="Y217" s="32"/>
      <c r="Z217" s="32">
        <v>1</v>
      </c>
      <c r="AA217" s="32"/>
      <c r="AB217" s="32"/>
      <c r="AC217" s="32">
        <f t="shared" si="18"/>
        <v>4</v>
      </c>
      <c r="AD217" s="32"/>
      <c r="AE217" s="36"/>
      <c r="AG217" s="38"/>
    </row>
    <row r="218" spans="1:33" s="37" customFormat="1">
      <c r="A218" s="32">
        <f t="shared" si="19"/>
        <v>189</v>
      </c>
      <c r="B218" s="33" t="s">
        <v>622</v>
      </c>
      <c r="C218" s="32" t="s">
        <v>717</v>
      </c>
      <c r="D218" s="32" t="s">
        <v>726</v>
      </c>
      <c r="E218" s="32"/>
      <c r="F218" s="32" t="s">
        <v>63</v>
      </c>
      <c r="G218" s="34" t="s">
        <v>727</v>
      </c>
      <c r="H218" s="32" t="s">
        <v>39</v>
      </c>
      <c r="I218" s="32" t="s">
        <v>50</v>
      </c>
      <c r="J218" s="35" t="s">
        <v>728</v>
      </c>
      <c r="K218" s="32" t="s">
        <v>42</v>
      </c>
      <c r="L218" s="32"/>
      <c r="M218" s="32"/>
      <c r="N218" s="32"/>
      <c r="O218" s="32"/>
      <c r="P218" s="32"/>
      <c r="Q218" s="32"/>
      <c r="R218" s="32"/>
      <c r="S218" s="32" t="s">
        <v>45</v>
      </c>
      <c r="T218" s="32" t="s">
        <v>46</v>
      </c>
      <c r="U218" s="32">
        <v>2</v>
      </c>
      <c r="V218" s="32">
        <v>0</v>
      </c>
      <c r="W218" s="32">
        <v>1</v>
      </c>
      <c r="X218" s="32">
        <v>0</v>
      </c>
      <c r="Y218" s="32"/>
      <c r="Z218" s="32">
        <v>0</v>
      </c>
      <c r="AA218" s="32"/>
      <c r="AB218" s="32"/>
      <c r="AC218" s="32">
        <f t="shared" si="18"/>
        <v>3</v>
      </c>
      <c r="AD218" s="32"/>
      <c r="AE218" s="36"/>
      <c r="AG218" s="38"/>
    </row>
    <row r="219" spans="1:33" s="37" customFormat="1">
      <c r="A219" s="32">
        <f t="shared" si="19"/>
        <v>190</v>
      </c>
      <c r="B219" s="33" t="s">
        <v>622</v>
      </c>
      <c r="C219" s="32" t="s">
        <v>729</v>
      </c>
      <c r="D219" s="32" t="s">
        <v>730</v>
      </c>
      <c r="E219" s="32"/>
      <c r="F219" s="32" t="s">
        <v>63</v>
      </c>
      <c r="G219" s="34" t="s">
        <v>356</v>
      </c>
      <c r="H219" s="32" t="s">
        <v>39</v>
      </c>
      <c r="I219" s="32" t="s">
        <v>50</v>
      </c>
      <c r="J219" s="35" t="s">
        <v>731</v>
      </c>
      <c r="K219" s="32" t="s">
        <v>42</v>
      </c>
      <c r="L219" s="32"/>
      <c r="M219" s="32"/>
      <c r="N219" s="32"/>
      <c r="O219" s="32"/>
      <c r="P219" s="32"/>
      <c r="Q219" s="32"/>
      <c r="R219" s="32"/>
      <c r="S219" s="32" t="s">
        <v>45</v>
      </c>
      <c r="T219" s="32" t="s">
        <v>89</v>
      </c>
      <c r="U219" s="32">
        <v>2</v>
      </c>
      <c r="V219" s="32">
        <v>0</v>
      </c>
      <c r="W219" s="32">
        <v>0</v>
      </c>
      <c r="X219" s="32">
        <v>0</v>
      </c>
      <c r="Y219" s="32"/>
      <c r="Z219" s="32">
        <v>0</v>
      </c>
      <c r="AA219" s="32"/>
      <c r="AB219" s="32"/>
      <c r="AC219" s="32">
        <f t="shared" si="18"/>
        <v>2</v>
      </c>
      <c r="AD219" s="32"/>
      <c r="AE219" s="36"/>
      <c r="AG219" s="38"/>
    </row>
    <row r="220" spans="1:33" s="37" customFormat="1">
      <c r="A220" s="32">
        <f t="shared" si="19"/>
        <v>191</v>
      </c>
      <c r="B220" s="33" t="s">
        <v>622</v>
      </c>
      <c r="C220" s="32" t="s">
        <v>729</v>
      </c>
      <c r="D220" s="32" t="s">
        <v>732</v>
      </c>
      <c r="E220" s="32"/>
      <c r="F220" s="32" t="s">
        <v>63</v>
      </c>
      <c r="G220" s="34" t="s">
        <v>385</v>
      </c>
      <c r="H220" s="32" t="s">
        <v>39</v>
      </c>
      <c r="I220" s="32" t="s">
        <v>50</v>
      </c>
      <c r="J220" s="35" t="s">
        <v>733</v>
      </c>
      <c r="K220" s="32" t="s">
        <v>42</v>
      </c>
      <c r="L220" s="32"/>
      <c r="M220" s="32"/>
      <c r="N220" s="32"/>
      <c r="O220" s="32"/>
      <c r="P220" s="32"/>
      <c r="Q220" s="32"/>
      <c r="R220" s="32"/>
      <c r="S220" s="32" t="s">
        <v>45</v>
      </c>
      <c r="T220" s="32" t="s">
        <v>46</v>
      </c>
      <c r="U220" s="32">
        <v>2</v>
      </c>
      <c r="V220" s="32">
        <v>0</v>
      </c>
      <c r="W220" s="32">
        <v>1</v>
      </c>
      <c r="X220" s="32">
        <v>0</v>
      </c>
      <c r="Y220" s="32"/>
      <c r="Z220" s="32">
        <v>1</v>
      </c>
      <c r="AA220" s="32"/>
      <c r="AB220" s="32"/>
      <c r="AC220" s="32">
        <f t="shared" si="18"/>
        <v>4</v>
      </c>
      <c r="AD220" s="32"/>
      <c r="AE220" s="36"/>
      <c r="AG220" s="38"/>
    </row>
    <row r="221" spans="1:33" s="14" customFormat="1">
      <c r="A221" s="10">
        <f t="shared" si="19"/>
        <v>192</v>
      </c>
      <c r="B221" s="11" t="s">
        <v>622</v>
      </c>
      <c r="C221" s="10" t="s">
        <v>729</v>
      </c>
      <c r="D221" s="10" t="s">
        <v>734</v>
      </c>
      <c r="E221" s="10"/>
      <c r="F221" s="10" t="s">
        <v>37</v>
      </c>
      <c r="G221" s="12" t="s">
        <v>735</v>
      </c>
      <c r="H221" s="10" t="s">
        <v>39</v>
      </c>
      <c r="I221" s="10" t="s">
        <v>40</v>
      </c>
      <c r="J221" s="10">
        <v>1161</v>
      </c>
      <c r="K221" s="10" t="s">
        <v>175</v>
      </c>
      <c r="L221" s="10" t="s">
        <v>345</v>
      </c>
      <c r="M221" s="10"/>
      <c r="N221" s="10" t="s">
        <v>82</v>
      </c>
      <c r="O221" s="10" t="s">
        <v>736</v>
      </c>
      <c r="P221" s="10" t="s">
        <v>737</v>
      </c>
      <c r="Q221" s="10" t="s">
        <v>96</v>
      </c>
      <c r="R221" s="10" t="s">
        <v>482</v>
      </c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>
        <f t="shared" si="18"/>
        <v>0</v>
      </c>
      <c r="AD221" s="10"/>
      <c r="AE221" s="16"/>
      <c r="AG221" s="17"/>
    </row>
    <row r="222" spans="1:33" s="14" customFormat="1">
      <c r="A222" s="10">
        <f>A220+1</f>
        <v>192</v>
      </c>
      <c r="B222" s="11" t="s">
        <v>738</v>
      </c>
      <c r="C222" s="10" t="s">
        <v>739</v>
      </c>
      <c r="D222" s="10" t="s">
        <v>740</v>
      </c>
      <c r="E222" s="10"/>
      <c r="F222" s="10" t="s">
        <v>63</v>
      </c>
      <c r="G222" s="12" t="s">
        <v>740</v>
      </c>
      <c r="H222" s="10" t="s">
        <v>741</v>
      </c>
      <c r="I222" s="10" t="s">
        <v>741</v>
      </c>
      <c r="J222" s="13"/>
      <c r="K222" s="10" t="s">
        <v>42</v>
      </c>
      <c r="L222" s="10">
        <v>160</v>
      </c>
      <c r="M222" s="10"/>
      <c r="N222" s="10" t="s">
        <v>340</v>
      </c>
      <c r="O222" s="10" t="s">
        <v>742</v>
      </c>
      <c r="P222" s="10">
        <v>2023</v>
      </c>
      <c r="Q222" s="10">
        <v>1</v>
      </c>
      <c r="R222" s="10">
        <v>1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/>
      <c r="Z222" s="10">
        <v>0</v>
      </c>
      <c r="AA222" s="10"/>
      <c r="AB222" s="10"/>
      <c r="AC222" s="10">
        <f t="shared" si="18"/>
        <v>0</v>
      </c>
      <c r="AD222" s="10"/>
      <c r="AE222" s="16"/>
      <c r="AG222" s="17"/>
    </row>
    <row r="223" spans="1:33" s="14" customFormat="1">
      <c r="A223" s="10">
        <f>A221+1</f>
        <v>193</v>
      </c>
      <c r="B223" s="11" t="s">
        <v>738</v>
      </c>
      <c r="C223" s="10" t="s">
        <v>739</v>
      </c>
      <c r="D223" s="10" t="s">
        <v>743</v>
      </c>
      <c r="E223" s="10"/>
      <c r="F223" s="10" t="s">
        <v>37</v>
      </c>
      <c r="G223" s="12" t="s">
        <v>744</v>
      </c>
      <c r="H223" s="10" t="s">
        <v>246</v>
      </c>
      <c r="I223" s="10" t="s">
        <v>246</v>
      </c>
      <c r="J223" s="13" t="s">
        <v>745</v>
      </c>
      <c r="K223" s="10" t="s">
        <v>42</v>
      </c>
      <c r="L223" s="10">
        <v>250</v>
      </c>
      <c r="M223" s="10"/>
      <c r="N223" s="10" t="s">
        <v>93</v>
      </c>
      <c r="O223" s="10" t="s">
        <v>746</v>
      </c>
      <c r="P223" s="10">
        <v>2024</v>
      </c>
      <c r="Q223" s="10">
        <v>1</v>
      </c>
      <c r="R223" s="10">
        <v>3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/>
      <c r="Z223" s="10">
        <v>0</v>
      </c>
      <c r="AA223" s="10"/>
      <c r="AB223" s="10"/>
      <c r="AC223" s="10">
        <f t="shared" si="18"/>
        <v>0</v>
      </c>
      <c r="AD223" s="10"/>
      <c r="AE223" s="16"/>
      <c r="AG223" s="17"/>
    </row>
    <row r="224" spans="1:33" s="14" customFormat="1">
      <c r="A224" s="10">
        <f t="shared" si="19"/>
        <v>194</v>
      </c>
      <c r="B224" s="11" t="s">
        <v>738</v>
      </c>
      <c r="C224" s="10" t="s">
        <v>739</v>
      </c>
      <c r="D224" s="10" t="s">
        <v>747</v>
      </c>
      <c r="E224" s="10"/>
      <c r="F224" s="10" t="s">
        <v>37</v>
      </c>
      <c r="G224" s="12" t="s">
        <v>744</v>
      </c>
      <c r="H224" s="10" t="s">
        <v>741</v>
      </c>
      <c r="I224" s="10" t="s">
        <v>741</v>
      </c>
      <c r="J224" s="13" t="s">
        <v>748</v>
      </c>
      <c r="K224" s="10" t="s">
        <v>42</v>
      </c>
      <c r="L224" s="10">
        <v>100</v>
      </c>
      <c r="M224" s="10"/>
      <c r="N224" s="10" t="s">
        <v>664</v>
      </c>
      <c r="O224" s="10">
        <v>200881590</v>
      </c>
      <c r="P224" s="10">
        <v>2008</v>
      </c>
      <c r="Q224" s="10">
        <v>1</v>
      </c>
      <c r="R224" s="10">
        <v>2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/>
      <c r="Z224" s="10">
        <v>0</v>
      </c>
      <c r="AA224" s="10"/>
      <c r="AB224" s="10"/>
      <c r="AC224" s="10">
        <f t="shared" si="18"/>
        <v>0</v>
      </c>
      <c r="AD224" s="10"/>
      <c r="AE224" s="16"/>
      <c r="AG224" s="17"/>
    </row>
    <row r="225" spans="1:33" s="99" customFormat="1">
      <c r="A225" s="95">
        <f>A223+1</f>
        <v>194</v>
      </c>
      <c r="B225" s="96" t="s">
        <v>738</v>
      </c>
      <c r="C225" s="95" t="s">
        <v>739</v>
      </c>
      <c r="D225" s="95" t="s">
        <v>749</v>
      </c>
      <c r="E225" s="95"/>
      <c r="F225" s="95" t="s">
        <v>63</v>
      </c>
      <c r="G225" s="97" t="s">
        <v>750</v>
      </c>
      <c r="H225" s="95" t="s">
        <v>246</v>
      </c>
      <c r="I225" s="95" t="s">
        <v>246</v>
      </c>
      <c r="J225" s="95"/>
      <c r="K225" s="95" t="s">
        <v>42</v>
      </c>
      <c r="L225" s="95">
        <v>160</v>
      </c>
      <c r="M225" s="95"/>
      <c r="N225" s="95" t="s">
        <v>59</v>
      </c>
      <c r="O225" s="95">
        <v>253301751</v>
      </c>
      <c r="P225" s="95">
        <v>2025</v>
      </c>
      <c r="Q225" s="95">
        <v>1</v>
      </c>
      <c r="R225" s="95">
        <v>3</v>
      </c>
      <c r="S225" s="95"/>
      <c r="T225" s="95"/>
      <c r="U225" s="95"/>
      <c r="V225" s="95"/>
      <c r="W225" s="95"/>
      <c r="X225" s="95"/>
      <c r="Y225" s="95"/>
      <c r="Z225" s="95"/>
      <c r="AA225" s="95"/>
      <c r="AB225" s="95"/>
      <c r="AC225" s="95">
        <f t="shared" ref="AC225" si="20">SUM(U225:AB225)</f>
        <v>0</v>
      </c>
      <c r="AD225" s="95"/>
      <c r="AE225" s="98"/>
      <c r="AG225" s="100"/>
    </row>
    <row r="226" spans="1:33" s="14" customFormat="1">
      <c r="A226" s="10">
        <f>A224+1</f>
        <v>195</v>
      </c>
      <c r="B226" s="11" t="s">
        <v>738</v>
      </c>
      <c r="C226" s="10" t="s">
        <v>739</v>
      </c>
      <c r="D226" s="10" t="s">
        <v>751</v>
      </c>
      <c r="E226" s="10"/>
      <c r="F226" s="10" t="s">
        <v>37</v>
      </c>
      <c r="G226" s="12" t="s">
        <v>752</v>
      </c>
      <c r="H226" s="10" t="s">
        <v>246</v>
      </c>
      <c r="I226" s="10" t="s">
        <v>246</v>
      </c>
      <c r="J226" s="10">
        <v>1024</v>
      </c>
      <c r="K226" s="10" t="s">
        <v>42</v>
      </c>
      <c r="L226" s="10">
        <v>200</v>
      </c>
      <c r="M226" s="10"/>
      <c r="N226" s="10" t="s">
        <v>753</v>
      </c>
      <c r="O226" s="10"/>
      <c r="P226" s="10"/>
      <c r="Q226" s="10">
        <v>1</v>
      </c>
      <c r="R226" s="10">
        <v>3</v>
      </c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>
        <f t="shared" si="18"/>
        <v>0</v>
      </c>
      <c r="AD226" s="10"/>
      <c r="AE226" s="16"/>
      <c r="AG226" s="17"/>
    </row>
    <row r="227" spans="1:33" s="14" customFormat="1" ht="16">
      <c r="A227" s="10">
        <f t="shared" si="19"/>
        <v>196</v>
      </c>
      <c r="B227" s="11" t="s">
        <v>738</v>
      </c>
      <c r="C227" s="10" t="s">
        <v>739</v>
      </c>
      <c r="D227" s="10" t="s">
        <v>754</v>
      </c>
      <c r="E227" s="10"/>
      <c r="F227" s="10" t="s">
        <v>37</v>
      </c>
      <c r="G227" s="12" t="s">
        <v>755</v>
      </c>
      <c r="H227" s="10" t="s">
        <v>246</v>
      </c>
      <c r="I227" s="10" t="s">
        <v>246</v>
      </c>
      <c r="J227" s="13" t="s">
        <v>756</v>
      </c>
      <c r="K227" s="10" t="s">
        <v>42</v>
      </c>
      <c r="L227" s="10">
        <v>160</v>
      </c>
      <c r="M227" s="10"/>
      <c r="N227" s="110" t="s">
        <v>757</v>
      </c>
      <c r="O227" s="110" t="s">
        <v>758</v>
      </c>
      <c r="P227" s="10" t="s">
        <v>95</v>
      </c>
      <c r="Q227" s="10">
        <v>1</v>
      </c>
      <c r="R227" s="10">
        <v>2</v>
      </c>
      <c r="S227" s="10">
        <v>0</v>
      </c>
      <c r="T227" s="10">
        <v>0</v>
      </c>
      <c r="U227" s="10">
        <v>0</v>
      </c>
      <c r="V227" s="10">
        <v>0</v>
      </c>
      <c r="W227" s="10">
        <v>0</v>
      </c>
      <c r="X227" s="10">
        <v>0</v>
      </c>
      <c r="Y227" s="10"/>
      <c r="Z227" s="10">
        <v>0</v>
      </c>
      <c r="AA227" s="10"/>
      <c r="AB227" s="10"/>
      <c r="AC227" s="10">
        <f t="shared" si="18"/>
        <v>0</v>
      </c>
      <c r="AD227" s="10"/>
      <c r="AE227" s="16" t="s">
        <v>759</v>
      </c>
      <c r="AG227" s="17" t="s">
        <v>760</v>
      </c>
    </row>
    <row r="228" spans="1:33" s="14" customFormat="1">
      <c r="A228" s="10">
        <f t="shared" si="19"/>
        <v>197</v>
      </c>
      <c r="B228" s="11" t="s">
        <v>34</v>
      </c>
      <c r="C228" s="10" t="s">
        <v>761</v>
      </c>
      <c r="D228" s="10" t="s">
        <v>762</v>
      </c>
      <c r="E228" s="10"/>
      <c r="F228" s="10" t="s">
        <v>37</v>
      </c>
      <c r="G228" s="12" t="s">
        <v>763</v>
      </c>
      <c r="H228" s="10" t="s">
        <v>246</v>
      </c>
      <c r="I228" s="10" t="s">
        <v>246</v>
      </c>
      <c r="J228" s="13" t="s">
        <v>764</v>
      </c>
      <c r="K228" s="10" t="s">
        <v>42</v>
      </c>
      <c r="L228" s="10">
        <v>250</v>
      </c>
      <c r="M228" s="10"/>
      <c r="N228" s="10" t="s">
        <v>59</v>
      </c>
      <c r="O228" s="10" t="s">
        <v>765</v>
      </c>
      <c r="P228" s="10" t="s">
        <v>766</v>
      </c>
      <c r="Q228" s="10">
        <v>1</v>
      </c>
      <c r="R228" s="10">
        <v>4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/>
      <c r="Z228" s="10">
        <v>0</v>
      </c>
      <c r="AA228" s="10"/>
      <c r="AB228" s="10"/>
      <c r="AC228" s="10">
        <f t="shared" si="18"/>
        <v>0</v>
      </c>
      <c r="AD228" s="10"/>
      <c r="AE228" s="16" t="s">
        <v>767</v>
      </c>
      <c r="AG228" s="17"/>
    </row>
    <row r="229" spans="1:33" s="115" customFormat="1">
      <c r="A229" s="111">
        <f t="shared" si="19"/>
        <v>198</v>
      </c>
      <c r="B229" s="112" t="s">
        <v>34</v>
      </c>
      <c r="C229" s="111" t="s">
        <v>761</v>
      </c>
      <c r="D229" s="111" t="s">
        <v>768</v>
      </c>
      <c r="E229" s="111"/>
      <c r="F229" s="111" t="s">
        <v>37</v>
      </c>
      <c r="G229" s="113" t="s">
        <v>763</v>
      </c>
      <c r="H229" s="111" t="s">
        <v>246</v>
      </c>
      <c r="I229" s="111" t="s">
        <v>246</v>
      </c>
      <c r="J229" s="111" t="s">
        <v>769</v>
      </c>
      <c r="K229" s="111" t="s">
        <v>42</v>
      </c>
      <c r="L229" s="111">
        <v>250</v>
      </c>
      <c r="M229" s="111"/>
      <c r="N229" s="111" t="s">
        <v>757</v>
      </c>
      <c r="O229" s="111" t="s">
        <v>770</v>
      </c>
      <c r="P229" s="111" t="s">
        <v>95</v>
      </c>
      <c r="Q229" s="111">
        <v>1</v>
      </c>
      <c r="R229" s="111" t="s">
        <v>96</v>
      </c>
      <c r="S229" s="111">
        <v>0</v>
      </c>
      <c r="T229" s="111">
        <v>0</v>
      </c>
      <c r="U229" s="111">
        <v>0</v>
      </c>
      <c r="V229" s="111">
        <v>0</v>
      </c>
      <c r="W229" s="111">
        <v>0</v>
      </c>
      <c r="X229" s="111">
        <v>0</v>
      </c>
      <c r="Y229" s="111"/>
      <c r="Z229" s="111">
        <v>0</v>
      </c>
      <c r="AA229" s="111"/>
      <c r="AB229" s="111"/>
      <c r="AC229" s="111">
        <f t="shared" si="18"/>
        <v>0</v>
      </c>
      <c r="AD229" s="111"/>
      <c r="AE229" s="114" t="s">
        <v>771</v>
      </c>
      <c r="AG229" s="116"/>
    </row>
    <row r="230" spans="1:33" s="14" customFormat="1">
      <c r="A230" s="10">
        <f t="shared" si="19"/>
        <v>199</v>
      </c>
      <c r="B230" s="11" t="s">
        <v>34</v>
      </c>
      <c r="C230" s="10" t="s">
        <v>761</v>
      </c>
      <c r="D230" s="10" t="s">
        <v>772</v>
      </c>
      <c r="E230" s="10"/>
      <c r="F230" s="10" t="s">
        <v>37</v>
      </c>
      <c r="G230" s="12" t="s">
        <v>773</v>
      </c>
      <c r="H230" s="10" t="s">
        <v>246</v>
      </c>
      <c r="I230" s="10" t="s">
        <v>246</v>
      </c>
      <c r="J230" s="13" t="s">
        <v>774</v>
      </c>
      <c r="K230" s="10" t="s">
        <v>42</v>
      </c>
      <c r="L230" s="10" t="s">
        <v>345</v>
      </c>
      <c r="M230" s="10"/>
      <c r="N230" s="10" t="s">
        <v>664</v>
      </c>
      <c r="O230" s="10" t="s">
        <v>775</v>
      </c>
      <c r="P230" s="10" t="s">
        <v>255</v>
      </c>
      <c r="Q230" s="10">
        <v>1</v>
      </c>
      <c r="R230" s="10">
        <v>3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/>
      <c r="Z230" s="10">
        <v>0</v>
      </c>
      <c r="AA230" s="10"/>
      <c r="AB230" s="10"/>
      <c r="AC230" s="10">
        <f t="shared" si="18"/>
        <v>0</v>
      </c>
      <c r="AD230" s="10"/>
      <c r="AE230" s="16"/>
      <c r="AG230" s="17"/>
    </row>
    <row r="231" spans="1:33" s="14" customFormat="1">
      <c r="A231" s="10">
        <f t="shared" si="19"/>
        <v>200</v>
      </c>
      <c r="B231" s="11" t="s">
        <v>34</v>
      </c>
      <c r="C231" s="10" t="s">
        <v>761</v>
      </c>
      <c r="D231" s="10" t="s">
        <v>776</v>
      </c>
      <c r="E231" s="10"/>
      <c r="F231" s="10" t="s">
        <v>37</v>
      </c>
      <c r="G231" s="12" t="s">
        <v>773</v>
      </c>
      <c r="H231" s="10" t="s">
        <v>741</v>
      </c>
      <c r="I231" s="10" t="s">
        <v>741</v>
      </c>
      <c r="J231" s="10">
        <v>1173</v>
      </c>
      <c r="K231" s="10" t="s">
        <v>42</v>
      </c>
      <c r="L231" s="10">
        <v>100</v>
      </c>
      <c r="M231" s="10"/>
      <c r="N231" s="10" t="s">
        <v>664</v>
      </c>
      <c r="O231" s="10" t="s">
        <v>777</v>
      </c>
      <c r="P231" s="10">
        <v>2011</v>
      </c>
      <c r="Q231" s="10">
        <v>1</v>
      </c>
      <c r="R231" s="10">
        <v>1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/>
      <c r="Z231" s="10">
        <v>0</v>
      </c>
      <c r="AA231" s="10"/>
      <c r="AB231" s="10"/>
      <c r="AC231" s="10">
        <f t="shared" si="18"/>
        <v>0</v>
      </c>
      <c r="AD231" s="10"/>
      <c r="AE231" s="16"/>
      <c r="AG231" s="17"/>
    </row>
    <row r="232" spans="1:33" s="14" customFormat="1">
      <c r="A232" s="10">
        <f>A230+1</f>
        <v>200</v>
      </c>
      <c r="B232" s="11" t="s">
        <v>34</v>
      </c>
      <c r="C232" s="10" t="s">
        <v>761</v>
      </c>
      <c r="D232" s="10" t="s">
        <v>778</v>
      </c>
      <c r="E232" s="10"/>
      <c r="F232" s="10" t="s">
        <v>37</v>
      </c>
      <c r="G232" s="12" t="s">
        <v>773</v>
      </c>
      <c r="H232" s="10" t="s">
        <v>741</v>
      </c>
      <c r="I232" s="10" t="s">
        <v>741</v>
      </c>
      <c r="J232" s="13" t="s">
        <v>779</v>
      </c>
      <c r="K232" s="10" t="s">
        <v>42</v>
      </c>
      <c r="L232" s="10">
        <v>160</v>
      </c>
      <c r="M232" s="10"/>
      <c r="N232" s="10" t="s">
        <v>780</v>
      </c>
      <c r="O232" s="10" t="s">
        <v>781</v>
      </c>
      <c r="P232" s="10">
        <v>1981</v>
      </c>
      <c r="Q232" s="10">
        <v>1</v>
      </c>
      <c r="R232" s="10">
        <v>2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/>
      <c r="Z232" s="10">
        <v>0</v>
      </c>
      <c r="AA232" s="10"/>
      <c r="AB232" s="10"/>
      <c r="AC232" s="10">
        <f t="shared" ref="AC232" si="21">SUM(U232:AB232)</f>
        <v>0</v>
      </c>
      <c r="AD232" s="10"/>
      <c r="AE232" s="16"/>
      <c r="AG232" s="17"/>
    </row>
    <row r="233" spans="1:33" s="99" customFormat="1">
      <c r="A233" s="95">
        <f>A231+1</f>
        <v>201</v>
      </c>
      <c r="B233" s="96" t="s">
        <v>34</v>
      </c>
      <c r="C233" s="95" t="s">
        <v>761</v>
      </c>
      <c r="D233" s="95" t="s">
        <v>782</v>
      </c>
      <c r="E233" s="95"/>
      <c r="F233" s="95" t="s">
        <v>37</v>
      </c>
      <c r="G233" s="97" t="s">
        <v>783</v>
      </c>
      <c r="H233" s="95" t="s">
        <v>39</v>
      </c>
      <c r="I233" s="95" t="s">
        <v>50</v>
      </c>
      <c r="J233" s="95"/>
      <c r="K233" s="95" t="s">
        <v>42</v>
      </c>
      <c r="L233" s="95">
        <v>400</v>
      </c>
      <c r="M233" s="95"/>
      <c r="N233" s="95" t="s">
        <v>93</v>
      </c>
      <c r="O233" s="95">
        <v>2404001008</v>
      </c>
      <c r="P233" s="95">
        <v>2024</v>
      </c>
      <c r="Q233" s="95">
        <v>1</v>
      </c>
      <c r="R233" s="95">
        <v>8</v>
      </c>
      <c r="S233" s="95" t="s">
        <v>784</v>
      </c>
      <c r="T233" s="95" t="s">
        <v>46</v>
      </c>
      <c r="U233" s="95">
        <v>2</v>
      </c>
      <c r="V233" s="95">
        <v>1</v>
      </c>
      <c r="W233" s="95">
        <v>0</v>
      </c>
      <c r="X233" s="95">
        <v>0</v>
      </c>
      <c r="Y233" s="95"/>
      <c r="Z233" s="95">
        <v>0</v>
      </c>
      <c r="AA233" s="95"/>
      <c r="AB233" s="95"/>
      <c r="AC233" s="95">
        <f t="shared" si="18"/>
        <v>3</v>
      </c>
      <c r="AD233" s="95"/>
      <c r="AE233" s="98"/>
      <c r="AG233" s="100"/>
    </row>
    <row r="234" spans="1:33" s="14" customFormat="1">
      <c r="A234" s="10">
        <f t="shared" si="19"/>
        <v>202</v>
      </c>
      <c r="B234" s="11" t="s">
        <v>34</v>
      </c>
      <c r="C234" s="10" t="s">
        <v>761</v>
      </c>
      <c r="D234" s="10" t="s">
        <v>785</v>
      </c>
      <c r="E234" s="10"/>
      <c r="F234" s="10" t="s">
        <v>37</v>
      </c>
      <c r="G234" s="12" t="s">
        <v>786</v>
      </c>
      <c r="H234" s="10" t="s">
        <v>741</v>
      </c>
      <c r="I234" s="10" t="s">
        <v>741</v>
      </c>
      <c r="J234" s="13" t="s">
        <v>787</v>
      </c>
      <c r="K234" s="10" t="s">
        <v>42</v>
      </c>
      <c r="L234" s="10">
        <v>100</v>
      </c>
      <c r="M234" s="10"/>
      <c r="N234" s="10" t="s">
        <v>59</v>
      </c>
      <c r="O234" s="10" t="s">
        <v>788</v>
      </c>
      <c r="P234" s="10" t="s">
        <v>789</v>
      </c>
      <c r="Q234" s="10">
        <v>1</v>
      </c>
      <c r="R234" s="10">
        <v>2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/>
      <c r="Z234" s="10">
        <v>0</v>
      </c>
      <c r="AA234" s="10"/>
      <c r="AB234" s="10"/>
      <c r="AC234" s="10">
        <f t="shared" si="18"/>
        <v>0</v>
      </c>
      <c r="AD234" s="10">
        <v>2</v>
      </c>
      <c r="AE234" s="16"/>
      <c r="AG234" s="17"/>
    </row>
    <row r="235" spans="1:33" s="14" customFormat="1">
      <c r="A235" s="10">
        <f t="shared" si="19"/>
        <v>203</v>
      </c>
      <c r="B235" s="11" t="s">
        <v>34</v>
      </c>
      <c r="C235" s="10" t="s">
        <v>761</v>
      </c>
      <c r="D235" s="10" t="s">
        <v>790</v>
      </c>
      <c r="E235" s="10"/>
      <c r="F235" s="10" t="s">
        <v>37</v>
      </c>
      <c r="G235" s="12" t="s">
        <v>791</v>
      </c>
      <c r="H235" s="10" t="s">
        <v>246</v>
      </c>
      <c r="I235" s="10" t="s">
        <v>246</v>
      </c>
      <c r="J235" s="10"/>
      <c r="K235" s="10" t="s">
        <v>42</v>
      </c>
      <c r="L235" s="10">
        <v>100</v>
      </c>
      <c r="M235" s="10"/>
      <c r="N235" s="10" t="s">
        <v>324</v>
      </c>
      <c r="O235" s="10" t="s">
        <v>792</v>
      </c>
      <c r="P235" s="10">
        <v>2022</v>
      </c>
      <c r="Q235" s="10">
        <v>1</v>
      </c>
      <c r="R235" s="10">
        <v>2</v>
      </c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6"/>
      <c r="AG235" s="17"/>
    </row>
    <row r="236" spans="1:33" s="14" customFormat="1">
      <c r="A236" s="10">
        <f>A234+1</f>
        <v>203</v>
      </c>
      <c r="B236" s="11" t="s">
        <v>34</v>
      </c>
      <c r="C236" s="10" t="s">
        <v>761</v>
      </c>
      <c r="D236" s="10" t="s">
        <v>793</v>
      </c>
      <c r="E236" s="10"/>
      <c r="F236" s="10" t="s">
        <v>37</v>
      </c>
      <c r="G236" s="12" t="s">
        <v>794</v>
      </c>
      <c r="H236" s="10" t="s">
        <v>246</v>
      </c>
      <c r="I236" s="10" t="s">
        <v>246</v>
      </c>
      <c r="J236" s="10"/>
      <c r="K236" s="10" t="s">
        <v>42</v>
      </c>
      <c r="L236" s="10">
        <v>250</v>
      </c>
      <c r="M236" s="10"/>
      <c r="N236" s="10" t="s">
        <v>641</v>
      </c>
      <c r="O236" s="15" t="s">
        <v>795</v>
      </c>
      <c r="P236" s="10">
        <v>2024</v>
      </c>
      <c r="Q236" s="10">
        <v>1</v>
      </c>
      <c r="R236" s="10">
        <v>2</v>
      </c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6"/>
      <c r="AG236" s="17"/>
    </row>
    <row r="237" spans="1:33" s="99" customFormat="1">
      <c r="A237" s="95">
        <f>A235+1</f>
        <v>204</v>
      </c>
      <c r="B237" s="96" t="s">
        <v>34</v>
      </c>
      <c r="C237" s="95" t="s">
        <v>761</v>
      </c>
      <c r="D237" s="95" t="s">
        <v>796</v>
      </c>
      <c r="E237" s="95"/>
      <c r="F237" s="95" t="s">
        <v>37</v>
      </c>
      <c r="G237" s="97" t="s">
        <v>794</v>
      </c>
      <c r="H237" s="95" t="s">
        <v>246</v>
      </c>
      <c r="I237" s="95" t="s">
        <v>246</v>
      </c>
      <c r="J237" s="95"/>
      <c r="K237" s="95" t="s">
        <v>42</v>
      </c>
      <c r="L237" s="95">
        <v>250</v>
      </c>
      <c r="M237" s="95"/>
      <c r="N237" s="95" t="s">
        <v>797</v>
      </c>
      <c r="O237" s="117" t="s">
        <v>798</v>
      </c>
      <c r="P237" s="95">
        <v>2025</v>
      </c>
      <c r="Q237" s="95">
        <v>1</v>
      </c>
      <c r="R237" s="95">
        <v>2</v>
      </c>
      <c r="S237" s="95"/>
      <c r="T237" s="95"/>
      <c r="U237" s="95"/>
      <c r="V237" s="95"/>
      <c r="W237" s="95"/>
      <c r="X237" s="95"/>
      <c r="Y237" s="95"/>
      <c r="Z237" s="95"/>
      <c r="AA237" s="95"/>
      <c r="AB237" s="95"/>
      <c r="AC237" s="95"/>
      <c r="AD237" s="95"/>
      <c r="AE237" s="98"/>
      <c r="AG237" s="100"/>
    </row>
    <row r="238" spans="1:33" s="14" customFormat="1">
      <c r="A238" s="10">
        <f t="shared" si="19"/>
        <v>205</v>
      </c>
      <c r="B238" s="11" t="s">
        <v>34</v>
      </c>
      <c r="C238" s="10" t="s">
        <v>761</v>
      </c>
      <c r="D238" s="10" t="s">
        <v>799</v>
      </c>
      <c r="E238" s="10"/>
      <c r="F238" s="10" t="s">
        <v>37</v>
      </c>
      <c r="G238" s="12" t="s">
        <v>800</v>
      </c>
      <c r="H238" s="10" t="s">
        <v>246</v>
      </c>
      <c r="I238" s="10" t="s">
        <v>246</v>
      </c>
      <c r="J238" s="13" t="s">
        <v>801</v>
      </c>
      <c r="K238" s="10" t="s">
        <v>42</v>
      </c>
      <c r="L238" s="10">
        <v>200</v>
      </c>
      <c r="M238" s="10"/>
      <c r="N238" s="10" t="s">
        <v>43</v>
      </c>
      <c r="O238" s="10">
        <v>811118</v>
      </c>
      <c r="P238" s="10">
        <v>1984</v>
      </c>
      <c r="Q238" s="10">
        <v>1</v>
      </c>
      <c r="R238" s="10">
        <v>2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/>
      <c r="Z238" s="10">
        <v>0</v>
      </c>
      <c r="AA238" s="10"/>
      <c r="AB238" s="10"/>
      <c r="AC238" s="10">
        <f t="shared" si="18"/>
        <v>0</v>
      </c>
      <c r="AD238" s="10"/>
      <c r="AE238" s="16" t="s">
        <v>802</v>
      </c>
      <c r="AG238" s="17"/>
    </row>
    <row r="239" spans="1:33" s="14" customFormat="1">
      <c r="A239" s="10">
        <f t="shared" si="19"/>
        <v>206</v>
      </c>
      <c r="B239" s="11" t="s">
        <v>34</v>
      </c>
      <c r="C239" s="10" t="s">
        <v>761</v>
      </c>
      <c r="D239" s="10" t="s">
        <v>803</v>
      </c>
      <c r="E239" s="10"/>
      <c r="F239" s="10" t="s">
        <v>37</v>
      </c>
      <c r="G239" s="12" t="s">
        <v>804</v>
      </c>
      <c r="H239" s="10" t="s">
        <v>741</v>
      </c>
      <c r="I239" s="10" t="s">
        <v>741</v>
      </c>
      <c r="J239" s="13" t="s">
        <v>805</v>
      </c>
      <c r="K239" s="10" t="s">
        <v>42</v>
      </c>
      <c r="L239" s="10">
        <v>50</v>
      </c>
      <c r="M239" s="10"/>
      <c r="N239" s="10" t="s">
        <v>806</v>
      </c>
      <c r="O239" s="10" t="s">
        <v>807</v>
      </c>
      <c r="P239" s="10">
        <v>1984</v>
      </c>
      <c r="Q239" s="10">
        <v>1</v>
      </c>
      <c r="R239" s="10">
        <v>1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/>
      <c r="Z239" s="10">
        <v>0</v>
      </c>
      <c r="AA239" s="10"/>
      <c r="AB239" s="10"/>
      <c r="AC239" s="10">
        <f t="shared" si="18"/>
        <v>0</v>
      </c>
      <c r="AD239" s="10"/>
      <c r="AE239" s="16"/>
      <c r="AG239" s="17"/>
    </row>
    <row r="240" spans="1:33" s="14" customFormat="1">
      <c r="A240" s="10">
        <f t="shared" si="19"/>
        <v>207</v>
      </c>
      <c r="B240" s="11" t="s">
        <v>34</v>
      </c>
      <c r="C240" s="10" t="s">
        <v>761</v>
      </c>
      <c r="D240" s="10" t="s">
        <v>808</v>
      </c>
      <c r="E240" s="10"/>
      <c r="F240" s="10" t="s">
        <v>37</v>
      </c>
      <c r="G240" s="12" t="s">
        <v>804</v>
      </c>
      <c r="H240" s="10" t="s">
        <v>741</v>
      </c>
      <c r="I240" s="10" t="s">
        <v>741</v>
      </c>
      <c r="J240" s="13" t="s">
        <v>809</v>
      </c>
      <c r="K240" s="10" t="s">
        <v>42</v>
      </c>
      <c r="L240" s="10">
        <v>100</v>
      </c>
      <c r="M240" s="10"/>
      <c r="N240" s="10" t="s">
        <v>757</v>
      </c>
      <c r="O240" s="10" t="s">
        <v>810</v>
      </c>
      <c r="P240" s="10" t="s">
        <v>444</v>
      </c>
      <c r="Q240" s="10">
        <v>1</v>
      </c>
      <c r="R240" s="10">
        <v>1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/>
      <c r="Z240" s="10">
        <v>0</v>
      </c>
      <c r="AA240" s="10"/>
      <c r="AB240" s="10"/>
      <c r="AC240" s="10">
        <f t="shared" si="18"/>
        <v>0</v>
      </c>
      <c r="AD240" s="10"/>
      <c r="AE240" s="16"/>
      <c r="AG240" s="17"/>
    </row>
    <row r="241" spans="1:33" s="14" customFormat="1">
      <c r="A241" s="10">
        <f t="shared" si="19"/>
        <v>208</v>
      </c>
      <c r="B241" s="11" t="s">
        <v>34</v>
      </c>
      <c r="C241" s="10" t="s">
        <v>761</v>
      </c>
      <c r="D241" s="10" t="s">
        <v>811</v>
      </c>
      <c r="E241" s="10"/>
      <c r="F241" s="10" t="s">
        <v>37</v>
      </c>
      <c r="G241" s="12" t="s">
        <v>812</v>
      </c>
      <c r="H241" s="10" t="s">
        <v>741</v>
      </c>
      <c r="I241" s="10" t="s">
        <v>741</v>
      </c>
      <c r="J241" s="13" t="s">
        <v>813</v>
      </c>
      <c r="K241" s="10" t="s">
        <v>42</v>
      </c>
      <c r="L241" s="10">
        <v>100</v>
      </c>
      <c r="M241" s="10"/>
      <c r="N241" s="10" t="s">
        <v>424</v>
      </c>
      <c r="O241" s="10" t="s">
        <v>814</v>
      </c>
      <c r="P241" s="10">
        <v>2013</v>
      </c>
      <c r="Q241" s="10">
        <v>1</v>
      </c>
      <c r="R241" s="10">
        <f>IF(H241="CANTOL",2,4)</f>
        <v>2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/>
      <c r="Z241" s="10">
        <v>0</v>
      </c>
      <c r="AA241" s="10"/>
      <c r="AB241" s="10"/>
      <c r="AC241" s="10">
        <f t="shared" si="18"/>
        <v>0</v>
      </c>
      <c r="AD241" s="10"/>
      <c r="AE241" s="16"/>
      <c r="AG241" s="17"/>
    </row>
    <row r="242" spans="1:33" s="14" customFormat="1">
      <c r="A242" s="10">
        <f t="shared" si="19"/>
        <v>209</v>
      </c>
      <c r="B242" s="11" t="s">
        <v>34</v>
      </c>
      <c r="C242" s="10" t="s">
        <v>761</v>
      </c>
      <c r="D242" s="10" t="s">
        <v>815</v>
      </c>
      <c r="E242" s="10"/>
      <c r="F242" s="10" t="s">
        <v>37</v>
      </c>
      <c r="G242" s="12" t="s">
        <v>816</v>
      </c>
      <c r="H242" s="10" t="s">
        <v>741</v>
      </c>
      <c r="I242" s="10" t="s">
        <v>741</v>
      </c>
      <c r="J242" s="13" t="s">
        <v>817</v>
      </c>
      <c r="K242" s="10" t="s">
        <v>42</v>
      </c>
      <c r="L242" s="10">
        <v>160</v>
      </c>
      <c r="M242" s="10"/>
      <c r="N242" s="10" t="s">
        <v>673</v>
      </c>
      <c r="O242" s="15" t="s">
        <v>818</v>
      </c>
      <c r="P242" s="10">
        <v>2007</v>
      </c>
      <c r="Q242" s="10">
        <v>1</v>
      </c>
      <c r="R242" s="10">
        <v>2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/>
      <c r="Z242" s="10">
        <v>0</v>
      </c>
      <c r="AA242" s="10"/>
      <c r="AB242" s="10"/>
      <c r="AC242" s="10">
        <f t="shared" si="18"/>
        <v>0</v>
      </c>
      <c r="AD242" s="10"/>
      <c r="AE242" s="16"/>
      <c r="AG242" s="17"/>
    </row>
    <row r="243" spans="1:33" s="14" customFormat="1">
      <c r="A243" s="10">
        <f t="shared" si="19"/>
        <v>210</v>
      </c>
      <c r="B243" s="11" t="s">
        <v>34</v>
      </c>
      <c r="C243" s="10" t="s">
        <v>761</v>
      </c>
      <c r="D243" s="10" t="s">
        <v>819</v>
      </c>
      <c r="E243" s="10"/>
      <c r="F243" s="10" t="s">
        <v>37</v>
      </c>
      <c r="G243" s="12" t="s">
        <v>820</v>
      </c>
      <c r="H243" s="10" t="s">
        <v>39</v>
      </c>
      <c r="I243" s="10" t="s">
        <v>50</v>
      </c>
      <c r="J243" s="13" t="s">
        <v>821</v>
      </c>
      <c r="K243" s="10" t="s">
        <v>42</v>
      </c>
      <c r="L243" s="10">
        <v>400</v>
      </c>
      <c r="M243" s="10"/>
      <c r="N243" s="10" t="s">
        <v>424</v>
      </c>
      <c r="O243" s="10">
        <v>980662</v>
      </c>
      <c r="P243" s="10">
        <v>1998</v>
      </c>
      <c r="Q243" s="10"/>
      <c r="R243" s="10">
        <v>4</v>
      </c>
      <c r="S243" s="10" t="s">
        <v>45</v>
      </c>
      <c r="T243" s="10" t="s">
        <v>89</v>
      </c>
      <c r="U243" s="10">
        <v>1</v>
      </c>
      <c r="V243" s="10">
        <v>1</v>
      </c>
      <c r="W243" s="10">
        <v>0</v>
      </c>
      <c r="X243" s="10">
        <v>0</v>
      </c>
      <c r="Y243" s="10"/>
      <c r="Z243" s="10">
        <v>0</v>
      </c>
      <c r="AA243" s="10"/>
      <c r="AB243" s="10"/>
      <c r="AC243" s="10">
        <f t="shared" si="18"/>
        <v>2</v>
      </c>
      <c r="AD243" s="10"/>
      <c r="AE243" s="16"/>
      <c r="AG243" s="17"/>
    </row>
    <row r="244" spans="1:33" s="123" customFormat="1">
      <c r="A244" s="118">
        <f t="shared" si="19"/>
        <v>211</v>
      </c>
      <c r="B244" s="119" t="s">
        <v>34</v>
      </c>
      <c r="C244" s="118" t="s">
        <v>761</v>
      </c>
      <c r="D244" s="118" t="s">
        <v>822</v>
      </c>
      <c r="E244" s="118"/>
      <c r="F244" s="118" t="s">
        <v>63</v>
      </c>
      <c r="G244" s="120" t="s">
        <v>823</v>
      </c>
      <c r="H244" s="118" t="s">
        <v>39</v>
      </c>
      <c r="I244" s="118" t="s">
        <v>40</v>
      </c>
      <c r="J244" s="121" t="s">
        <v>824</v>
      </c>
      <c r="K244" s="118" t="s">
        <v>42</v>
      </c>
      <c r="L244" s="118"/>
      <c r="M244" s="118"/>
      <c r="N244" s="118"/>
      <c r="O244" s="118"/>
      <c r="P244" s="118"/>
      <c r="Q244" s="118"/>
      <c r="R244" s="118"/>
      <c r="S244" s="118" t="s">
        <v>43</v>
      </c>
      <c r="T244" s="118" t="s">
        <v>825</v>
      </c>
      <c r="U244" s="118">
        <v>1</v>
      </c>
      <c r="V244" s="118">
        <v>0</v>
      </c>
      <c r="W244" s="118">
        <v>1</v>
      </c>
      <c r="X244" s="118">
        <v>0</v>
      </c>
      <c r="Y244" s="118"/>
      <c r="Z244" s="118">
        <v>0</v>
      </c>
      <c r="AA244" s="118"/>
      <c r="AB244" s="118"/>
      <c r="AC244" s="118">
        <f t="shared" si="18"/>
        <v>2</v>
      </c>
      <c r="AD244" s="118"/>
      <c r="AE244" s="122"/>
      <c r="AG244" s="124"/>
    </row>
    <row r="245" spans="1:33" s="14" customFormat="1">
      <c r="A245" s="10">
        <f t="shared" si="19"/>
        <v>212</v>
      </c>
      <c r="B245" s="11" t="s">
        <v>34</v>
      </c>
      <c r="C245" s="10" t="s">
        <v>761</v>
      </c>
      <c r="D245" s="10" t="s">
        <v>826</v>
      </c>
      <c r="E245" s="10"/>
      <c r="F245" s="10" t="s">
        <v>37</v>
      </c>
      <c r="G245" s="12" t="s">
        <v>800</v>
      </c>
      <c r="H245" s="10" t="s">
        <v>246</v>
      </c>
      <c r="I245" s="10" t="s">
        <v>246</v>
      </c>
      <c r="J245" s="13" t="s">
        <v>827</v>
      </c>
      <c r="K245" s="10" t="s">
        <v>42</v>
      </c>
      <c r="L245" s="10">
        <v>250</v>
      </c>
      <c r="M245" s="10"/>
      <c r="N245" s="10" t="s">
        <v>424</v>
      </c>
      <c r="O245" s="10" t="s">
        <v>828</v>
      </c>
      <c r="P245" s="10" t="s">
        <v>737</v>
      </c>
      <c r="Q245" s="10">
        <v>1</v>
      </c>
      <c r="R245" s="10">
        <v>3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/>
      <c r="Z245" s="10">
        <v>0</v>
      </c>
      <c r="AA245" s="10"/>
      <c r="AB245" s="10"/>
      <c r="AC245" s="10">
        <f t="shared" si="18"/>
        <v>0</v>
      </c>
      <c r="AD245" s="10"/>
      <c r="AE245" s="16" t="s">
        <v>829</v>
      </c>
      <c r="AG245" s="17"/>
    </row>
    <row r="246" spans="1:33" s="14" customFormat="1">
      <c r="A246" s="10">
        <f t="shared" si="19"/>
        <v>213</v>
      </c>
      <c r="B246" s="11" t="s">
        <v>34</v>
      </c>
      <c r="C246" s="10" t="s">
        <v>761</v>
      </c>
      <c r="D246" s="10" t="s">
        <v>830</v>
      </c>
      <c r="E246" s="10"/>
      <c r="F246" s="10" t="s">
        <v>37</v>
      </c>
      <c r="G246" s="12" t="s">
        <v>831</v>
      </c>
      <c r="H246" s="10" t="s">
        <v>741</v>
      </c>
      <c r="I246" s="10" t="s">
        <v>741</v>
      </c>
      <c r="J246" s="10"/>
      <c r="K246" s="10" t="s">
        <v>42</v>
      </c>
      <c r="L246" s="10">
        <v>100</v>
      </c>
      <c r="M246" s="10"/>
      <c r="N246" s="10" t="s">
        <v>59</v>
      </c>
      <c r="O246" s="10" t="s">
        <v>832</v>
      </c>
      <c r="P246" s="10" t="s">
        <v>95</v>
      </c>
      <c r="Q246" s="10">
        <v>1</v>
      </c>
      <c r="R246" s="10" t="s">
        <v>482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/>
      <c r="Z246" s="10">
        <v>0</v>
      </c>
      <c r="AA246" s="10"/>
      <c r="AB246" s="10"/>
      <c r="AC246" s="10">
        <f t="shared" si="18"/>
        <v>0</v>
      </c>
      <c r="AD246" s="10"/>
      <c r="AE246" s="16"/>
      <c r="AG246" s="17"/>
    </row>
    <row r="247" spans="1:33" s="14" customFormat="1">
      <c r="A247" s="10">
        <f t="shared" si="19"/>
        <v>214</v>
      </c>
      <c r="B247" s="11" t="s">
        <v>34</v>
      </c>
      <c r="C247" s="10" t="s">
        <v>761</v>
      </c>
      <c r="D247" s="10" t="s">
        <v>833</v>
      </c>
      <c r="E247" s="10"/>
      <c r="F247" s="10" t="s">
        <v>37</v>
      </c>
      <c r="G247" s="12" t="s">
        <v>834</v>
      </c>
      <c r="H247" s="10" t="s">
        <v>246</v>
      </c>
      <c r="I247" s="10" t="s">
        <v>246</v>
      </c>
      <c r="J247" s="10">
        <v>1180</v>
      </c>
      <c r="K247" s="10" t="s">
        <v>42</v>
      </c>
      <c r="L247" s="10">
        <v>250</v>
      </c>
      <c r="M247" s="10"/>
      <c r="N247" s="10"/>
      <c r="O247" s="10"/>
      <c r="P247" s="10"/>
      <c r="Q247" s="10">
        <v>1</v>
      </c>
      <c r="R247" s="10">
        <f>IF(H247="CANTOL",2,4)</f>
        <v>4</v>
      </c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>
        <f t="shared" si="18"/>
        <v>0</v>
      </c>
      <c r="AD247" s="10"/>
      <c r="AE247" s="16"/>
      <c r="AG247" s="17"/>
    </row>
    <row r="248" spans="1:33" s="14" customFormat="1">
      <c r="A248" s="10">
        <f t="shared" si="19"/>
        <v>215</v>
      </c>
      <c r="B248" s="11" t="s">
        <v>34</v>
      </c>
      <c r="C248" s="10" t="s">
        <v>761</v>
      </c>
      <c r="D248" s="10" t="s">
        <v>835</v>
      </c>
      <c r="E248" s="10"/>
      <c r="F248" s="10" t="s">
        <v>37</v>
      </c>
      <c r="G248" s="12" t="s">
        <v>834</v>
      </c>
      <c r="H248" s="10" t="s">
        <v>246</v>
      </c>
      <c r="I248" s="10" t="s">
        <v>246</v>
      </c>
      <c r="J248" s="13" t="s">
        <v>836</v>
      </c>
      <c r="K248" s="10" t="s">
        <v>42</v>
      </c>
      <c r="L248" s="10" t="s">
        <v>837</v>
      </c>
      <c r="M248" s="10"/>
      <c r="N248" s="10" t="s">
        <v>93</v>
      </c>
      <c r="O248" s="10" t="s">
        <v>838</v>
      </c>
      <c r="P248" s="10" t="s">
        <v>255</v>
      </c>
      <c r="Q248" s="10" t="s">
        <v>96</v>
      </c>
      <c r="R248" s="10" t="s">
        <v>84</v>
      </c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6" t="s">
        <v>839</v>
      </c>
      <c r="AG248" s="17" t="s">
        <v>839</v>
      </c>
    </row>
    <row r="249" spans="1:33" s="14" customFormat="1" ht="16">
      <c r="A249" s="10">
        <f>A246+1</f>
        <v>214</v>
      </c>
      <c r="B249" s="11" t="s">
        <v>34</v>
      </c>
      <c r="C249" s="10" t="s">
        <v>761</v>
      </c>
      <c r="D249" s="10" t="s">
        <v>840</v>
      </c>
      <c r="E249" s="10"/>
      <c r="F249" s="10" t="s">
        <v>37</v>
      </c>
      <c r="G249" s="12" t="s">
        <v>841</v>
      </c>
      <c r="H249" s="10" t="s">
        <v>246</v>
      </c>
      <c r="I249" s="10" t="s">
        <v>246</v>
      </c>
      <c r="J249" s="13" t="s">
        <v>842</v>
      </c>
      <c r="K249" s="10" t="s">
        <v>42</v>
      </c>
      <c r="L249" s="10">
        <v>250</v>
      </c>
      <c r="M249" s="10"/>
      <c r="N249" s="110" t="s">
        <v>424</v>
      </c>
      <c r="O249" s="110" t="s">
        <v>843</v>
      </c>
      <c r="P249" s="10" t="s">
        <v>737</v>
      </c>
      <c r="Q249" s="10">
        <v>1</v>
      </c>
      <c r="R249" s="10">
        <v>3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/>
      <c r="Z249" s="10">
        <v>0</v>
      </c>
      <c r="AA249" s="10"/>
      <c r="AB249" s="10"/>
      <c r="AC249" s="10">
        <f t="shared" ref="AC249" si="22">SUM(U249:AB249)</f>
        <v>0</v>
      </c>
      <c r="AD249" s="10"/>
      <c r="AE249" s="16" t="s">
        <v>760</v>
      </c>
      <c r="AG249" s="17" t="s">
        <v>760</v>
      </c>
    </row>
    <row r="250" spans="1:33" s="14" customFormat="1" ht="16">
      <c r="A250" s="10">
        <f>A247+1</f>
        <v>215</v>
      </c>
      <c r="B250" s="11" t="s">
        <v>34</v>
      </c>
      <c r="C250" s="10" t="s">
        <v>761</v>
      </c>
      <c r="D250" s="10" t="s">
        <v>844</v>
      </c>
      <c r="E250" s="10"/>
      <c r="F250" s="10" t="s">
        <v>37</v>
      </c>
      <c r="G250" s="12" t="s">
        <v>845</v>
      </c>
      <c r="H250" s="10" t="s">
        <v>246</v>
      </c>
      <c r="I250" s="10" t="s">
        <v>246</v>
      </c>
      <c r="J250" s="13" t="s">
        <v>846</v>
      </c>
      <c r="K250" s="10" t="s">
        <v>42</v>
      </c>
      <c r="L250" s="10">
        <v>160</v>
      </c>
      <c r="M250" s="10"/>
      <c r="N250" s="110" t="s">
        <v>93</v>
      </c>
      <c r="O250" s="110">
        <v>2401601002</v>
      </c>
      <c r="P250" s="10">
        <v>2024</v>
      </c>
      <c r="Q250" s="10">
        <v>1</v>
      </c>
      <c r="R250" s="10">
        <v>3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/>
      <c r="Z250" s="10">
        <v>0</v>
      </c>
      <c r="AA250" s="10"/>
      <c r="AB250" s="10"/>
      <c r="AC250" s="10">
        <f t="shared" ref="AC250:AC311" si="23">SUM(U250:AB250)</f>
        <v>0</v>
      </c>
      <c r="AD250" s="10"/>
      <c r="AE250" s="16" t="s">
        <v>760</v>
      </c>
      <c r="AG250" s="17" t="s">
        <v>760</v>
      </c>
    </row>
    <row r="251" spans="1:33" s="14" customFormat="1" ht="16">
      <c r="A251" s="10">
        <f>A248+1</f>
        <v>216</v>
      </c>
      <c r="B251" s="11" t="s">
        <v>34</v>
      </c>
      <c r="C251" s="10" t="s">
        <v>761</v>
      </c>
      <c r="D251" s="10" t="s">
        <v>840</v>
      </c>
      <c r="E251" s="10"/>
      <c r="F251" s="10" t="s">
        <v>37</v>
      </c>
      <c r="G251" s="12" t="s">
        <v>841</v>
      </c>
      <c r="H251" s="10" t="s">
        <v>246</v>
      </c>
      <c r="I251" s="10" t="s">
        <v>246</v>
      </c>
      <c r="J251" s="13" t="s">
        <v>842</v>
      </c>
      <c r="K251" s="10" t="s">
        <v>42</v>
      </c>
      <c r="L251" s="10">
        <v>250</v>
      </c>
      <c r="M251" s="10"/>
      <c r="N251" s="110" t="s">
        <v>424</v>
      </c>
      <c r="O251" s="110" t="s">
        <v>843</v>
      </c>
      <c r="P251" s="10" t="s">
        <v>737</v>
      </c>
      <c r="Q251" s="10">
        <v>1</v>
      </c>
      <c r="R251" s="10">
        <v>3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/>
      <c r="Z251" s="10">
        <v>0</v>
      </c>
      <c r="AA251" s="10"/>
      <c r="AB251" s="10"/>
      <c r="AC251" s="10">
        <f t="shared" si="23"/>
        <v>0</v>
      </c>
      <c r="AD251" s="10"/>
      <c r="AE251" s="16" t="s">
        <v>760</v>
      </c>
      <c r="AG251" s="17" t="s">
        <v>760</v>
      </c>
    </row>
    <row r="252" spans="1:33" s="14" customFormat="1">
      <c r="A252" s="10">
        <f t="shared" si="19"/>
        <v>217</v>
      </c>
      <c r="B252" s="11" t="s">
        <v>34</v>
      </c>
      <c r="C252" s="10" t="s">
        <v>761</v>
      </c>
      <c r="D252" s="10" t="s">
        <v>847</v>
      </c>
      <c r="E252" s="10"/>
      <c r="F252" s="10" t="s">
        <v>37</v>
      </c>
      <c r="G252" s="12" t="s">
        <v>841</v>
      </c>
      <c r="H252" s="10" t="s">
        <v>246</v>
      </c>
      <c r="I252" s="10" t="s">
        <v>246</v>
      </c>
      <c r="J252" s="16">
        <v>1043</v>
      </c>
      <c r="K252" s="10" t="s">
        <v>42</v>
      </c>
      <c r="L252" s="10">
        <v>250</v>
      </c>
      <c r="M252" s="10"/>
      <c r="N252" s="10" t="s">
        <v>424</v>
      </c>
      <c r="O252" s="10" t="s">
        <v>848</v>
      </c>
      <c r="P252" s="10">
        <v>2012</v>
      </c>
      <c r="Q252" s="10">
        <v>1</v>
      </c>
      <c r="R252" s="10">
        <f t="shared" ref="R252:R253" si="24">IF(H252="CANTOL",2,4)</f>
        <v>4</v>
      </c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>
        <f t="shared" si="23"/>
        <v>0</v>
      </c>
      <c r="AD252" s="10"/>
      <c r="AE252" s="16"/>
      <c r="AG252" s="17"/>
    </row>
    <row r="253" spans="1:33" s="14" customFormat="1">
      <c r="A253" s="10">
        <f t="shared" si="19"/>
        <v>218</v>
      </c>
      <c r="B253" s="11" t="s">
        <v>34</v>
      </c>
      <c r="C253" s="10" t="s">
        <v>761</v>
      </c>
      <c r="D253" s="10" t="s">
        <v>849</v>
      </c>
      <c r="E253" s="10"/>
      <c r="F253" s="10" t="s">
        <v>37</v>
      </c>
      <c r="G253" s="12" t="s">
        <v>850</v>
      </c>
      <c r="H253" s="10" t="s">
        <v>246</v>
      </c>
      <c r="I253" s="10" t="s">
        <v>246</v>
      </c>
      <c r="J253" s="13" t="s">
        <v>851</v>
      </c>
      <c r="K253" s="10" t="s">
        <v>42</v>
      </c>
      <c r="L253" s="10">
        <v>200</v>
      </c>
      <c r="M253" s="10"/>
      <c r="N253" s="10" t="s">
        <v>43</v>
      </c>
      <c r="O253" s="10">
        <v>17613</v>
      </c>
      <c r="P253" s="10">
        <v>1982</v>
      </c>
      <c r="Q253" s="10">
        <v>1</v>
      </c>
      <c r="R253" s="10">
        <f t="shared" si="24"/>
        <v>4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/>
      <c r="Z253" s="10">
        <v>0</v>
      </c>
      <c r="AA253" s="10"/>
      <c r="AB253" s="10"/>
      <c r="AC253" s="10">
        <f t="shared" si="23"/>
        <v>0</v>
      </c>
      <c r="AD253" s="10"/>
      <c r="AE253" s="16"/>
      <c r="AG253" s="17"/>
    </row>
    <row r="254" spans="1:33" s="14" customFormat="1">
      <c r="A254" s="10">
        <f t="shared" si="19"/>
        <v>219</v>
      </c>
      <c r="B254" s="11" t="s">
        <v>34</v>
      </c>
      <c r="C254" s="10" t="s">
        <v>761</v>
      </c>
      <c r="D254" s="10" t="s">
        <v>852</v>
      </c>
      <c r="E254" s="10"/>
      <c r="F254" s="10" t="s">
        <v>37</v>
      </c>
      <c r="G254" s="12" t="s">
        <v>853</v>
      </c>
      <c r="H254" s="10" t="s">
        <v>39</v>
      </c>
      <c r="I254" s="10" t="s">
        <v>50</v>
      </c>
      <c r="J254" s="13" t="s">
        <v>854</v>
      </c>
      <c r="K254" s="10" t="s">
        <v>42</v>
      </c>
      <c r="L254" s="10">
        <v>400</v>
      </c>
      <c r="M254" s="10"/>
      <c r="N254" s="10" t="s">
        <v>43</v>
      </c>
      <c r="O254" s="10">
        <v>32532</v>
      </c>
      <c r="P254" s="10">
        <v>1986</v>
      </c>
      <c r="Q254" s="10" t="s">
        <v>96</v>
      </c>
      <c r="R254" s="10">
        <v>4</v>
      </c>
      <c r="S254" s="10" t="s">
        <v>263</v>
      </c>
      <c r="T254" s="10">
        <v>0</v>
      </c>
      <c r="U254" s="10">
        <v>1</v>
      </c>
      <c r="V254" s="10">
        <v>1</v>
      </c>
      <c r="W254" s="10">
        <v>0</v>
      </c>
      <c r="X254" s="10">
        <v>0</v>
      </c>
      <c r="Y254" s="10"/>
      <c r="Z254" s="10">
        <v>0</v>
      </c>
      <c r="AA254" s="10"/>
      <c r="AB254" s="10"/>
      <c r="AC254" s="10">
        <f t="shared" si="23"/>
        <v>2</v>
      </c>
      <c r="AD254" s="10"/>
      <c r="AE254" s="16"/>
      <c r="AG254" s="17"/>
    </row>
    <row r="255" spans="1:33" s="14" customFormat="1">
      <c r="A255" s="10">
        <f t="shared" si="19"/>
        <v>220</v>
      </c>
      <c r="B255" s="11" t="s">
        <v>34</v>
      </c>
      <c r="C255" s="10" t="s">
        <v>761</v>
      </c>
      <c r="D255" s="10" t="s">
        <v>855</v>
      </c>
      <c r="E255" s="10"/>
      <c r="F255" s="10" t="s">
        <v>37</v>
      </c>
      <c r="G255" s="12" t="s">
        <v>856</v>
      </c>
      <c r="H255" s="10" t="s">
        <v>246</v>
      </c>
      <c r="I255" s="10" t="s">
        <v>246</v>
      </c>
      <c r="J255" s="13" t="s">
        <v>857</v>
      </c>
      <c r="K255" s="10" t="s">
        <v>42</v>
      </c>
      <c r="L255" s="10">
        <v>250</v>
      </c>
      <c r="M255" s="10"/>
      <c r="N255" s="10" t="s">
        <v>59</v>
      </c>
      <c r="O255" s="10">
        <v>8131907</v>
      </c>
      <c r="P255" s="10"/>
      <c r="Q255" s="10">
        <v>1</v>
      </c>
      <c r="R255" s="10">
        <v>3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/>
      <c r="Z255" s="10">
        <v>0</v>
      </c>
      <c r="AA255" s="10"/>
      <c r="AB255" s="10"/>
      <c r="AC255" s="10">
        <f t="shared" si="23"/>
        <v>0</v>
      </c>
      <c r="AD255" s="10"/>
      <c r="AE255" s="16"/>
      <c r="AG255" s="17"/>
    </row>
    <row r="256" spans="1:33" s="14" customFormat="1">
      <c r="A256" s="10">
        <f t="shared" si="19"/>
        <v>221</v>
      </c>
      <c r="B256" s="11" t="s">
        <v>34</v>
      </c>
      <c r="C256" s="10" t="s">
        <v>761</v>
      </c>
      <c r="D256" s="10" t="s">
        <v>858</v>
      </c>
      <c r="E256" s="10"/>
      <c r="F256" s="10" t="s">
        <v>37</v>
      </c>
      <c r="G256" s="12" t="s">
        <v>859</v>
      </c>
      <c r="H256" s="10" t="s">
        <v>741</v>
      </c>
      <c r="I256" s="10" t="s">
        <v>741</v>
      </c>
      <c r="J256" s="13" t="s">
        <v>860</v>
      </c>
      <c r="K256" s="10" t="s">
        <v>42</v>
      </c>
      <c r="L256" s="10">
        <v>100</v>
      </c>
      <c r="M256" s="10"/>
      <c r="N256" s="10" t="s">
        <v>93</v>
      </c>
      <c r="O256" s="10">
        <v>8770306</v>
      </c>
      <c r="P256" s="10">
        <v>1989</v>
      </c>
      <c r="Q256" s="10">
        <v>1</v>
      </c>
      <c r="R256" s="10">
        <v>2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/>
      <c r="Z256" s="10">
        <v>0</v>
      </c>
      <c r="AA256" s="10"/>
      <c r="AB256" s="10"/>
      <c r="AC256" s="10">
        <f t="shared" si="23"/>
        <v>0</v>
      </c>
      <c r="AD256" s="10"/>
      <c r="AE256" s="16"/>
      <c r="AG256" s="17"/>
    </row>
    <row r="257" spans="1:33" s="14" customFormat="1">
      <c r="A257" s="10">
        <f>A255+1</f>
        <v>221</v>
      </c>
      <c r="B257" s="11" t="s">
        <v>34</v>
      </c>
      <c r="C257" s="10" t="s">
        <v>761</v>
      </c>
      <c r="D257" s="10" t="s">
        <v>861</v>
      </c>
      <c r="E257" s="10"/>
      <c r="F257" s="10" t="s">
        <v>37</v>
      </c>
      <c r="G257" s="12" t="s">
        <v>862</v>
      </c>
      <c r="H257" s="10" t="s">
        <v>741</v>
      </c>
      <c r="I257" s="10" t="s">
        <v>741</v>
      </c>
      <c r="J257" s="10"/>
      <c r="K257" s="10" t="s">
        <v>42</v>
      </c>
      <c r="L257" s="10">
        <v>100</v>
      </c>
      <c r="M257" s="10"/>
      <c r="N257" s="10" t="s">
        <v>863</v>
      </c>
      <c r="O257" s="10" t="s">
        <v>864</v>
      </c>
      <c r="P257" s="10" t="s">
        <v>444</v>
      </c>
      <c r="Q257" s="10">
        <v>1</v>
      </c>
      <c r="R257" s="10">
        <v>2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/>
      <c r="Z257" s="10">
        <v>0</v>
      </c>
      <c r="AA257" s="10"/>
      <c r="AB257" s="10"/>
      <c r="AC257" s="10">
        <f t="shared" ref="AC257" si="25">SUM(U257:AB257)</f>
        <v>0</v>
      </c>
      <c r="AD257" s="10"/>
      <c r="AE257" s="16" t="s">
        <v>865</v>
      </c>
      <c r="AG257" s="17"/>
    </row>
    <row r="258" spans="1:33" s="99" customFormat="1">
      <c r="A258" s="95">
        <f>A256+1</f>
        <v>222</v>
      </c>
      <c r="B258" s="96" t="s">
        <v>34</v>
      </c>
      <c r="C258" s="95" t="s">
        <v>761</v>
      </c>
      <c r="D258" s="95" t="s">
        <v>866</v>
      </c>
      <c r="E258" s="95"/>
      <c r="F258" s="95" t="s">
        <v>37</v>
      </c>
      <c r="G258" s="97" t="s">
        <v>867</v>
      </c>
      <c r="H258" s="95" t="s">
        <v>741</v>
      </c>
      <c r="I258" s="95" t="s">
        <v>741</v>
      </c>
      <c r="J258" s="95"/>
      <c r="K258" s="95" t="s">
        <v>42</v>
      </c>
      <c r="L258" s="95">
        <v>100</v>
      </c>
      <c r="M258" s="95"/>
      <c r="N258" s="95" t="s">
        <v>424</v>
      </c>
      <c r="O258" s="95">
        <v>250300545</v>
      </c>
      <c r="P258" s="95">
        <v>2025</v>
      </c>
      <c r="Q258" s="95">
        <v>1</v>
      </c>
      <c r="R258" s="95">
        <v>2</v>
      </c>
      <c r="S258" s="95">
        <v>0</v>
      </c>
      <c r="T258" s="95">
        <v>0</v>
      </c>
      <c r="U258" s="95">
        <v>0</v>
      </c>
      <c r="V258" s="95">
        <v>0</v>
      </c>
      <c r="W258" s="95">
        <v>0</v>
      </c>
      <c r="X258" s="95">
        <v>0</v>
      </c>
      <c r="Y258" s="95"/>
      <c r="Z258" s="95">
        <v>0</v>
      </c>
      <c r="AA258" s="95"/>
      <c r="AB258" s="95"/>
      <c r="AC258" s="95">
        <f t="shared" si="23"/>
        <v>0</v>
      </c>
      <c r="AD258" s="95"/>
      <c r="AE258" s="98" t="s">
        <v>865</v>
      </c>
      <c r="AG258" s="100"/>
    </row>
    <row r="259" spans="1:33" s="14" customFormat="1">
      <c r="A259" s="10">
        <f t="shared" si="19"/>
        <v>223</v>
      </c>
      <c r="B259" s="11" t="s">
        <v>34</v>
      </c>
      <c r="C259" s="10" t="s">
        <v>761</v>
      </c>
      <c r="D259" s="10" t="s">
        <v>868</v>
      </c>
      <c r="E259" s="10"/>
      <c r="F259" s="10" t="s">
        <v>37</v>
      </c>
      <c r="G259" s="12" t="s">
        <v>869</v>
      </c>
      <c r="H259" s="10" t="s">
        <v>246</v>
      </c>
      <c r="I259" s="10" t="s">
        <v>246</v>
      </c>
      <c r="J259" s="13" t="s">
        <v>870</v>
      </c>
      <c r="K259" s="10" t="s">
        <v>42</v>
      </c>
      <c r="L259" s="10">
        <v>250</v>
      </c>
      <c r="M259" s="10"/>
      <c r="N259" s="10" t="s">
        <v>424</v>
      </c>
      <c r="O259" s="10">
        <v>14037428</v>
      </c>
      <c r="P259" s="10">
        <v>2014</v>
      </c>
      <c r="Q259" s="10">
        <v>1</v>
      </c>
      <c r="R259" s="10">
        <v>2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/>
      <c r="Z259" s="10">
        <v>0</v>
      </c>
      <c r="AA259" s="10"/>
      <c r="AB259" s="10"/>
      <c r="AC259" s="10">
        <f t="shared" si="23"/>
        <v>0</v>
      </c>
      <c r="AD259" s="10"/>
      <c r="AE259" s="16" t="s">
        <v>871</v>
      </c>
      <c r="AG259" s="17"/>
    </row>
    <row r="260" spans="1:33" s="115" customFormat="1">
      <c r="A260" s="111">
        <f t="shared" si="19"/>
        <v>224</v>
      </c>
      <c r="B260" s="112" t="s">
        <v>34</v>
      </c>
      <c r="C260" s="111" t="s">
        <v>761</v>
      </c>
      <c r="D260" s="111" t="s">
        <v>872</v>
      </c>
      <c r="E260" s="111"/>
      <c r="F260" s="111" t="s">
        <v>37</v>
      </c>
      <c r="G260" s="113" t="s">
        <v>873</v>
      </c>
      <c r="H260" s="111" t="s">
        <v>246</v>
      </c>
      <c r="I260" s="111" t="s">
        <v>246</v>
      </c>
      <c r="J260" s="111"/>
      <c r="K260" s="111" t="s">
        <v>42</v>
      </c>
      <c r="L260" s="111">
        <v>200</v>
      </c>
      <c r="M260" s="111"/>
      <c r="N260" s="111" t="s">
        <v>641</v>
      </c>
      <c r="O260" s="111" t="s">
        <v>874</v>
      </c>
      <c r="P260" s="111" t="s">
        <v>444</v>
      </c>
      <c r="Q260" s="111">
        <v>1</v>
      </c>
      <c r="R260" s="111">
        <v>2</v>
      </c>
      <c r="S260" s="111">
        <v>0</v>
      </c>
      <c r="T260" s="111">
        <v>0</v>
      </c>
      <c r="U260" s="111">
        <v>0</v>
      </c>
      <c r="V260" s="111">
        <v>0</v>
      </c>
      <c r="W260" s="111">
        <v>0</v>
      </c>
      <c r="X260" s="111">
        <v>0</v>
      </c>
      <c r="Y260" s="111"/>
      <c r="Z260" s="111">
        <v>0</v>
      </c>
      <c r="AA260" s="111"/>
      <c r="AB260" s="111"/>
      <c r="AC260" s="111">
        <f t="shared" si="23"/>
        <v>0</v>
      </c>
      <c r="AD260" s="111"/>
      <c r="AE260" s="114" t="s">
        <v>875</v>
      </c>
      <c r="AG260" s="116"/>
    </row>
    <row r="261" spans="1:33" s="115" customFormat="1">
      <c r="A261" s="111">
        <f t="shared" si="19"/>
        <v>225</v>
      </c>
      <c r="B261" s="112" t="s">
        <v>34</v>
      </c>
      <c r="C261" s="111" t="s">
        <v>761</v>
      </c>
      <c r="D261" s="111" t="s">
        <v>876</v>
      </c>
      <c r="E261" s="111"/>
      <c r="F261" s="111" t="s">
        <v>37</v>
      </c>
      <c r="G261" s="113" t="s">
        <v>877</v>
      </c>
      <c r="H261" s="111" t="s">
        <v>741</v>
      </c>
      <c r="I261" s="111" t="s">
        <v>741</v>
      </c>
      <c r="J261" s="125" t="s">
        <v>878</v>
      </c>
      <c r="K261" s="111" t="s">
        <v>42</v>
      </c>
      <c r="L261" s="111">
        <v>100</v>
      </c>
      <c r="M261" s="111"/>
      <c r="N261" s="111" t="s">
        <v>424</v>
      </c>
      <c r="O261" s="111" t="s">
        <v>879</v>
      </c>
      <c r="P261" s="111">
        <v>2015</v>
      </c>
      <c r="Q261" s="111">
        <v>1</v>
      </c>
      <c r="R261" s="111">
        <v>2</v>
      </c>
      <c r="S261" s="111">
        <v>0</v>
      </c>
      <c r="T261" s="111">
        <v>0</v>
      </c>
      <c r="U261" s="111">
        <v>0</v>
      </c>
      <c r="V261" s="111">
        <v>0</v>
      </c>
      <c r="W261" s="111">
        <v>0</v>
      </c>
      <c r="X261" s="111">
        <v>0</v>
      </c>
      <c r="Y261" s="111"/>
      <c r="Z261" s="111">
        <v>0</v>
      </c>
      <c r="AA261" s="111"/>
      <c r="AB261" s="111"/>
      <c r="AC261" s="111">
        <f t="shared" si="23"/>
        <v>0</v>
      </c>
      <c r="AD261" s="111"/>
      <c r="AE261" s="114"/>
      <c r="AG261" s="116"/>
    </row>
    <row r="262" spans="1:33" s="115" customFormat="1">
      <c r="A262" s="111">
        <f t="shared" si="19"/>
        <v>226</v>
      </c>
      <c r="B262" s="112" t="s">
        <v>34</v>
      </c>
      <c r="C262" s="111" t="s">
        <v>761</v>
      </c>
      <c r="D262" s="111" t="s">
        <v>880</v>
      </c>
      <c r="E262" s="111"/>
      <c r="F262" s="111" t="s">
        <v>37</v>
      </c>
      <c r="G262" s="113" t="s">
        <v>881</v>
      </c>
      <c r="H262" s="111" t="s">
        <v>246</v>
      </c>
      <c r="I262" s="111" t="s">
        <v>246</v>
      </c>
      <c r="J262" s="125" t="s">
        <v>882</v>
      </c>
      <c r="K262" s="111" t="s">
        <v>42</v>
      </c>
      <c r="L262" s="111">
        <v>100</v>
      </c>
      <c r="M262" s="111"/>
      <c r="N262" s="111" t="s">
        <v>424</v>
      </c>
      <c r="O262" s="111" t="s">
        <v>883</v>
      </c>
      <c r="P262" s="111">
        <v>2007</v>
      </c>
      <c r="Q262" s="111">
        <v>1</v>
      </c>
      <c r="R262" s="111">
        <v>2</v>
      </c>
      <c r="S262" s="111">
        <v>0</v>
      </c>
      <c r="T262" s="111">
        <v>0</v>
      </c>
      <c r="U262" s="111">
        <v>0</v>
      </c>
      <c r="V262" s="111">
        <v>0</v>
      </c>
      <c r="W262" s="111">
        <v>0</v>
      </c>
      <c r="X262" s="111">
        <v>0</v>
      </c>
      <c r="Y262" s="111"/>
      <c r="Z262" s="111">
        <v>0</v>
      </c>
      <c r="AA262" s="111"/>
      <c r="AB262" s="111"/>
      <c r="AC262" s="111">
        <f t="shared" si="23"/>
        <v>0</v>
      </c>
      <c r="AD262" s="111"/>
      <c r="AE262" s="114"/>
      <c r="AG262" s="116"/>
    </row>
    <row r="263" spans="1:33" s="115" customFormat="1">
      <c r="A263" s="111">
        <f t="shared" si="19"/>
        <v>227</v>
      </c>
      <c r="B263" s="112" t="s">
        <v>34</v>
      </c>
      <c r="C263" s="111" t="s">
        <v>761</v>
      </c>
      <c r="D263" s="111" t="s">
        <v>884</v>
      </c>
      <c r="E263" s="111"/>
      <c r="F263" s="111" t="s">
        <v>37</v>
      </c>
      <c r="G263" s="113" t="s">
        <v>885</v>
      </c>
      <c r="H263" s="111" t="s">
        <v>246</v>
      </c>
      <c r="I263" s="111" t="s">
        <v>246</v>
      </c>
      <c r="J263" s="125" t="s">
        <v>886</v>
      </c>
      <c r="K263" s="111" t="s">
        <v>42</v>
      </c>
      <c r="L263" s="111">
        <v>250</v>
      </c>
      <c r="M263" s="111"/>
      <c r="N263" s="111" t="s">
        <v>119</v>
      </c>
      <c r="O263" s="111" t="s">
        <v>887</v>
      </c>
      <c r="P263" s="111">
        <v>2023</v>
      </c>
      <c r="Q263" s="111">
        <v>1</v>
      </c>
      <c r="R263" s="111">
        <v>3</v>
      </c>
      <c r="S263" s="111">
        <v>0</v>
      </c>
      <c r="T263" s="111">
        <v>0</v>
      </c>
      <c r="U263" s="111">
        <v>0</v>
      </c>
      <c r="V263" s="111">
        <v>0</v>
      </c>
      <c r="W263" s="111">
        <v>0</v>
      </c>
      <c r="X263" s="111">
        <v>0</v>
      </c>
      <c r="Y263" s="111"/>
      <c r="Z263" s="111">
        <v>0</v>
      </c>
      <c r="AA263" s="111"/>
      <c r="AB263" s="111"/>
      <c r="AC263" s="111">
        <f t="shared" si="23"/>
        <v>0</v>
      </c>
      <c r="AD263" s="111"/>
      <c r="AE263" s="114"/>
      <c r="AG263" s="116"/>
    </row>
    <row r="264" spans="1:33" s="115" customFormat="1">
      <c r="A264" s="111">
        <f t="shared" si="19"/>
        <v>228</v>
      </c>
      <c r="B264" s="112" t="s">
        <v>34</v>
      </c>
      <c r="C264" s="111" t="s">
        <v>761</v>
      </c>
      <c r="D264" s="111" t="s">
        <v>888</v>
      </c>
      <c r="E264" s="111"/>
      <c r="F264" s="111" t="s">
        <v>37</v>
      </c>
      <c r="G264" s="113" t="s">
        <v>889</v>
      </c>
      <c r="H264" s="111" t="s">
        <v>741</v>
      </c>
      <c r="I264" s="111" t="s">
        <v>741</v>
      </c>
      <c r="J264" s="125" t="s">
        <v>890</v>
      </c>
      <c r="K264" s="111" t="s">
        <v>42</v>
      </c>
      <c r="L264" s="111">
        <v>160</v>
      </c>
      <c r="M264" s="111"/>
      <c r="N264" s="111" t="s">
        <v>59</v>
      </c>
      <c r="O264" s="126" t="s">
        <v>891</v>
      </c>
      <c r="P264" s="111">
        <v>2021</v>
      </c>
      <c r="Q264" s="111">
        <v>1</v>
      </c>
      <c r="R264" s="111">
        <v>2</v>
      </c>
      <c r="S264" s="111">
        <v>0</v>
      </c>
      <c r="T264" s="111">
        <v>0</v>
      </c>
      <c r="U264" s="111">
        <v>0</v>
      </c>
      <c r="V264" s="111">
        <v>0</v>
      </c>
      <c r="W264" s="111">
        <v>0</v>
      </c>
      <c r="X264" s="111">
        <v>0</v>
      </c>
      <c r="Y264" s="111"/>
      <c r="Z264" s="111">
        <v>0</v>
      </c>
      <c r="AA264" s="111"/>
      <c r="AB264" s="111"/>
      <c r="AC264" s="111">
        <f t="shared" si="23"/>
        <v>0</v>
      </c>
      <c r="AD264" s="111"/>
      <c r="AE264" s="114"/>
      <c r="AG264" s="116"/>
    </row>
    <row r="265" spans="1:33" s="115" customFormat="1">
      <c r="A265" s="111">
        <f t="shared" si="19"/>
        <v>229</v>
      </c>
      <c r="B265" s="112" t="s">
        <v>34</v>
      </c>
      <c r="C265" s="111" t="s">
        <v>761</v>
      </c>
      <c r="D265" s="111" t="s">
        <v>892</v>
      </c>
      <c r="E265" s="111"/>
      <c r="F265" s="111" t="s">
        <v>37</v>
      </c>
      <c r="G265" s="113" t="s">
        <v>889</v>
      </c>
      <c r="H265" s="111" t="s">
        <v>741</v>
      </c>
      <c r="I265" s="111" t="s">
        <v>741</v>
      </c>
      <c r="J265" s="111"/>
      <c r="K265" s="111" t="s">
        <v>42</v>
      </c>
      <c r="L265" s="111">
        <v>100</v>
      </c>
      <c r="M265" s="111"/>
      <c r="N265" s="111" t="s">
        <v>93</v>
      </c>
      <c r="O265" s="111" t="s">
        <v>893</v>
      </c>
      <c r="P265" s="111" t="s">
        <v>444</v>
      </c>
      <c r="Q265" s="111">
        <v>1</v>
      </c>
      <c r="R265" s="111">
        <v>2</v>
      </c>
      <c r="S265" s="111">
        <v>0</v>
      </c>
      <c r="T265" s="111">
        <v>0</v>
      </c>
      <c r="U265" s="111">
        <v>0</v>
      </c>
      <c r="V265" s="111">
        <v>0</v>
      </c>
      <c r="W265" s="111">
        <v>0</v>
      </c>
      <c r="X265" s="111">
        <v>0</v>
      </c>
      <c r="Y265" s="111"/>
      <c r="Z265" s="111">
        <v>0</v>
      </c>
      <c r="AA265" s="111"/>
      <c r="AB265" s="111"/>
      <c r="AC265" s="111">
        <f t="shared" si="23"/>
        <v>0</v>
      </c>
      <c r="AD265" s="111"/>
      <c r="AE265" s="114"/>
      <c r="AG265" s="116"/>
    </row>
    <row r="266" spans="1:33" s="77" customFormat="1">
      <c r="A266" s="72">
        <f t="shared" si="19"/>
        <v>230</v>
      </c>
      <c r="B266" s="73" t="s">
        <v>34</v>
      </c>
      <c r="C266" s="72" t="s">
        <v>761</v>
      </c>
      <c r="D266" s="72" t="s">
        <v>894</v>
      </c>
      <c r="E266" s="72"/>
      <c r="F266" s="72" t="s">
        <v>37</v>
      </c>
      <c r="G266" s="74" t="s">
        <v>895</v>
      </c>
      <c r="H266" s="72" t="s">
        <v>741</v>
      </c>
      <c r="I266" s="72" t="s">
        <v>741</v>
      </c>
      <c r="J266" s="75" t="s">
        <v>896</v>
      </c>
      <c r="K266" s="72" t="s">
        <v>42</v>
      </c>
      <c r="L266" s="72">
        <v>50</v>
      </c>
      <c r="M266" s="72"/>
      <c r="N266" s="72" t="s">
        <v>43</v>
      </c>
      <c r="O266" s="72">
        <v>361117</v>
      </c>
      <c r="P266" s="72"/>
      <c r="Q266" s="72">
        <v>1</v>
      </c>
      <c r="R266" s="72">
        <f>IF(H266="CANTOL",2,4)</f>
        <v>2</v>
      </c>
      <c r="S266" s="72">
        <v>0</v>
      </c>
      <c r="T266" s="72">
        <v>0</v>
      </c>
      <c r="U266" s="72">
        <v>0</v>
      </c>
      <c r="V266" s="72">
        <v>0</v>
      </c>
      <c r="W266" s="72">
        <v>0</v>
      </c>
      <c r="X266" s="72">
        <v>0</v>
      </c>
      <c r="Y266" s="72"/>
      <c r="Z266" s="72">
        <v>0</v>
      </c>
      <c r="AA266" s="72"/>
      <c r="AB266" s="72"/>
      <c r="AC266" s="72">
        <f t="shared" si="23"/>
        <v>0</v>
      </c>
      <c r="AD266" s="72"/>
      <c r="AE266" s="76"/>
      <c r="AG266" s="78"/>
    </row>
    <row r="267" spans="1:33" s="115" customFormat="1">
      <c r="A267" s="111">
        <f t="shared" si="19"/>
        <v>231</v>
      </c>
      <c r="B267" s="112" t="s">
        <v>34</v>
      </c>
      <c r="C267" s="111" t="s">
        <v>761</v>
      </c>
      <c r="D267" s="111" t="s">
        <v>897</v>
      </c>
      <c r="E267" s="111"/>
      <c r="F267" s="111" t="s">
        <v>37</v>
      </c>
      <c r="G267" s="113" t="s">
        <v>898</v>
      </c>
      <c r="H267" s="111" t="s">
        <v>741</v>
      </c>
      <c r="I267" s="111" t="s">
        <v>741</v>
      </c>
      <c r="J267" s="125" t="s">
        <v>899</v>
      </c>
      <c r="K267" s="111" t="s">
        <v>42</v>
      </c>
      <c r="L267" s="111">
        <v>160</v>
      </c>
      <c r="M267" s="111"/>
      <c r="N267" s="111"/>
      <c r="O267" s="111"/>
      <c r="P267" s="111">
        <v>2024</v>
      </c>
      <c r="Q267" s="111">
        <v>1</v>
      </c>
      <c r="R267" s="111">
        <v>2</v>
      </c>
      <c r="S267" s="111">
        <v>0</v>
      </c>
      <c r="T267" s="111">
        <v>0</v>
      </c>
      <c r="U267" s="111">
        <v>0</v>
      </c>
      <c r="V267" s="111">
        <v>0</v>
      </c>
      <c r="W267" s="111">
        <v>0</v>
      </c>
      <c r="X267" s="111">
        <v>0</v>
      </c>
      <c r="Y267" s="111"/>
      <c r="Z267" s="111">
        <v>0</v>
      </c>
      <c r="AA267" s="111"/>
      <c r="AB267" s="111"/>
      <c r="AC267" s="111">
        <f t="shared" si="23"/>
        <v>0</v>
      </c>
      <c r="AD267" s="111"/>
      <c r="AE267" s="114"/>
      <c r="AG267" s="116"/>
    </row>
    <row r="268" spans="1:33" s="115" customFormat="1">
      <c r="A268" s="111">
        <f t="shared" si="19"/>
        <v>232</v>
      </c>
      <c r="B268" s="112" t="s">
        <v>34</v>
      </c>
      <c r="C268" s="111" t="s">
        <v>761</v>
      </c>
      <c r="D268" s="111" t="s">
        <v>900</v>
      </c>
      <c r="E268" s="111"/>
      <c r="F268" s="111" t="s">
        <v>37</v>
      </c>
      <c r="G268" s="113" t="s">
        <v>901</v>
      </c>
      <c r="H268" s="111" t="s">
        <v>741</v>
      </c>
      <c r="I268" s="111" t="s">
        <v>741</v>
      </c>
      <c r="J268" s="125" t="s">
        <v>902</v>
      </c>
      <c r="K268" s="111" t="s">
        <v>42</v>
      </c>
      <c r="L268" s="111">
        <v>100</v>
      </c>
      <c r="M268" s="111"/>
      <c r="N268" s="111" t="s">
        <v>903</v>
      </c>
      <c r="O268" s="111">
        <v>184312642</v>
      </c>
      <c r="P268" s="111" t="s">
        <v>95</v>
      </c>
      <c r="Q268" s="111" t="s">
        <v>482</v>
      </c>
      <c r="R268" s="111">
        <f>IF(H268="CANTOL",2,4)</f>
        <v>2</v>
      </c>
      <c r="S268" s="111">
        <v>0</v>
      </c>
      <c r="T268" s="111">
        <v>0</v>
      </c>
      <c r="U268" s="111">
        <v>0</v>
      </c>
      <c r="V268" s="111">
        <v>0</v>
      </c>
      <c r="W268" s="111">
        <v>0</v>
      </c>
      <c r="X268" s="111">
        <v>0</v>
      </c>
      <c r="Y268" s="111"/>
      <c r="Z268" s="111">
        <v>0</v>
      </c>
      <c r="AA268" s="111"/>
      <c r="AB268" s="111"/>
      <c r="AC268" s="111">
        <f t="shared" si="23"/>
        <v>0</v>
      </c>
      <c r="AD268" s="111"/>
      <c r="AE268" s="114"/>
      <c r="AG268" s="116"/>
    </row>
    <row r="269" spans="1:33" s="123" customFormat="1">
      <c r="A269" s="118">
        <f t="shared" si="19"/>
        <v>233</v>
      </c>
      <c r="B269" s="119" t="s">
        <v>34</v>
      </c>
      <c r="C269" s="118" t="s">
        <v>393</v>
      </c>
      <c r="D269" s="118" t="s">
        <v>904</v>
      </c>
      <c r="E269" s="118"/>
      <c r="F269" s="118" t="s">
        <v>63</v>
      </c>
      <c r="G269" s="120" t="s">
        <v>905</v>
      </c>
      <c r="H269" s="118" t="s">
        <v>39</v>
      </c>
      <c r="I269" s="118" t="s">
        <v>403</v>
      </c>
      <c r="J269" s="118" t="s">
        <v>906</v>
      </c>
      <c r="K269" s="118" t="s">
        <v>42</v>
      </c>
      <c r="L269" s="118"/>
      <c r="M269" s="118" t="s">
        <v>452</v>
      </c>
      <c r="N269" s="118"/>
      <c r="O269" s="118"/>
      <c r="P269" s="118"/>
      <c r="Q269" s="118" t="s">
        <v>907</v>
      </c>
      <c r="R269" s="118" t="s">
        <v>907</v>
      </c>
      <c r="S269" s="118" t="s">
        <v>907</v>
      </c>
      <c r="T269" s="118" t="s">
        <v>907</v>
      </c>
      <c r="U269" s="118" t="s">
        <v>482</v>
      </c>
      <c r="V269" s="118" t="s">
        <v>907</v>
      </c>
      <c r="W269" s="118" t="s">
        <v>96</v>
      </c>
      <c r="X269" s="118" t="s">
        <v>907</v>
      </c>
      <c r="Y269" s="118"/>
      <c r="Z269" s="118" t="s">
        <v>907</v>
      </c>
      <c r="AA269" s="118"/>
      <c r="AB269" s="118"/>
      <c r="AC269" s="118" t="s">
        <v>907</v>
      </c>
      <c r="AD269" s="118"/>
      <c r="AE269" s="122"/>
      <c r="AG269" s="124"/>
    </row>
    <row r="270" spans="1:33" s="115" customFormat="1">
      <c r="A270" s="111">
        <f t="shared" si="19"/>
        <v>234</v>
      </c>
      <c r="B270" s="112" t="s">
        <v>34</v>
      </c>
      <c r="C270" s="111" t="s">
        <v>761</v>
      </c>
      <c r="D270" s="111" t="s">
        <v>908</v>
      </c>
      <c r="E270" s="111"/>
      <c r="F270" s="111" t="s">
        <v>37</v>
      </c>
      <c r="G270" s="113" t="s">
        <v>909</v>
      </c>
      <c r="H270" s="111" t="s">
        <v>741</v>
      </c>
      <c r="I270" s="111" t="s">
        <v>741</v>
      </c>
      <c r="J270" s="125" t="s">
        <v>910</v>
      </c>
      <c r="K270" s="111" t="s">
        <v>42</v>
      </c>
      <c r="L270" s="111">
        <v>25</v>
      </c>
      <c r="M270" s="111"/>
      <c r="N270" s="111" t="s">
        <v>664</v>
      </c>
      <c r="O270" s="111" t="s">
        <v>911</v>
      </c>
      <c r="P270" s="111">
        <v>1993</v>
      </c>
      <c r="Q270" s="111"/>
      <c r="R270" s="111">
        <f>IF(H270="CANTOL",2,4)</f>
        <v>2</v>
      </c>
      <c r="S270" s="111">
        <v>0</v>
      </c>
      <c r="T270" s="111">
        <v>0</v>
      </c>
      <c r="U270" s="111">
        <v>0</v>
      </c>
      <c r="V270" s="111">
        <v>0</v>
      </c>
      <c r="W270" s="111">
        <v>0</v>
      </c>
      <c r="X270" s="111">
        <v>0</v>
      </c>
      <c r="Y270" s="111"/>
      <c r="Z270" s="111">
        <v>0</v>
      </c>
      <c r="AA270" s="111"/>
      <c r="AB270" s="111"/>
      <c r="AC270" s="111">
        <f t="shared" si="23"/>
        <v>0</v>
      </c>
      <c r="AD270" s="111"/>
      <c r="AE270" s="114"/>
      <c r="AG270" s="116"/>
    </row>
    <row r="271" spans="1:33" s="115" customFormat="1">
      <c r="A271" s="111">
        <f t="shared" ref="A271:A334" si="26">A270+1</f>
        <v>235</v>
      </c>
      <c r="B271" s="112" t="s">
        <v>34</v>
      </c>
      <c r="C271" s="111" t="s">
        <v>761</v>
      </c>
      <c r="D271" s="111" t="s">
        <v>912</v>
      </c>
      <c r="E271" s="111"/>
      <c r="F271" s="111" t="s">
        <v>37</v>
      </c>
      <c r="G271" s="113" t="s">
        <v>913</v>
      </c>
      <c r="H271" s="111" t="s">
        <v>246</v>
      </c>
      <c r="I271" s="111" t="s">
        <v>246</v>
      </c>
      <c r="J271" s="125" t="s">
        <v>914</v>
      </c>
      <c r="K271" s="111" t="s">
        <v>42</v>
      </c>
      <c r="L271" s="111">
        <v>250</v>
      </c>
      <c r="M271" s="111"/>
      <c r="N271" s="111" t="s">
        <v>863</v>
      </c>
      <c r="O271" s="111" t="s">
        <v>915</v>
      </c>
      <c r="P271" s="111">
        <v>2014</v>
      </c>
      <c r="Q271" s="111">
        <v>1</v>
      </c>
      <c r="R271" s="111">
        <v>3</v>
      </c>
      <c r="S271" s="111">
        <v>0</v>
      </c>
      <c r="T271" s="111">
        <v>0</v>
      </c>
      <c r="U271" s="111">
        <v>0</v>
      </c>
      <c r="V271" s="111">
        <v>0</v>
      </c>
      <c r="W271" s="111">
        <v>0</v>
      </c>
      <c r="X271" s="111">
        <v>0</v>
      </c>
      <c r="Y271" s="111"/>
      <c r="Z271" s="111">
        <v>0</v>
      </c>
      <c r="AA271" s="111"/>
      <c r="AB271" s="111"/>
      <c r="AC271" s="111">
        <f t="shared" si="23"/>
        <v>0</v>
      </c>
      <c r="AD271" s="111"/>
      <c r="AE271" s="114"/>
      <c r="AG271" s="116"/>
    </row>
    <row r="272" spans="1:33" s="115" customFormat="1">
      <c r="A272" s="111">
        <f t="shared" si="26"/>
        <v>236</v>
      </c>
      <c r="B272" s="112" t="s">
        <v>34</v>
      </c>
      <c r="C272" s="111" t="s">
        <v>761</v>
      </c>
      <c r="D272" s="127" t="s">
        <v>916</v>
      </c>
      <c r="E272" s="127"/>
      <c r="F272" s="111" t="s">
        <v>37</v>
      </c>
      <c r="G272" s="113" t="s">
        <v>917</v>
      </c>
      <c r="H272" s="111" t="s">
        <v>741</v>
      </c>
      <c r="I272" s="111" t="s">
        <v>741</v>
      </c>
      <c r="J272" s="125" t="s">
        <v>918</v>
      </c>
      <c r="K272" s="111" t="s">
        <v>42</v>
      </c>
      <c r="L272" s="111">
        <v>25</v>
      </c>
      <c r="M272" s="111"/>
      <c r="N272" s="111" t="s">
        <v>664</v>
      </c>
      <c r="O272" s="111" t="s">
        <v>919</v>
      </c>
      <c r="P272" s="111">
        <v>1993</v>
      </c>
      <c r="Q272" s="111"/>
      <c r="R272" s="111">
        <f t="shared" ref="R272:R274" si="27">IF(H272="CANTOL",2,4)</f>
        <v>2</v>
      </c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  <c r="AC272" s="111">
        <f t="shared" si="23"/>
        <v>0</v>
      </c>
      <c r="AD272" s="111"/>
      <c r="AE272" s="114"/>
      <c r="AG272" s="116"/>
    </row>
    <row r="273" spans="1:33" s="115" customFormat="1">
      <c r="A273" s="111">
        <f t="shared" si="26"/>
        <v>237</v>
      </c>
      <c r="B273" s="112" t="s">
        <v>34</v>
      </c>
      <c r="C273" s="111" t="s">
        <v>761</v>
      </c>
      <c r="D273" s="127" t="s">
        <v>920</v>
      </c>
      <c r="E273" s="127"/>
      <c r="F273" s="111" t="s">
        <v>37</v>
      </c>
      <c r="G273" s="113" t="s">
        <v>921</v>
      </c>
      <c r="H273" s="111" t="s">
        <v>741</v>
      </c>
      <c r="I273" s="111" t="s">
        <v>741</v>
      </c>
      <c r="J273" s="125" t="s">
        <v>922</v>
      </c>
      <c r="K273" s="111" t="s">
        <v>42</v>
      </c>
      <c r="L273" s="111">
        <v>25</v>
      </c>
      <c r="M273" s="111"/>
      <c r="N273" s="111" t="s">
        <v>664</v>
      </c>
      <c r="O273" s="111" t="s">
        <v>923</v>
      </c>
      <c r="P273" s="111">
        <v>1993</v>
      </c>
      <c r="Q273" s="111"/>
      <c r="R273" s="111">
        <f t="shared" si="27"/>
        <v>2</v>
      </c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  <c r="AC273" s="111">
        <f t="shared" si="23"/>
        <v>0</v>
      </c>
      <c r="AD273" s="111"/>
      <c r="AE273" s="114"/>
      <c r="AG273" s="116"/>
    </row>
    <row r="274" spans="1:33" s="115" customFormat="1">
      <c r="A274" s="111">
        <f t="shared" si="26"/>
        <v>238</v>
      </c>
      <c r="B274" s="112" t="s">
        <v>34</v>
      </c>
      <c r="C274" s="111" t="s">
        <v>761</v>
      </c>
      <c r="D274" s="127" t="s">
        <v>924</v>
      </c>
      <c r="E274" s="127"/>
      <c r="F274" s="111" t="s">
        <v>37</v>
      </c>
      <c r="G274" s="113" t="s">
        <v>925</v>
      </c>
      <c r="H274" s="111" t="s">
        <v>741</v>
      </c>
      <c r="I274" s="111" t="s">
        <v>741</v>
      </c>
      <c r="J274" s="125" t="s">
        <v>926</v>
      </c>
      <c r="K274" s="111" t="s">
        <v>42</v>
      </c>
      <c r="L274" s="111">
        <v>50</v>
      </c>
      <c r="M274" s="111"/>
      <c r="N274" s="111" t="s">
        <v>927</v>
      </c>
      <c r="O274" s="111" t="s">
        <v>928</v>
      </c>
      <c r="P274" s="111">
        <v>1984</v>
      </c>
      <c r="Q274" s="111">
        <v>1</v>
      </c>
      <c r="R274" s="111">
        <f t="shared" si="27"/>
        <v>2</v>
      </c>
      <c r="S274" s="111">
        <v>0</v>
      </c>
      <c r="T274" s="111">
        <v>0</v>
      </c>
      <c r="U274" s="111">
        <v>0</v>
      </c>
      <c r="V274" s="111">
        <v>0</v>
      </c>
      <c r="W274" s="111">
        <v>0</v>
      </c>
      <c r="X274" s="111">
        <v>0</v>
      </c>
      <c r="Y274" s="111"/>
      <c r="Z274" s="111">
        <v>0</v>
      </c>
      <c r="AA274" s="111"/>
      <c r="AB274" s="111"/>
      <c r="AC274" s="111">
        <f t="shared" si="23"/>
        <v>0</v>
      </c>
      <c r="AD274" s="111"/>
      <c r="AE274" s="114"/>
      <c r="AG274" s="116"/>
    </row>
    <row r="275" spans="1:33" s="14" customFormat="1">
      <c r="A275" s="10">
        <f t="shared" si="26"/>
        <v>239</v>
      </c>
      <c r="B275" s="11" t="s">
        <v>34</v>
      </c>
      <c r="C275" s="10" t="s">
        <v>761</v>
      </c>
      <c r="D275" s="87" t="s">
        <v>929</v>
      </c>
      <c r="E275" s="87"/>
      <c r="F275" s="10" t="s">
        <v>37</v>
      </c>
      <c r="G275" s="12" t="s">
        <v>930</v>
      </c>
      <c r="H275" s="10" t="s">
        <v>246</v>
      </c>
      <c r="I275" s="10" t="s">
        <v>246</v>
      </c>
      <c r="J275" s="13" t="s">
        <v>931</v>
      </c>
      <c r="K275" s="10" t="s">
        <v>42</v>
      </c>
      <c r="L275" s="10">
        <v>250</v>
      </c>
      <c r="M275" s="10"/>
      <c r="N275" s="10" t="s">
        <v>93</v>
      </c>
      <c r="O275" s="10" t="s">
        <v>932</v>
      </c>
      <c r="P275" s="10">
        <v>2010</v>
      </c>
      <c r="Q275" s="10">
        <v>1</v>
      </c>
      <c r="R275" s="10">
        <v>2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/>
      <c r="Z275" s="10">
        <v>0</v>
      </c>
      <c r="AA275" s="10"/>
      <c r="AB275" s="10"/>
      <c r="AC275" s="10">
        <f t="shared" si="23"/>
        <v>0</v>
      </c>
      <c r="AD275" s="10"/>
      <c r="AE275" s="16"/>
      <c r="AG275" s="17"/>
    </row>
    <row r="276" spans="1:33" s="14" customFormat="1">
      <c r="A276" s="10">
        <f t="shared" si="26"/>
        <v>240</v>
      </c>
      <c r="B276" s="11" t="s">
        <v>34</v>
      </c>
      <c r="C276" s="10" t="s">
        <v>761</v>
      </c>
      <c r="D276" s="10" t="s">
        <v>933</v>
      </c>
      <c r="E276" s="10"/>
      <c r="F276" s="10" t="s">
        <v>37</v>
      </c>
      <c r="G276" s="12" t="s">
        <v>930</v>
      </c>
      <c r="H276" s="10" t="s">
        <v>741</v>
      </c>
      <c r="I276" s="10" t="s">
        <v>741</v>
      </c>
      <c r="J276" s="13" t="s">
        <v>934</v>
      </c>
      <c r="K276" s="10" t="s">
        <v>42</v>
      </c>
      <c r="L276" s="10">
        <v>100</v>
      </c>
      <c r="M276" s="10"/>
      <c r="N276" s="10" t="s">
        <v>59</v>
      </c>
      <c r="O276" s="10">
        <v>253307595</v>
      </c>
      <c r="P276" s="10">
        <v>2025</v>
      </c>
      <c r="Q276" s="10">
        <v>1</v>
      </c>
      <c r="R276" s="10">
        <v>1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/>
      <c r="Z276" s="10">
        <v>0</v>
      </c>
      <c r="AA276" s="10"/>
      <c r="AB276" s="10"/>
      <c r="AC276" s="10">
        <f t="shared" si="23"/>
        <v>0</v>
      </c>
      <c r="AD276" s="10"/>
      <c r="AE276" s="16"/>
      <c r="AG276" s="17"/>
    </row>
    <row r="277" spans="1:33" s="14" customFormat="1">
      <c r="A277" s="10">
        <f t="shared" si="26"/>
        <v>241</v>
      </c>
      <c r="B277" s="11" t="s">
        <v>34</v>
      </c>
      <c r="C277" s="10" t="s">
        <v>761</v>
      </c>
      <c r="D277" s="87" t="s">
        <v>935</v>
      </c>
      <c r="E277" s="87"/>
      <c r="F277" s="10" t="s">
        <v>37</v>
      </c>
      <c r="G277" s="12" t="s">
        <v>936</v>
      </c>
      <c r="H277" s="10" t="s">
        <v>246</v>
      </c>
      <c r="I277" s="10" t="s">
        <v>246</v>
      </c>
      <c r="J277" s="10">
        <v>1017</v>
      </c>
      <c r="K277" s="10" t="s">
        <v>42</v>
      </c>
      <c r="L277" s="10">
        <v>250</v>
      </c>
      <c r="M277" s="10"/>
      <c r="N277" s="10" t="s">
        <v>424</v>
      </c>
      <c r="O277" s="10" t="s">
        <v>937</v>
      </c>
      <c r="P277" s="10">
        <v>2011</v>
      </c>
      <c r="Q277" s="10">
        <v>1</v>
      </c>
      <c r="R277" s="10">
        <f t="shared" ref="R277:R278" si="28">IF(H277="CANTOL",2,4)</f>
        <v>4</v>
      </c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>
        <f t="shared" si="23"/>
        <v>0</v>
      </c>
      <c r="AD277" s="10"/>
      <c r="AE277" s="16"/>
      <c r="AG277" s="17"/>
    </row>
    <row r="278" spans="1:33" s="14" customFormat="1">
      <c r="A278" s="10">
        <f t="shared" si="26"/>
        <v>242</v>
      </c>
      <c r="B278" s="11" t="s">
        <v>34</v>
      </c>
      <c r="C278" s="10" t="s">
        <v>761</v>
      </c>
      <c r="D278" s="87" t="s">
        <v>938</v>
      </c>
      <c r="E278" s="87"/>
      <c r="F278" s="10" t="s">
        <v>37</v>
      </c>
      <c r="G278" s="12" t="s">
        <v>936</v>
      </c>
      <c r="H278" s="10" t="s">
        <v>246</v>
      </c>
      <c r="I278" s="10" t="s">
        <v>246</v>
      </c>
      <c r="J278" s="10">
        <v>1067</v>
      </c>
      <c r="K278" s="10" t="s">
        <v>42</v>
      </c>
      <c r="L278" s="10">
        <v>250</v>
      </c>
      <c r="M278" s="10"/>
      <c r="N278" s="10" t="s">
        <v>664</v>
      </c>
      <c r="O278" s="10" t="s">
        <v>939</v>
      </c>
      <c r="P278" s="10">
        <v>2013</v>
      </c>
      <c r="Q278" s="10">
        <v>1</v>
      </c>
      <c r="R278" s="10">
        <f t="shared" si="28"/>
        <v>4</v>
      </c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>
        <f t="shared" si="23"/>
        <v>0</v>
      </c>
      <c r="AD278" s="10"/>
      <c r="AE278" s="16"/>
      <c r="AG278" s="17"/>
    </row>
    <row r="279" spans="1:33" s="14" customFormat="1">
      <c r="A279" s="10">
        <f t="shared" si="26"/>
        <v>243</v>
      </c>
      <c r="B279" s="11" t="s">
        <v>34</v>
      </c>
      <c r="C279" s="10" t="s">
        <v>761</v>
      </c>
      <c r="D279" s="10" t="s">
        <v>940</v>
      </c>
      <c r="E279" s="10"/>
      <c r="F279" s="10" t="s">
        <v>37</v>
      </c>
      <c r="G279" s="12" t="s">
        <v>941</v>
      </c>
      <c r="H279" s="10" t="s">
        <v>246</v>
      </c>
      <c r="I279" s="10" t="s">
        <v>246</v>
      </c>
      <c r="J279" s="13" t="s">
        <v>942</v>
      </c>
      <c r="K279" s="10" t="s">
        <v>42</v>
      </c>
      <c r="L279" s="10">
        <v>315</v>
      </c>
      <c r="M279" s="10"/>
      <c r="N279" s="10" t="s">
        <v>93</v>
      </c>
      <c r="O279" s="15" t="s">
        <v>943</v>
      </c>
      <c r="P279" s="10">
        <v>1985</v>
      </c>
      <c r="Q279" s="10">
        <v>1</v>
      </c>
      <c r="R279" s="10">
        <v>4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/>
      <c r="Z279" s="10">
        <v>0</v>
      </c>
      <c r="AA279" s="10"/>
      <c r="AB279" s="10"/>
      <c r="AC279" s="10">
        <f t="shared" si="23"/>
        <v>0</v>
      </c>
      <c r="AD279" s="10"/>
      <c r="AE279" s="16" t="s">
        <v>944</v>
      </c>
      <c r="AG279" s="17" t="s">
        <v>944</v>
      </c>
    </row>
    <row r="280" spans="1:33" s="14" customFormat="1">
      <c r="A280" s="10">
        <f t="shared" si="26"/>
        <v>244</v>
      </c>
      <c r="B280" s="11" t="s">
        <v>34</v>
      </c>
      <c r="C280" s="10" t="s">
        <v>761</v>
      </c>
      <c r="D280" s="10" t="s">
        <v>945</v>
      </c>
      <c r="E280" s="10"/>
      <c r="F280" s="10" t="s">
        <v>37</v>
      </c>
      <c r="G280" s="12" t="s">
        <v>946</v>
      </c>
      <c r="H280" s="10" t="s">
        <v>246</v>
      </c>
      <c r="I280" s="10" t="s">
        <v>246</v>
      </c>
      <c r="J280" s="13" t="s">
        <v>947</v>
      </c>
      <c r="K280" s="10" t="s">
        <v>42</v>
      </c>
      <c r="L280" s="10">
        <v>250</v>
      </c>
      <c r="M280" s="10"/>
      <c r="N280" s="10" t="s">
        <v>664</v>
      </c>
      <c r="O280" s="10">
        <v>20071356</v>
      </c>
      <c r="P280" s="10">
        <v>2007</v>
      </c>
      <c r="Q280" s="10">
        <v>1</v>
      </c>
      <c r="R280" s="10">
        <v>4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/>
      <c r="Z280" s="10">
        <v>0</v>
      </c>
      <c r="AA280" s="10"/>
      <c r="AB280" s="10"/>
      <c r="AC280" s="10">
        <f t="shared" si="23"/>
        <v>0</v>
      </c>
      <c r="AD280" s="10"/>
      <c r="AE280" s="16"/>
      <c r="AG280" s="17"/>
    </row>
    <row r="281" spans="1:33" s="123" customFormat="1">
      <c r="A281" s="118">
        <f t="shared" si="26"/>
        <v>245</v>
      </c>
      <c r="B281" s="119" t="s">
        <v>34</v>
      </c>
      <c r="C281" s="118" t="s">
        <v>761</v>
      </c>
      <c r="D281" s="118" t="s">
        <v>948</v>
      </c>
      <c r="E281" s="118"/>
      <c r="F281" s="118" t="s">
        <v>63</v>
      </c>
      <c r="G281" s="120" t="s">
        <v>949</v>
      </c>
      <c r="H281" s="118" t="s">
        <v>39</v>
      </c>
      <c r="I281" s="118" t="s">
        <v>40</v>
      </c>
      <c r="J281" s="121" t="s">
        <v>950</v>
      </c>
      <c r="K281" s="118" t="s">
        <v>42</v>
      </c>
      <c r="L281" s="118"/>
      <c r="M281" s="118"/>
      <c r="N281" s="118"/>
      <c r="O281" s="118"/>
      <c r="P281" s="118"/>
      <c r="Q281" s="118"/>
      <c r="R281" s="118"/>
      <c r="S281" s="118" t="s">
        <v>381</v>
      </c>
      <c r="T281" s="118" t="s">
        <v>89</v>
      </c>
      <c r="U281" s="118">
        <v>2</v>
      </c>
      <c r="V281" s="118">
        <v>0</v>
      </c>
      <c r="W281" s="118">
        <v>1</v>
      </c>
      <c r="X281" s="118">
        <v>0</v>
      </c>
      <c r="Y281" s="118"/>
      <c r="Z281" s="118">
        <v>0</v>
      </c>
      <c r="AA281" s="118"/>
      <c r="AB281" s="118"/>
      <c r="AC281" s="118">
        <f t="shared" si="23"/>
        <v>3</v>
      </c>
      <c r="AD281" s="118"/>
      <c r="AE281" s="122"/>
      <c r="AG281" s="124"/>
    </row>
    <row r="282" spans="1:33" s="115" customFormat="1">
      <c r="A282" s="111">
        <f t="shared" si="26"/>
        <v>246</v>
      </c>
      <c r="B282" s="112" t="s">
        <v>34</v>
      </c>
      <c r="C282" s="111" t="s">
        <v>761</v>
      </c>
      <c r="D282" s="111" t="s">
        <v>951</v>
      </c>
      <c r="E282" s="111"/>
      <c r="F282" s="111" t="s">
        <v>63</v>
      </c>
      <c r="G282" s="113" t="s">
        <v>952</v>
      </c>
      <c r="H282" s="111" t="s">
        <v>246</v>
      </c>
      <c r="I282" s="111" t="s">
        <v>246</v>
      </c>
      <c r="J282" s="125" t="s">
        <v>953</v>
      </c>
      <c r="K282" s="111" t="s">
        <v>42</v>
      </c>
      <c r="L282" s="111">
        <v>400</v>
      </c>
      <c r="M282" s="111"/>
      <c r="N282" s="111" t="s">
        <v>93</v>
      </c>
      <c r="O282" s="111" t="s">
        <v>954</v>
      </c>
      <c r="P282" s="111" t="s">
        <v>405</v>
      </c>
      <c r="Q282" s="111">
        <v>1</v>
      </c>
      <c r="R282" s="111"/>
      <c r="S282" s="111">
        <v>0</v>
      </c>
      <c r="T282" s="111">
        <v>0</v>
      </c>
      <c r="U282" s="111">
        <v>0</v>
      </c>
      <c r="V282" s="111">
        <v>0</v>
      </c>
      <c r="W282" s="111">
        <v>0</v>
      </c>
      <c r="X282" s="111">
        <v>0</v>
      </c>
      <c r="Y282" s="111"/>
      <c r="Z282" s="111">
        <v>0</v>
      </c>
      <c r="AA282" s="111"/>
      <c r="AB282" s="111"/>
      <c r="AC282" s="111">
        <f t="shared" si="23"/>
        <v>0</v>
      </c>
      <c r="AD282" s="111"/>
      <c r="AE282" s="114"/>
      <c r="AG282" s="116"/>
    </row>
    <row r="283" spans="1:33" s="123" customFormat="1">
      <c r="A283" s="118">
        <f t="shared" si="26"/>
        <v>247</v>
      </c>
      <c r="B283" s="119" t="s">
        <v>34</v>
      </c>
      <c r="C283" s="118" t="s">
        <v>761</v>
      </c>
      <c r="D283" s="118" t="s">
        <v>955</v>
      </c>
      <c r="E283" s="118"/>
      <c r="F283" s="118" t="s">
        <v>63</v>
      </c>
      <c r="G283" s="120" t="s">
        <v>956</v>
      </c>
      <c r="H283" s="118" t="s">
        <v>39</v>
      </c>
      <c r="I283" s="118" t="s">
        <v>40</v>
      </c>
      <c r="J283" s="121" t="s">
        <v>957</v>
      </c>
      <c r="K283" s="118" t="s">
        <v>42</v>
      </c>
      <c r="L283" s="118"/>
      <c r="M283" s="118"/>
      <c r="N283" s="118"/>
      <c r="O283" s="118"/>
      <c r="P283" s="118"/>
      <c r="Q283" s="118"/>
      <c r="R283" s="118"/>
      <c r="S283" s="118" t="s">
        <v>958</v>
      </c>
      <c r="T283" s="118" t="s">
        <v>89</v>
      </c>
      <c r="U283" s="118">
        <v>1</v>
      </c>
      <c r="V283" s="118">
        <v>0</v>
      </c>
      <c r="W283" s="118">
        <v>1</v>
      </c>
      <c r="X283" s="118">
        <v>0</v>
      </c>
      <c r="Y283" s="118"/>
      <c r="Z283" s="118">
        <v>0</v>
      </c>
      <c r="AA283" s="118"/>
      <c r="AB283" s="118"/>
      <c r="AC283" s="118">
        <f t="shared" si="23"/>
        <v>2</v>
      </c>
      <c r="AD283" s="118"/>
      <c r="AE283" s="122"/>
      <c r="AG283" s="124"/>
    </row>
    <row r="284" spans="1:33" s="115" customFormat="1">
      <c r="A284" s="111">
        <f t="shared" si="26"/>
        <v>248</v>
      </c>
      <c r="B284" s="112" t="s">
        <v>34</v>
      </c>
      <c r="C284" s="111" t="s">
        <v>761</v>
      </c>
      <c r="D284" s="111" t="s">
        <v>959</v>
      </c>
      <c r="E284" s="111"/>
      <c r="F284" s="111" t="s">
        <v>63</v>
      </c>
      <c r="G284" s="113" t="s">
        <v>960</v>
      </c>
      <c r="H284" s="111" t="s">
        <v>246</v>
      </c>
      <c r="I284" s="111" t="s">
        <v>246</v>
      </c>
      <c r="J284" s="125" t="s">
        <v>961</v>
      </c>
      <c r="K284" s="111" t="s">
        <v>42</v>
      </c>
      <c r="L284" s="111">
        <v>250</v>
      </c>
      <c r="M284" s="111"/>
      <c r="N284" s="111" t="s">
        <v>641</v>
      </c>
      <c r="O284" s="111" t="s">
        <v>962</v>
      </c>
      <c r="P284" s="111">
        <v>2011</v>
      </c>
      <c r="Q284" s="111">
        <v>1</v>
      </c>
      <c r="R284" s="111"/>
      <c r="S284" s="111">
        <v>0</v>
      </c>
      <c r="T284" s="111">
        <v>0</v>
      </c>
      <c r="U284" s="111">
        <v>0</v>
      </c>
      <c r="V284" s="111">
        <v>0</v>
      </c>
      <c r="W284" s="111">
        <v>0</v>
      </c>
      <c r="X284" s="111">
        <v>0</v>
      </c>
      <c r="Y284" s="111"/>
      <c r="Z284" s="111">
        <v>0</v>
      </c>
      <c r="AA284" s="111"/>
      <c r="AB284" s="111"/>
      <c r="AC284" s="111">
        <f t="shared" si="23"/>
        <v>0</v>
      </c>
      <c r="AD284" s="111"/>
      <c r="AE284" s="114"/>
      <c r="AG284" s="116"/>
    </row>
    <row r="285" spans="1:33" s="115" customFormat="1">
      <c r="A285" s="111">
        <f t="shared" si="26"/>
        <v>249</v>
      </c>
      <c r="B285" s="112" t="s">
        <v>34</v>
      </c>
      <c r="C285" s="111" t="s">
        <v>761</v>
      </c>
      <c r="D285" s="111" t="s">
        <v>963</v>
      </c>
      <c r="E285" s="111"/>
      <c r="F285" s="111" t="s">
        <v>37</v>
      </c>
      <c r="G285" s="113" t="s">
        <v>964</v>
      </c>
      <c r="H285" s="111" t="s">
        <v>246</v>
      </c>
      <c r="I285" s="111" t="s">
        <v>246</v>
      </c>
      <c r="J285" s="125" t="s">
        <v>965</v>
      </c>
      <c r="K285" s="111" t="s">
        <v>42</v>
      </c>
      <c r="L285" s="111">
        <v>100</v>
      </c>
      <c r="M285" s="111"/>
      <c r="N285" s="111" t="s">
        <v>93</v>
      </c>
      <c r="O285" s="111" t="s">
        <v>966</v>
      </c>
      <c r="P285" s="111">
        <v>1992</v>
      </c>
      <c r="Q285" s="111">
        <v>1</v>
      </c>
      <c r="R285" s="111">
        <v>4</v>
      </c>
      <c r="S285" s="111">
        <v>0</v>
      </c>
      <c r="T285" s="111">
        <v>0</v>
      </c>
      <c r="U285" s="111">
        <v>0</v>
      </c>
      <c r="V285" s="111">
        <v>0</v>
      </c>
      <c r="W285" s="111">
        <v>0</v>
      </c>
      <c r="X285" s="111">
        <v>0</v>
      </c>
      <c r="Y285" s="111"/>
      <c r="Z285" s="111">
        <v>0</v>
      </c>
      <c r="AA285" s="111"/>
      <c r="AB285" s="111"/>
      <c r="AC285" s="111">
        <f t="shared" si="23"/>
        <v>0</v>
      </c>
      <c r="AD285" s="111"/>
      <c r="AE285" s="114"/>
      <c r="AG285" s="116"/>
    </row>
    <row r="286" spans="1:33" s="115" customFormat="1">
      <c r="A286" s="111">
        <f t="shared" si="26"/>
        <v>250</v>
      </c>
      <c r="B286" s="112" t="s">
        <v>34</v>
      </c>
      <c r="C286" s="111" t="s">
        <v>761</v>
      </c>
      <c r="D286" s="111" t="s">
        <v>967</v>
      </c>
      <c r="E286" s="111"/>
      <c r="F286" s="111" t="s">
        <v>37</v>
      </c>
      <c r="G286" s="113" t="s">
        <v>968</v>
      </c>
      <c r="H286" s="111" t="s">
        <v>246</v>
      </c>
      <c r="I286" s="111" t="s">
        <v>246</v>
      </c>
      <c r="J286" s="111" t="s">
        <v>969</v>
      </c>
      <c r="K286" s="111" t="s">
        <v>42</v>
      </c>
      <c r="L286" s="111">
        <v>100</v>
      </c>
      <c r="M286" s="111"/>
      <c r="N286" s="111" t="s">
        <v>424</v>
      </c>
      <c r="O286" s="111" t="s">
        <v>970</v>
      </c>
      <c r="P286" s="111" t="s">
        <v>737</v>
      </c>
      <c r="Q286" s="111">
        <v>1</v>
      </c>
      <c r="R286" s="111" t="s">
        <v>96</v>
      </c>
      <c r="S286" s="111">
        <v>0</v>
      </c>
      <c r="T286" s="111">
        <v>0</v>
      </c>
      <c r="U286" s="111">
        <v>0</v>
      </c>
      <c r="V286" s="111">
        <v>0</v>
      </c>
      <c r="W286" s="111">
        <v>0</v>
      </c>
      <c r="X286" s="111">
        <v>0</v>
      </c>
      <c r="Y286" s="111"/>
      <c r="Z286" s="111">
        <v>0</v>
      </c>
      <c r="AA286" s="111"/>
      <c r="AB286" s="111"/>
      <c r="AC286" s="111">
        <f t="shared" si="23"/>
        <v>0</v>
      </c>
      <c r="AD286" s="111"/>
      <c r="AE286" s="114" t="s">
        <v>971</v>
      </c>
      <c r="AG286" s="116" t="s">
        <v>972</v>
      </c>
    </row>
    <row r="287" spans="1:33" s="115" customFormat="1">
      <c r="A287" s="111">
        <f t="shared" si="26"/>
        <v>251</v>
      </c>
      <c r="B287" s="112" t="s">
        <v>34</v>
      </c>
      <c r="C287" s="111" t="s">
        <v>761</v>
      </c>
      <c r="D287" s="111" t="s">
        <v>973</v>
      </c>
      <c r="E287" s="111"/>
      <c r="F287" s="111" t="s">
        <v>37</v>
      </c>
      <c r="G287" s="113" t="s">
        <v>964</v>
      </c>
      <c r="H287" s="111" t="s">
        <v>246</v>
      </c>
      <c r="I287" s="111" t="s">
        <v>246</v>
      </c>
      <c r="J287" s="125" t="s">
        <v>974</v>
      </c>
      <c r="K287" s="111" t="s">
        <v>42</v>
      </c>
      <c r="L287" s="111">
        <v>160</v>
      </c>
      <c r="M287" s="111"/>
      <c r="N287" s="111" t="s">
        <v>93</v>
      </c>
      <c r="O287" s="111" t="s">
        <v>975</v>
      </c>
      <c r="P287" s="111">
        <v>2008</v>
      </c>
      <c r="Q287" s="111">
        <v>1</v>
      </c>
      <c r="R287" s="111">
        <v>3</v>
      </c>
      <c r="S287" s="111">
        <v>0</v>
      </c>
      <c r="T287" s="111">
        <v>0</v>
      </c>
      <c r="U287" s="111">
        <v>0</v>
      </c>
      <c r="V287" s="111">
        <v>0</v>
      </c>
      <c r="W287" s="111">
        <v>0</v>
      </c>
      <c r="X287" s="111">
        <v>0</v>
      </c>
      <c r="Y287" s="111"/>
      <c r="Z287" s="111">
        <v>0</v>
      </c>
      <c r="AA287" s="111"/>
      <c r="AB287" s="111"/>
      <c r="AC287" s="111">
        <f t="shared" si="23"/>
        <v>0</v>
      </c>
      <c r="AD287" s="111"/>
      <c r="AE287" s="114"/>
      <c r="AG287" s="116"/>
    </row>
    <row r="288" spans="1:33" s="115" customFormat="1">
      <c r="A288" s="111">
        <f t="shared" si="26"/>
        <v>252</v>
      </c>
      <c r="B288" s="112" t="s">
        <v>34</v>
      </c>
      <c r="C288" s="111" t="s">
        <v>761</v>
      </c>
      <c r="D288" s="111" t="s">
        <v>976</v>
      </c>
      <c r="E288" s="111"/>
      <c r="F288" s="111" t="s">
        <v>37</v>
      </c>
      <c r="G288" s="113" t="s">
        <v>977</v>
      </c>
      <c r="H288" s="111" t="s">
        <v>246</v>
      </c>
      <c r="I288" s="111" t="s">
        <v>246</v>
      </c>
      <c r="J288" s="125" t="s">
        <v>978</v>
      </c>
      <c r="K288" s="111" t="s">
        <v>42</v>
      </c>
      <c r="L288" s="111">
        <v>160</v>
      </c>
      <c r="M288" s="111"/>
      <c r="N288" s="111" t="s">
        <v>641</v>
      </c>
      <c r="O288" s="111">
        <v>20081076</v>
      </c>
      <c r="P288" s="111">
        <v>2008</v>
      </c>
      <c r="Q288" s="111">
        <v>1</v>
      </c>
      <c r="R288" s="111">
        <v>4</v>
      </c>
      <c r="S288" s="111">
        <v>0</v>
      </c>
      <c r="T288" s="111">
        <v>0</v>
      </c>
      <c r="U288" s="111">
        <v>0</v>
      </c>
      <c r="V288" s="111">
        <v>0</v>
      </c>
      <c r="W288" s="111">
        <v>0</v>
      </c>
      <c r="X288" s="111">
        <v>0</v>
      </c>
      <c r="Y288" s="111"/>
      <c r="Z288" s="111">
        <v>0</v>
      </c>
      <c r="AA288" s="111"/>
      <c r="AB288" s="111"/>
      <c r="AC288" s="111">
        <f t="shared" si="23"/>
        <v>0</v>
      </c>
      <c r="AD288" s="111"/>
      <c r="AE288" s="114"/>
      <c r="AG288" s="116"/>
    </row>
    <row r="289" spans="1:33" s="77" customFormat="1">
      <c r="A289" s="72">
        <f t="shared" si="26"/>
        <v>253</v>
      </c>
      <c r="B289" s="73" t="s">
        <v>34</v>
      </c>
      <c r="C289" s="72" t="s">
        <v>761</v>
      </c>
      <c r="D289" s="72" t="s">
        <v>979</v>
      </c>
      <c r="E289" s="72"/>
      <c r="F289" s="72" t="s">
        <v>63</v>
      </c>
      <c r="G289" s="74" t="s">
        <v>980</v>
      </c>
      <c r="H289" s="72" t="s">
        <v>246</v>
      </c>
      <c r="I289" s="72" t="s">
        <v>246</v>
      </c>
      <c r="J289" s="76">
        <v>1167</v>
      </c>
      <c r="K289" s="72" t="s">
        <v>42</v>
      </c>
      <c r="L289" s="72">
        <v>100</v>
      </c>
      <c r="M289" s="72"/>
      <c r="N289" s="72" t="s">
        <v>641</v>
      </c>
      <c r="O289" s="72" t="s">
        <v>981</v>
      </c>
      <c r="P289" s="72" t="s">
        <v>643</v>
      </c>
      <c r="Q289" s="72">
        <v>1</v>
      </c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>
        <f t="shared" si="23"/>
        <v>0</v>
      </c>
      <c r="AD289" s="72"/>
      <c r="AE289" s="76"/>
      <c r="AG289" s="78"/>
    </row>
    <row r="290" spans="1:33" s="115" customFormat="1">
      <c r="A290" s="111">
        <f t="shared" si="26"/>
        <v>254</v>
      </c>
      <c r="B290" s="112" t="s">
        <v>34</v>
      </c>
      <c r="C290" s="111" t="s">
        <v>761</v>
      </c>
      <c r="D290" s="111" t="s">
        <v>982</v>
      </c>
      <c r="E290" s="111"/>
      <c r="F290" s="111" t="s">
        <v>37</v>
      </c>
      <c r="G290" s="113" t="s">
        <v>983</v>
      </c>
      <c r="H290" s="111" t="s">
        <v>246</v>
      </c>
      <c r="I290" s="111" t="s">
        <v>246</v>
      </c>
      <c r="J290" s="114" t="s">
        <v>984</v>
      </c>
      <c r="K290" s="111" t="s">
        <v>42</v>
      </c>
      <c r="L290" s="111" t="s">
        <v>335</v>
      </c>
      <c r="M290" s="111"/>
      <c r="N290" s="111" t="s">
        <v>59</v>
      </c>
      <c r="O290" s="111" t="s">
        <v>985</v>
      </c>
      <c r="P290" s="111" t="s">
        <v>766</v>
      </c>
      <c r="Q290" s="111" t="s">
        <v>96</v>
      </c>
      <c r="R290" s="111" t="s">
        <v>84</v>
      </c>
      <c r="S290" s="111"/>
      <c r="T290" s="111"/>
      <c r="U290" s="111">
        <v>0</v>
      </c>
      <c r="V290" s="111">
        <v>0</v>
      </c>
      <c r="W290" s="111">
        <v>0</v>
      </c>
      <c r="X290" s="111">
        <v>0</v>
      </c>
      <c r="Y290" s="111"/>
      <c r="Z290" s="111">
        <v>0</v>
      </c>
      <c r="AA290" s="111"/>
      <c r="AB290" s="111"/>
      <c r="AC290" s="111">
        <v>0</v>
      </c>
      <c r="AD290" s="111"/>
      <c r="AE290" s="114" t="s">
        <v>986</v>
      </c>
      <c r="AG290" s="116" t="s">
        <v>986</v>
      </c>
    </row>
    <row r="291" spans="1:33" s="115" customFormat="1">
      <c r="A291" s="111">
        <f t="shared" si="26"/>
        <v>255</v>
      </c>
      <c r="B291" s="112" t="s">
        <v>34</v>
      </c>
      <c r="C291" s="111" t="s">
        <v>761</v>
      </c>
      <c r="D291" s="111" t="s">
        <v>987</v>
      </c>
      <c r="E291" s="111"/>
      <c r="F291" s="111" t="s">
        <v>37</v>
      </c>
      <c r="G291" s="113" t="s">
        <v>977</v>
      </c>
      <c r="H291" s="111" t="s">
        <v>246</v>
      </c>
      <c r="I291" s="111" t="s">
        <v>246</v>
      </c>
      <c r="J291" s="125" t="s">
        <v>988</v>
      </c>
      <c r="K291" s="111" t="s">
        <v>42</v>
      </c>
      <c r="L291" s="111">
        <v>160</v>
      </c>
      <c r="M291" s="111"/>
      <c r="N291" s="111" t="s">
        <v>93</v>
      </c>
      <c r="O291" s="111" t="s">
        <v>989</v>
      </c>
      <c r="P291" s="111">
        <v>2009</v>
      </c>
      <c r="Q291" s="111">
        <v>1</v>
      </c>
      <c r="R291" s="111">
        <v>2</v>
      </c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  <c r="AC291" s="111">
        <f t="shared" si="23"/>
        <v>0</v>
      </c>
      <c r="AD291" s="111"/>
      <c r="AE291" s="114"/>
      <c r="AG291" s="116"/>
    </row>
    <row r="292" spans="1:33" s="115" customFormat="1">
      <c r="A292" s="111">
        <f t="shared" si="26"/>
        <v>256</v>
      </c>
      <c r="B292" s="112" t="s">
        <v>34</v>
      </c>
      <c r="C292" s="111" t="s">
        <v>761</v>
      </c>
      <c r="D292" s="111" t="s">
        <v>990</v>
      </c>
      <c r="E292" s="111"/>
      <c r="F292" s="111" t="s">
        <v>37</v>
      </c>
      <c r="G292" s="113" t="s">
        <v>977</v>
      </c>
      <c r="H292" s="111" t="s">
        <v>246</v>
      </c>
      <c r="I292" s="111" t="s">
        <v>246</v>
      </c>
      <c r="J292" s="125" t="s">
        <v>991</v>
      </c>
      <c r="K292" s="111" t="s">
        <v>42</v>
      </c>
      <c r="L292" s="111">
        <v>160</v>
      </c>
      <c r="M292" s="111"/>
      <c r="N292" s="111" t="s">
        <v>93</v>
      </c>
      <c r="O292" s="111" t="s">
        <v>992</v>
      </c>
      <c r="P292" s="111">
        <v>2009</v>
      </c>
      <c r="Q292" s="111">
        <v>1</v>
      </c>
      <c r="R292" s="111">
        <v>2</v>
      </c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  <c r="AC292" s="111">
        <f t="shared" si="23"/>
        <v>0</v>
      </c>
      <c r="AD292" s="111"/>
      <c r="AE292" s="114"/>
      <c r="AG292" s="116"/>
    </row>
    <row r="293" spans="1:33" s="115" customFormat="1">
      <c r="A293" s="111">
        <f t="shared" si="26"/>
        <v>257</v>
      </c>
      <c r="B293" s="112" t="s">
        <v>34</v>
      </c>
      <c r="C293" s="111" t="s">
        <v>761</v>
      </c>
      <c r="D293" s="111" t="s">
        <v>993</v>
      </c>
      <c r="E293" s="111"/>
      <c r="F293" s="111" t="s">
        <v>37</v>
      </c>
      <c r="G293" s="113" t="s">
        <v>977</v>
      </c>
      <c r="H293" s="111" t="s">
        <v>246</v>
      </c>
      <c r="I293" s="111" t="s">
        <v>246</v>
      </c>
      <c r="J293" s="111" t="s">
        <v>994</v>
      </c>
      <c r="K293" s="111" t="s">
        <v>42</v>
      </c>
      <c r="L293" s="111" t="s">
        <v>69</v>
      </c>
      <c r="M293" s="111"/>
      <c r="N293" s="111" t="s">
        <v>93</v>
      </c>
      <c r="O293" s="111"/>
      <c r="P293" s="111" t="s">
        <v>737</v>
      </c>
      <c r="Q293" s="111" t="s">
        <v>96</v>
      </c>
      <c r="R293" s="111" t="s">
        <v>482</v>
      </c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  <c r="AC293" s="111"/>
      <c r="AD293" s="111"/>
      <c r="AE293" s="114"/>
      <c r="AG293" s="116"/>
    </row>
    <row r="294" spans="1:33" s="115" customFormat="1">
      <c r="A294" s="111">
        <f t="shared" si="26"/>
        <v>258</v>
      </c>
      <c r="B294" s="112" t="s">
        <v>34</v>
      </c>
      <c r="C294" s="111" t="s">
        <v>761</v>
      </c>
      <c r="D294" s="111" t="s">
        <v>995</v>
      </c>
      <c r="E294" s="111"/>
      <c r="F294" s="111" t="s">
        <v>63</v>
      </c>
      <c r="G294" s="113" t="s">
        <v>996</v>
      </c>
      <c r="H294" s="111" t="s">
        <v>246</v>
      </c>
      <c r="I294" s="111" t="s">
        <v>246</v>
      </c>
      <c r="J294" s="111"/>
      <c r="K294" s="111"/>
      <c r="L294" s="111">
        <v>250</v>
      </c>
      <c r="M294" s="111"/>
      <c r="N294" s="111" t="s">
        <v>59</v>
      </c>
      <c r="O294" s="111">
        <v>203303248</v>
      </c>
      <c r="P294" s="111">
        <v>2020</v>
      </c>
      <c r="Q294" s="111">
        <v>1</v>
      </c>
      <c r="R294" s="111">
        <v>4</v>
      </c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  <c r="AC294" s="111"/>
      <c r="AD294" s="111"/>
      <c r="AE294" s="114" t="s">
        <v>997</v>
      </c>
      <c r="AG294" s="116"/>
    </row>
    <row r="295" spans="1:33" s="115" customFormat="1" ht="15" customHeight="1">
      <c r="A295" s="111">
        <f t="shared" si="26"/>
        <v>259</v>
      </c>
      <c r="B295" s="112" t="s">
        <v>34</v>
      </c>
      <c r="C295" s="111" t="s">
        <v>761</v>
      </c>
      <c r="D295" s="111" t="s">
        <v>998</v>
      </c>
      <c r="E295" s="111"/>
      <c r="F295" s="111" t="s">
        <v>37</v>
      </c>
      <c r="G295" s="113" t="s">
        <v>999</v>
      </c>
      <c r="H295" s="111" t="s">
        <v>741</v>
      </c>
      <c r="I295" s="111" t="s">
        <v>741</v>
      </c>
      <c r="J295" s="125" t="s">
        <v>1000</v>
      </c>
      <c r="K295" s="111" t="s">
        <v>42</v>
      </c>
      <c r="L295" s="111">
        <v>160</v>
      </c>
      <c r="M295" s="111"/>
      <c r="N295" s="111" t="s">
        <v>59</v>
      </c>
      <c r="O295" s="111" t="s">
        <v>1001</v>
      </c>
      <c r="P295" s="111">
        <v>2010</v>
      </c>
      <c r="Q295" s="111">
        <v>1</v>
      </c>
      <c r="R295" s="111">
        <v>2</v>
      </c>
      <c r="S295" s="111">
        <v>0</v>
      </c>
      <c r="T295" s="111">
        <v>0</v>
      </c>
      <c r="U295" s="111">
        <v>0</v>
      </c>
      <c r="V295" s="111">
        <v>0</v>
      </c>
      <c r="W295" s="111">
        <v>0</v>
      </c>
      <c r="X295" s="111">
        <v>0</v>
      </c>
      <c r="Y295" s="111"/>
      <c r="Z295" s="111">
        <v>0</v>
      </c>
      <c r="AA295" s="111"/>
      <c r="AB295" s="111"/>
      <c r="AC295" s="111">
        <f t="shared" si="23"/>
        <v>0</v>
      </c>
      <c r="AD295" s="111"/>
      <c r="AE295" s="114"/>
      <c r="AG295" s="116"/>
    </row>
    <row r="296" spans="1:33" s="115" customFormat="1">
      <c r="A296" s="111">
        <f t="shared" si="26"/>
        <v>260</v>
      </c>
      <c r="B296" s="112" t="s">
        <v>34</v>
      </c>
      <c r="C296" s="111" t="s">
        <v>761</v>
      </c>
      <c r="D296" s="111" t="s">
        <v>1002</v>
      </c>
      <c r="E296" s="111"/>
      <c r="F296" s="111" t="s">
        <v>37</v>
      </c>
      <c r="G296" s="113" t="s">
        <v>999</v>
      </c>
      <c r="H296" s="111" t="s">
        <v>246</v>
      </c>
      <c r="I296" s="111" t="s">
        <v>246</v>
      </c>
      <c r="J296" s="111">
        <v>1327</v>
      </c>
      <c r="K296" s="111" t="s">
        <v>42</v>
      </c>
      <c r="L296" s="111">
        <v>100</v>
      </c>
      <c r="M296" s="111"/>
      <c r="N296" s="111" t="s">
        <v>93</v>
      </c>
      <c r="O296" s="111"/>
      <c r="P296" s="111">
        <v>2014</v>
      </c>
      <c r="Q296" s="111">
        <v>1</v>
      </c>
      <c r="R296" s="111">
        <v>2</v>
      </c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  <c r="AC296" s="111"/>
      <c r="AD296" s="111"/>
      <c r="AE296" s="114"/>
      <c r="AG296" s="116"/>
    </row>
    <row r="297" spans="1:33" s="115" customFormat="1">
      <c r="A297" s="111">
        <f t="shared" si="26"/>
        <v>261</v>
      </c>
      <c r="B297" s="112" t="s">
        <v>34</v>
      </c>
      <c r="C297" s="111" t="s">
        <v>761</v>
      </c>
      <c r="D297" s="127" t="s">
        <v>1003</v>
      </c>
      <c r="E297" s="128"/>
      <c r="F297" s="111" t="s">
        <v>63</v>
      </c>
      <c r="G297" s="113" t="s">
        <v>1004</v>
      </c>
      <c r="H297" s="111" t="s">
        <v>246</v>
      </c>
      <c r="I297" s="111" t="s">
        <v>246</v>
      </c>
      <c r="J297" s="114">
        <v>1006</v>
      </c>
      <c r="K297" s="111" t="s">
        <v>42</v>
      </c>
      <c r="L297" s="111">
        <v>160</v>
      </c>
      <c r="M297" s="111"/>
      <c r="N297" s="111" t="s">
        <v>59</v>
      </c>
      <c r="O297" s="111" t="s">
        <v>1005</v>
      </c>
      <c r="P297" s="111" t="s">
        <v>95</v>
      </c>
      <c r="Q297" s="111">
        <v>1</v>
      </c>
      <c r="R297" s="111"/>
      <c r="S297" s="111">
        <v>0</v>
      </c>
      <c r="T297" s="111">
        <v>0</v>
      </c>
      <c r="U297" s="111">
        <v>0</v>
      </c>
      <c r="V297" s="111">
        <v>0</v>
      </c>
      <c r="W297" s="111">
        <v>0</v>
      </c>
      <c r="X297" s="111">
        <v>0</v>
      </c>
      <c r="Y297" s="111"/>
      <c r="Z297" s="111">
        <v>0</v>
      </c>
      <c r="AA297" s="111"/>
      <c r="AB297" s="111"/>
      <c r="AC297" s="111">
        <f t="shared" si="23"/>
        <v>0</v>
      </c>
      <c r="AD297" s="111"/>
      <c r="AE297" s="114" t="s">
        <v>1006</v>
      </c>
      <c r="AG297" s="116" t="s">
        <v>1007</v>
      </c>
    </row>
    <row r="298" spans="1:33" s="115" customFormat="1">
      <c r="A298" s="111">
        <f t="shared" si="26"/>
        <v>262</v>
      </c>
      <c r="B298" s="112" t="s">
        <v>34</v>
      </c>
      <c r="C298" s="111" t="s">
        <v>761</v>
      </c>
      <c r="D298" s="127" t="s">
        <v>1008</v>
      </c>
      <c r="E298" s="128"/>
      <c r="F298" s="111" t="s">
        <v>63</v>
      </c>
      <c r="G298" s="113" t="s">
        <v>1009</v>
      </c>
      <c r="H298" s="111" t="s">
        <v>246</v>
      </c>
      <c r="I298" s="111" t="s">
        <v>246</v>
      </c>
      <c r="J298" s="114">
        <v>1060</v>
      </c>
      <c r="K298" s="111" t="s">
        <v>42</v>
      </c>
      <c r="L298" s="111">
        <v>250</v>
      </c>
      <c r="M298" s="111"/>
      <c r="N298" s="111" t="s">
        <v>82</v>
      </c>
      <c r="O298" s="111" t="s">
        <v>1010</v>
      </c>
      <c r="P298" s="111">
        <v>2012</v>
      </c>
      <c r="Q298" s="111">
        <v>1</v>
      </c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  <c r="AC298" s="111">
        <f t="shared" si="23"/>
        <v>0</v>
      </c>
      <c r="AD298" s="111"/>
      <c r="AE298" s="114" t="s">
        <v>1007</v>
      </c>
      <c r="AG298" s="116" t="s">
        <v>1007</v>
      </c>
    </row>
    <row r="299" spans="1:33" s="115" customFormat="1">
      <c r="A299" s="111">
        <f t="shared" si="26"/>
        <v>263</v>
      </c>
      <c r="B299" s="112" t="s">
        <v>34</v>
      </c>
      <c r="C299" s="111" t="s">
        <v>761</v>
      </c>
      <c r="D299" s="111" t="s">
        <v>1011</v>
      </c>
      <c r="E299" s="111"/>
      <c r="F299" s="111" t="s">
        <v>37</v>
      </c>
      <c r="G299" s="113" t="s">
        <v>1012</v>
      </c>
      <c r="H299" s="111" t="s">
        <v>246</v>
      </c>
      <c r="I299" s="111" t="s">
        <v>246</v>
      </c>
      <c r="J299" s="111">
        <v>1086</v>
      </c>
      <c r="K299" s="111" t="s">
        <v>42</v>
      </c>
      <c r="L299" s="111">
        <v>250</v>
      </c>
      <c r="M299" s="111"/>
      <c r="N299" s="111" t="s">
        <v>59</v>
      </c>
      <c r="O299" s="111" t="s">
        <v>1013</v>
      </c>
      <c r="P299" s="111">
        <v>2013</v>
      </c>
      <c r="Q299" s="111">
        <v>1</v>
      </c>
      <c r="R299" s="111">
        <f t="shared" ref="R299:R300" si="29">IF(H299="CANTOL",2,4)</f>
        <v>4</v>
      </c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  <c r="AC299" s="111">
        <f t="shared" si="23"/>
        <v>0</v>
      </c>
      <c r="AD299" s="111"/>
      <c r="AE299" s="114"/>
      <c r="AG299" s="116"/>
    </row>
    <row r="300" spans="1:33" s="115" customFormat="1">
      <c r="A300" s="111">
        <f t="shared" si="26"/>
        <v>264</v>
      </c>
      <c r="B300" s="112" t="s">
        <v>34</v>
      </c>
      <c r="C300" s="111" t="s">
        <v>761</v>
      </c>
      <c r="D300" s="111" t="s">
        <v>1014</v>
      </c>
      <c r="E300" s="111"/>
      <c r="F300" s="111" t="s">
        <v>37</v>
      </c>
      <c r="G300" s="113" t="s">
        <v>1015</v>
      </c>
      <c r="H300" s="111" t="s">
        <v>741</v>
      </c>
      <c r="I300" s="111" t="s">
        <v>741</v>
      </c>
      <c r="J300" s="114">
        <v>1082</v>
      </c>
      <c r="K300" s="111" t="s">
        <v>42</v>
      </c>
      <c r="L300" s="111">
        <v>160</v>
      </c>
      <c r="M300" s="111"/>
      <c r="N300" s="111" t="s">
        <v>641</v>
      </c>
      <c r="O300" s="111" t="s">
        <v>1016</v>
      </c>
      <c r="P300" s="111">
        <v>2013</v>
      </c>
      <c r="Q300" s="111">
        <v>1</v>
      </c>
      <c r="R300" s="111">
        <f t="shared" si="29"/>
        <v>2</v>
      </c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  <c r="AC300" s="111">
        <f t="shared" si="23"/>
        <v>0</v>
      </c>
      <c r="AD300" s="111"/>
      <c r="AE300" s="114"/>
      <c r="AG300" s="116"/>
    </row>
    <row r="301" spans="1:33" s="99" customFormat="1">
      <c r="A301" s="95">
        <f>A298+1</f>
        <v>263</v>
      </c>
      <c r="B301" s="96" t="s">
        <v>34</v>
      </c>
      <c r="C301" s="95" t="s">
        <v>761</v>
      </c>
      <c r="D301" s="95" t="s">
        <v>1017</v>
      </c>
      <c r="E301" s="95"/>
      <c r="F301" s="95" t="s">
        <v>37</v>
      </c>
      <c r="G301" s="97" t="s">
        <v>1018</v>
      </c>
      <c r="H301" s="95" t="s">
        <v>246</v>
      </c>
      <c r="I301" s="95" t="s">
        <v>246</v>
      </c>
      <c r="J301" s="98" t="s">
        <v>1019</v>
      </c>
      <c r="K301" s="95" t="s">
        <v>42</v>
      </c>
      <c r="L301" s="95">
        <v>100</v>
      </c>
      <c r="M301" s="95"/>
      <c r="N301" s="95" t="s">
        <v>757</v>
      </c>
      <c r="O301" s="95" t="s">
        <v>1020</v>
      </c>
      <c r="P301" s="95">
        <v>2021</v>
      </c>
      <c r="Q301" s="95" t="s">
        <v>96</v>
      </c>
      <c r="R301" s="95">
        <v>4</v>
      </c>
      <c r="S301" s="95"/>
      <c r="T301" s="95"/>
      <c r="U301" s="95"/>
      <c r="V301" s="95"/>
      <c r="W301" s="95"/>
      <c r="X301" s="95"/>
      <c r="Y301" s="95"/>
      <c r="Z301" s="95"/>
      <c r="AA301" s="95"/>
      <c r="AB301" s="95"/>
      <c r="AC301" s="95"/>
      <c r="AD301" s="95"/>
      <c r="AE301" s="98"/>
      <c r="AG301" s="100"/>
    </row>
    <row r="302" spans="1:33" s="99" customFormat="1">
      <c r="A302" s="95">
        <f>A299+1</f>
        <v>264</v>
      </c>
      <c r="B302" s="96" t="s">
        <v>34</v>
      </c>
      <c r="C302" s="95" t="s">
        <v>761</v>
      </c>
      <c r="D302" s="95" t="s">
        <v>1021</v>
      </c>
      <c r="E302" s="95"/>
      <c r="F302" s="95" t="s">
        <v>37</v>
      </c>
      <c r="G302" s="97" t="s">
        <v>1022</v>
      </c>
      <c r="H302" s="95" t="s">
        <v>246</v>
      </c>
      <c r="I302" s="95" t="s">
        <v>246</v>
      </c>
      <c r="J302" s="98"/>
      <c r="K302" s="95" t="s">
        <v>42</v>
      </c>
      <c r="L302" s="95">
        <v>100</v>
      </c>
      <c r="M302" s="95"/>
      <c r="N302" s="95" t="s">
        <v>340</v>
      </c>
      <c r="O302" s="95" t="s">
        <v>1023</v>
      </c>
      <c r="P302" s="95">
        <v>2024</v>
      </c>
      <c r="Q302" s="95" t="s">
        <v>96</v>
      </c>
      <c r="R302" s="95">
        <v>4</v>
      </c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5"/>
      <c r="AD302" s="95"/>
      <c r="AE302" s="98"/>
      <c r="AG302" s="100"/>
    </row>
    <row r="303" spans="1:33" s="14" customFormat="1">
      <c r="A303" s="10">
        <f>A300+1</f>
        <v>265</v>
      </c>
      <c r="B303" s="11" t="s">
        <v>34</v>
      </c>
      <c r="C303" s="10" t="s">
        <v>761</v>
      </c>
      <c r="D303" s="10" t="s">
        <v>1024</v>
      </c>
      <c r="E303" s="10"/>
      <c r="F303" s="10" t="s">
        <v>37</v>
      </c>
      <c r="G303" s="12" t="s">
        <v>1022</v>
      </c>
      <c r="H303" s="10" t="s">
        <v>246</v>
      </c>
      <c r="I303" s="10" t="s">
        <v>246</v>
      </c>
      <c r="J303" s="16"/>
      <c r="K303" s="10" t="s">
        <v>42</v>
      </c>
      <c r="L303" s="10">
        <v>160</v>
      </c>
      <c r="M303" s="10"/>
      <c r="N303" s="10" t="s">
        <v>641</v>
      </c>
      <c r="O303" s="10" t="s">
        <v>1025</v>
      </c>
      <c r="P303" s="10" t="s">
        <v>1026</v>
      </c>
      <c r="Q303" s="10" t="s">
        <v>96</v>
      </c>
      <c r="R303" s="10">
        <v>4</v>
      </c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6"/>
      <c r="AG303" s="17"/>
    </row>
    <row r="304" spans="1:33" s="14" customFormat="1">
      <c r="A304" s="10">
        <f t="shared" si="26"/>
        <v>266</v>
      </c>
      <c r="B304" s="11" t="s">
        <v>34</v>
      </c>
      <c r="C304" s="10" t="s">
        <v>761</v>
      </c>
      <c r="D304" s="10" t="s">
        <v>1027</v>
      </c>
      <c r="E304" s="10"/>
      <c r="F304" s="10" t="s">
        <v>37</v>
      </c>
      <c r="G304" s="12" t="s">
        <v>1028</v>
      </c>
      <c r="H304" s="10" t="s">
        <v>246</v>
      </c>
      <c r="I304" s="10" t="s">
        <v>246</v>
      </c>
      <c r="J304" s="16" t="s">
        <v>1029</v>
      </c>
      <c r="K304" s="10" t="s">
        <v>42</v>
      </c>
      <c r="L304" s="10">
        <v>160</v>
      </c>
      <c r="M304" s="10"/>
      <c r="N304" s="10" t="s">
        <v>641</v>
      </c>
      <c r="O304" s="10" t="s">
        <v>1030</v>
      </c>
      <c r="P304" s="10" t="s">
        <v>95</v>
      </c>
      <c r="Q304" s="10" t="s">
        <v>96</v>
      </c>
      <c r="R304" s="10" t="s">
        <v>84</v>
      </c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6" t="s">
        <v>1031</v>
      </c>
      <c r="AG304" s="17" t="s">
        <v>1031</v>
      </c>
    </row>
    <row r="305" spans="1:33" s="14" customFormat="1">
      <c r="A305" s="10">
        <f t="shared" si="26"/>
        <v>267</v>
      </c>
      <c r="B305" s="11" t="s">
        <v>34</v>
      </c>
      <c r="C305" s="10" t="s">
        <v>761</v>
      </c>
      <c r="D305" s="10" t="s">
        <v>1032</v>
      </c>
      <c r="E305" s="10"/>
      <c r="F305" s="10" t="s">
        <v>37</v>
      </c>
      <c r="G305" s="12" t="s">
        <v>1033</v>
      </c>
      <c r="H305" s="10" t="s">
        <v>246</v>
      </c>
      <c r="I305" s="10" t="s">
        <v>246</v>
      </c>
      <c r="J305" s="16" t="s">
        <v>1034</v>
      </c>
      <c r="K305" s="10" t="s">
        <v>42</v>
      </c>
      <c r="L305" s="10">
        <v>250</v>
      </c>
      <c r="M305" s="10"/>
      <c r="N305" s="10" t="s">
        <v>93</v>
      </c>
      <c r="O305" s="10" t="s">
        <v>1035</v>
      </c>
      <c r="P305" s="10" t="s">
        <v>766</v>
      </c>
      <c r="Q305" s="10" t="s">
        <v>96</v>
      </c>
      <c r="R305" s="10" t="s">
        <v>482</v>
      </c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6" t="s">
        <v>1036</v>
      </c>
      <c r="AG305" s="17" t="s">
        <v>1036</v>
      </c>
    </row>
    <row r="306" spans="1:33" s="115" customFormat="1">
      <c r="A306" s="111">
        <f t="shared" si="26"/>
        <v>268</v>
      </c>
      <c r="B306" s="112" t="s">
        <v>34</v>
      </c>
      <c r="C306" s="111" t="s">
        <v>761</v>
      </c>
      <c r="D306" s="111" t="s">
        <v>1037</v>
      </c>
      <c r="E306" s="111"/>
      <c r="F306" s="111" t="s">
        <v>37</v>
      </c>
      <c r="G306" s="113" t="s">
        <v>1038</v>
      </c>
      <c r="H306" s="111" t="s">
        <v>246</v>
      </c>
      <c r="I306" s="111" t="s">
        <v>246</v>
      </c>
      <c r="J306" s="114" t="s">
        <v>1039</v>
      </c>
      <c r="K306" s="111" t="s">
        <v>42</v>
      </c>
      <c r="L306" s="111">
        <v>200</v>
      </c>
      <c r="M306" s="111"/>
      <c r="N306" s="111" t="s">
        <v>93</v>
      </c>
      <c r="O306" s="111" t="s">
        <v>838</v>
      </c>
      <c r="P306" s="111" t="s">
        <v>255</v>
      </c>
      <c r="Q306" s="111" t="s">
        <v>96</v>
      </c>
      <c r="R306" s="111" t="s">
        <v>84</v>
      </c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  <c r="AC306" s="111"/>
      <c r="AD306" s="111"/>
      <c r="AE306" s="114" t="s">
        <v>1040</v>
      </c>
      <c r="AG306" s="116" t="s">
        <v>1036</v>
      </c>
    </row>
    <row r="307" spans="1:33" s="14" customFormat="1">
      <c r="A307" s="10">
        <f t="shared" si="26"/>
        <v>269</v>
      </c>
      <c r="B307" s="11" t="s">
        <v>738</v>
      </c>
      <c r="C307" s="10" t="s">
        <v>1041</v>
      </c>
      <c r="D307" s="10" t="s">
        <v>1042</v>
      </c>
      <c r="E307" s="10"/>
      <c r="F307" s="10" t="s">
        <v>37</v>
      </c>
      <c r="G307" s="12" t="s">
        <v>1043</v>
      </c>
      <c r="H307" s="10" t="s">
        <v>246</v>
      </c>
      <c r="I307" s="10" t="s">
        <v>246</v>
      </c>
      <c r="J307" s="13" t="s">
        <v>1044</v>
      </c>
      <c r="K307" s="10" t="s">
        <v>42</v>
      </c>
      <c r="L307" s="10">
        <v>400</v>
      </c>
      <c r="M307" s="10"/>
      <c r="N307" s="10" t="s">
        <v>1045</v>
      </c>
      <c r="O307" s="10" t="s">
        <v>1046</v>
      </c>
      <c r="P307" s="10">
        <v>2015</v>
      </c>
      <c r="Q307" s="10">
        <v>1</v>
      </c>
      <c r="R307" s="10">
        <v>4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/>
      <c r="Z307" s="10">
        <v>0</v>
      </c>
      <c r="AA307" s="10"/>
      <c r="AB307" s="10"/>
      <c r="AC307" s="10">
        <f t="shared" si="23"/>
        <v>0</v>
      </c>
      <c r="AD307" s="10"/>
      <c r="AE307" s="16"/>
      <c r="AG307" s="17"/>
    </row>
    <row r="308" spans="1:33" s="14" customFormat="1">
      <c r="A308" s="10">
        <f t="shared" si="26"/>
        <v>270</v>
      </c>
      <c r="B308" s="11" t="s">
        <v>738</v>
      </c>
      <c r="C308" s="10" t="s">
        <v>1041</v>
      </c>
      <c r="D308" s="10" t="s">
        <v>1047</v>
      </c>
      <c r="E308" s="10"/>
      <c r="F308" s="10" t="s">
        <v>37</v>
      </c>
      <c r="G308" s="12" t="s">
        <v>1048</v>
      </c>
      <c r="H308" s="10" t="s">
        <v>246</v>
      </c>
      <c r="I308" s="10" t="s">
        <v>246</v>
      </c>
      <c r="J308" s="13" t="s">
        <v>1049</v>
      </c>
      <c r="K308" s="10" t="s">
        <v>42</v>
      </c>
      <c r="L308" s="10">
        <v>250</v>
      </c>
      <c r="M308" s="10"/>
      <c r="N308" s="10" t="s">
        <v>59</v>
      </c>
      <c r="O308" s="10">
        <v>233309655</v>
      </c>
      <c r="P308" s="10">
        <v>2023</v>
      </c>
      <c r="Q308" s="10">
        <v>1</v>
      </c>
      <c r="R308" s="10">
        <v>4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/>
      <c r="Z308" s="10">
        <v>0</v>
      </c>
      <c r="AA308" s="10"/>
      <c r="AB308" s="10"/>
      <c r="AC308" s="10">
        <f t="shared" si="23"/>
        <v>0</v>
      </c>
      <c r="AD308" s="10"/>
      <c r="AE308" s="16" t="s">
        <v>1050</v>
      </c>
      <c r="AG308" s="17"/>
    </row>
    <row r="309" spans="1:33" s="99" customFormat="1">
      <c r="A309" s="95">
        <f t="shared" si="26"/>
        <v>271</v>
      </c>
      <c r="B309" s="96" t="s">
        <v>738</v>
      </c>
      <c r="C309" s="95" t="s">
        <v>1041</v>
      </c>
      <c r="D309" s="95" t="s">
        <v>1051</v>
      </c>
      <c r="E309" s="95"/>
      <c r="F309" s="95" t="s">
        <v>37</v>
      </c>
      <c r="G309" s="97" t="s">
        <v>1048</v>
      </c>
      <c r="H309" s="95" t="s">
        <v>741</v>
      </c>
      <c r="I309" s="95" t="s">
        <v>741</v>
      </c>
      <c r="J309" s="105" t="s">
        <v>1052</v>
      </c>
      <c r="K309" s="95" t="s">
        <v>42</v>
      </c>
      <c r="L309" s="95">
        <v>160</v>
      </c>
      <c r="M309" s="95"/>
      <c r="N309" s="129" t="s">
        <v>1053</v>
      </c>
      <c r="O309" s="129" t="s">
        <v>1054</v>
      </c>
      <c r="P309" s="130">
        <v>2025</v>
      </c>
      <c r="Q309" s="130">
        <v>1</v>
      </c>
      <c r="R309" s="130">
        <v>2</v>
      </c>
      <c r="S309" s="130">
        <v>0</v>
      </c>
      <c r="T309" s="130">
        <v>0</v>
      </c>
      <c r="U309" s="130">
        <v>0</v>
      </c>
      <c r="V309" s="130">
        <v>0</v>
      </c>
      <c r="W309" s="130">
        <v>0</v>
      </c>
      <c r="X309" s="130">
        <v>0</v>
      </c>
      <c r="Y309" s="130"/>
      <c r="Z309" s="130">
        <v>0</v>
      </c>
      <c r="AA309" s="130"/>
      <c r="AB309" s="130"/>
      <c r="AC309" s="130">
        <f t="shared" si="23"/>
        <v>0</v>
      </c>
      <c r="AD309" s="130"/>
      <c r="AE309" s="131"/>
      <c r="AG309" s="132"/>
    </row>
    <row r="310" spans="1:33" s="14" customFormat="1">
      <c r="A310" s="133">
        <f t="shared" si="26"/>
        <v>272</v>
      </c>
      <c r="B310" s="11" t="s">
        <v>738</v>
      </c>
      <c r="C310" s="133" t="s">
        <v>1041</v>
      </c>
      <c r="D310" s="133" t="s">
        <v>1055</v>
      </c>
      <c r="E310" s="133"/>
      <c r="F310" s="133" t="s">
        <v>37</v>
      </c>
      <c r="G310" s="134" t="s">
        <v>1056</v>
      </c>
      <c r="H310" s="133" t="s">
        <v>246</v>
      </c>
      <c r="I310" s="133" t="s">
        <v>246</v>
      </c>
      <c r="J310" s="135" t="s">
        <v>1057</v>
      </c>
      <c r="K310" s="133" t="s">
        <v>42</v>
      </c>
      <c r="L310" s="133">
        <v>250</v>
      </c>
      <c r="M310" s="133"/>
      <c r="N310" s="133" t="s">
        <v>424</v>
      </c>
      <c r="O310" s="133" t="s">
        <v>1058</v>
      </c>
      <c r="P310" s="133">
        <v>2006</v>
      </c>
      <c r="Q310" s="133">
        <v>1</v>
      </c>
      <c r="R310" s="133">
        <v>4</v>
      </c>
      <c r="S310" s="133">
        <v>0</v>
      </c>
      <c r="T310" s="133">
        <v>0</v>
      </c>
      <c r="U310" s="133">
        <v>0</v>
      </c>
      <c r="V310" s="133">
        <v>0</v>
      </c>
      <c r="W310" s="133">
        <v>0</v>
      </c>
      <c r="X310" s="133">
        <v>0</v>
      </c>
      <c r="Y310" s="133"/>
      <c r="Z310" s="133">
        <v>0</v>
      </c>
      <c r="AA310" s="133"/>
      <c r="AB310" s="133"/>
      <c r="AC310" s="133">
        <f t="shared" si="23"/>
        <v>0</v>
      </c>
      <c r="AD310" s="133"/>
      <c r="AE310" s="136"/>
      <c r="AG310" s="137"/>
    </row>
    <row r="311" spans="1:33" s="14" customFormat="1">
      <c r="A311" s="133">
        <f t="shared" si="26"/>
        <v>273</v>
      </c>
      <c r="B311" s="11" t="s">
        <v>738</v>
      </c>
      <c r="C311" s="133" t="s">
        <v>1041</v>
      </c>
      <c r="D311" s="133" t="s">
        <v>1059</v>
      </c>
      <c r="E311" s="133"/>
      <c r="F311" s="133" t="s">
        <v>37</v>
      </c>
      <c r="G311" s="134" t="s">
        <v>1060</v>
      </c>
      <c r="H311" s="133" t="s">
        <v>741</v>
      </c>
      <c r="I311" s="133" t="s">
        <v>741</v>
      </c>
      <c r="J311" s="133">
        <v>1027</v>
      </c>
      <c r="K311" s="133" t="s">
        <v>42</v>
      </c>
      <c r="L311" s="133">
        <v>200</v>
      </c>
      <c r="M311" s="133"/>
      <c r="N311" s="133" t="s">
        <v>43</v>
      </c>
      <c r="O311" s="138" t="s">
        <v>1061</v>
      </c>
      <c r="P311" s="133">
        <v>1997</v>
      </c>
      <c r="Q311" s="133">
        <v>1</v>
      </c>
      <c r="R311" s="133">
        <f>IF(H311="CANTOL",2,4)</f>
        <v>2</v>
      </c>
      <c r="S311" s="133">
        <v>0</v>
      </c>
      <c r="T311" s="133">
        <v>0</v>
      </c>
      <c r="U311" s="133">
        <v>0</v>
      </c>
      <c r="V311" s="133">
        <v>0</v>
      </c>
      <c r="W311" s="133">
        <v>0</v>
      </c>
      <c r="X311" s="133">
        <v>0</v>
      </c>
      <c r="Y311" s="133"/>
      <c r="Z311" s="133">
        <v>0</v>
      </c>
      <c r="AA311" s="133"/>
      <c r="AB311" s="133"/>
      <c r="AC311" s="133">
        <f t="shared" si="23"/>
        <v>0</v>
      </c>
      <c r="AD311" s="133"/>
      <c r="AE311" s="136"/>
      <c r="AG311" s="137"/>
    </row>
    <row r="312" spans="1:33" s="99" customFormat="1">
      <c r="A312" s="130">
        <f>A310+1</f>
        <v>273</v>
      </c>
      <c r="B312" s="96" t="s">
        <v>738</v>
      </c>
      <c r="C312" s="130" t="s">
        <v>1041</v>
      </c>
      <c r="D312" s="130" t="s">
        <v>1062</v>
      </c>
      <c r="E312" s="130"/>
      <c r="F312" s="130" t="s">
        <v>37</v>
      </c>
      <c r="G312" s="139" t="s">
        <v>1063</v>
      </c>
      <c r="H312" s="130" t="s">
        <v>246</v>
      </c>
      <c r="I312" s="130" t="s">
        <v>246</v>
      </c>
      <c r="J312" s="140" t="s">
        <v>1064</v>
      </c>
      <c r="K312" s="130" t="s">
        <v>42</v>
      </c>
      <c r="L312" s="130">
        <v>250</v>
      </c>
      <c r="M312" s="130"/>
      <c r="N312" s="130" t="s">
        <v>43</v>
      </c>
      <c r="O312" s="130">
        <v>73410</v>
      </c>
      <c r="P312" s="130">
        <v>2001</v>
      </c>
      <c r="Q312" s="130">
        <v>1</v>
      </c>
      <c r="R312" s="130" t="s">
        <v>84</v>
      </c>
      <c r="S312" s="130">
        <v>0</v>
      </c>
      <c r="T312" s="130">
        <v>0</v>
      </c>
      <c r="U312" s="130">
        <v>0</v>
      </c>
      <c r="V312" s="130">
        <v>0</v>
      </c>
      <c r="W312" s="130">
        <v>0</v>
      </c>
      <c r="X312" s="130">
        <v>0</v>
      </c>
      <c r="Y312" s="130"/>
      <c r="Z312" s="130">
        <v>0</v>
      </c>
      <c r="AA312" s="130"/>
      <c r="AB312" s="130"/>
      <c r="AC312" s="130">
        <f t="shared" ref="AC312" si="30">SUM(U312:AB312)</f>
        <v>0</v>
      </c>
      <c r="AD312" s="130"/>
      <c r="AE312" s="131"/>
      <c r="AG312" s="132"/>
    </row>
    <row r="313" spans="1:33" s="14" customFormat="1">
      <c r="A313" s="133">
        <f>A310+1</f>
        <v>273</v>
      </c>
      <c r="B313" s="11" t="s">
        <v>738</v>
      </c>
      <c r="C313" s="133" t="s">
        <v>1041</v>
      </c>
      <c r="D313" s="133" t="s">
        <v>1065</v>
      </c>
      <c r="E313" s="133"/>
      <c r="F313" s="133" t="s">
        <v>37</v>
      </c>
      <c r="G313" s="134" t="s">
        <v>1066</v>
      </c>
      <c r="H313" s="133" t="s">
        <v>741</v>
      </c>
      <c r="I313" s="133" t="s">
        <v>741</v>
      </c>
      <c r="J313" s="133"/>
      <c r="K313" s="133" t="s">
        <v>42</v>
      </c>
      <c r="L313" s="133">
        <v>100</v>
      </c>
      <c r="M313" s="133"/>
      <c r="N313" s="133" t="s">
        <v>119</v>
      </c>
      <c r="O313" s="133" t="s">
        <v>1067</v>
      </c>
      <c r="P313" s="133">
        <v>2024</v>
      </c>
      <c r="Q313" s="133">
        <v>1</v>
      </c>
      <c r="R313" s="133">
        <v>2</v>
      </c>
      <c r="S313" s="133">
        <v>0</v>
      </c>
      <c r="T313" s="133">
        <v>0</v>
      </c>
      <c r="U313" s="133">
        <v>0</v>
      </c>
      <c r="V313" s="133">
        <v>0</v>
      </c>
      <c r="W313" s="133">
        <v>0</v>
      </c>
      <c r="X313" s="133">
        <v>0</v>
      </c>
      <c r="Y313" s="133"/>
      <c r="Z313" s="133">
        <v>0</v>
      </c>
      <c r="AA313" s="133"/>
      <c r="AB313" s="133"/>
      <c r="AC313" s="133">
        <f t="shared" ref="AC313:AC334" si="31">SUM(U313:AB313)</f>
        <v>0</v>
      </c>
      <c r="AD313" s="133"/>
      <c r="AE313" s="136" t="s">
        <v>1068</v>
      </c>
      <c r="AG313" s="137"/>
    </row>
    <row r="314" spans="1:33" s="93" customFormat="1">
      <c r="A314" s="141">
        <f>A311+1</f>
        <v>274</v>
      </c>
      <c r="B314" s="89" t="s">
        <v>738</v>
      </c>
      <c r="C314" s="141" t="s">
        <v>1041</v>
      </c>
      <c r="D314" s="141" t="s">
        <v>1069</v>
      </c>
      <c r="E314" s="141"/>
      <c r="F314" s="141" t="s">
        <v>63</v>
      </c>
      <c r="G314" s="142" t="s">
        <v>1070</v>
      </c>
      <c r="H314" s="141" t="s">
        <v>741</v>
      </c>
      <c r="I314" s="141" t="s">
        <v>741</v>
      </c>
      <c r="J314" s="141"/>
      <c r="K314" s="141" t="s">
        <v>42</v>
      </c>
      <c r="L314" s="141">
        <v>100</v>
      </c>
      <c r="M314" s="141"/>
      <c r="N314" s="141" t="s">
        <v>59</v>
      </c>
      <c r="O314" s="141">
        <v>-253305630</v>
      </c>
      <c r="P314" s="141">
        <v>2025</v>
      </c>
      <c r="Q314" s="141">
        <v>1</v>
      </c>
      <c r="R314" s="141">
        <v>2</v>
      </c>
      <c r="S314" s="141">
        <v>0</v>
      </c>
      <c r="T314" s="141">
        <v>0</v>
      </c>
      <c r="U314" s="141">
        <v>0</v>
      </c>
      <c r="V314" s="141">
        <v>0</v>
      </c>
      <c r="W314" s="141">
        <v>0</v>
      </c>
      <c r="X314" s="141">
        <v>0</v>
      </c>
      <c r="Y314" s="141"/>
      <c r="Z314" s="141">
        <v>0</v>
      </c>
      <c r="AA314" s="141"/>
      <c r="AB314" s="141"/>
      <c r="AC314" s="141">
        <f t="shared" si="31"/>
        <v>0</v>
      </c>
      <c r="AD314" s="141"/>
      <c r="AE314" s="143" t="s">
        <v>1068</v>
      </c>
      <c r="AG314" s="144"/>
    </row>
    <row r="315" spans="1:33" s="14" customFormat="1">
      <c r="A315" s="133">
        <f t="shared" si="26"/>
        <v>275</v>
      </c>
      <c r="B315" s="11" t="s">
        <v>738</v>
      </c>
      <c r="C315" s="133" t="s">
        <v>1041</v>
      </c>
      <c r="D315" s="133" t="s">
        <v>1071</v>
      </c>
      <c r="E315" s="133"/>
      <c r="F315" s="133" t="s">
        <v>37</v>
      </c>
      <c r="G315" s="134" t="s">
        <v>1072</v>
      </c>
      <c r="H315" s="133" t="s">
        <v>246</v>
      </c>
      <c r="I315" s="133" t="s">
        <v>246</v>
      </c>
      <c r="J315" s="133"/>
      <c r="K315" s="133" t="s">
        <v>42</v>
      </c>
      <c r="L315" s="133">
        <v>100</v>
      </c>
      <c r="M315" s="133"/>
      <c r="N315" s="133" t="s">
        <v>324</v>
      </c>
      <c r="O315" s="133" t="s">
        <v>1073</v>
      </c>
      <c r="P315" s="133">
        <v>2022</v>
      </c>
      <c r="Q315" s="133">
        <v>1</v>
      </c>
      <c r="R315" s="133">
        <v>2</v>
      </c>
      <c r="S315" s="133"/>
      <c r="T315" s="133"/>
      <c r="U315" s="133"/>
      <c r="V315" s="133"/>
      <c r="W315" s="133"/>
      <c r="X315" s="133"/>
      <c r="Y315" s="133"/>
      <c r="Z315" s="133"/>
      <c r="AA315" s="133"/>
      <c r="AB315" s="133"/>
      <c r="AC315" s="133"/>
      <c r="AD315" s="133"/>
      <c r="AE315" s="136" t="s">
        <v>1074</v>
      </c>
      <c r="AG315" s="137"/>
    </row>
    <row r="316" spans="1:33" s="14" customFormat="1">
      <c r="A316" s="133">
        <f t="shared" si="26"/>
        <v>276</v>
      </c>
      <c r="B316" s="11" t="s">
        <v>738</v>
      </c>
      <c r="C316" s="133" t="s">
        <v>1041</v>
      </c>
      <c r="D316" s="133" t="s">
        <v>1075</v>
      </c>
      <c r="E316" s="133"/>
      <c r="F316" s="133" t="s">
        <v>37</v>
      </c>
      <c r="G316" s="134" t="s">
        <v>1076</v>
      </c>
      <c r="H316" s="133" t="s">
        <v>246</v>
      </c>
      <c r="I316" s="133" t="s">
        <v>246</v>
      </c>
      <c r="J316" s="135" t="s">
        <v>1077</v>
      </c>
      <c r="K316" s="133" t="s">
        <v>42</v>
      </c>
      <c r="L316" s="145">
        <v>250</v>
      </c>
      <c r="M316" s="145"/>
      <c r="N316" s="145" t="s">
        <v>324</v>
      </c>
      <c r="O316" s="145" t="s">
        <v>1078</v>
      </c>
      <c r="P316" s="145" t="s">
        <v>255</v>
      </c>
      <c r="Q316" s="133">
        <v>1</v>
      </c>
      <c r="R316" s="133">
        <v>4</v>
      </c>
      <c r="S316" s="133">
        <v>0</v>
      </c>
      <c r="T316" s="133">
        <v>0</v>
      </c>
      <c r="U316" s="133">
        <v>0</v>
      </c>
      <c r="V316" s="133">
        <v>0</v>
      </c>
      <c r="W316" s="133">
        <v>0</v>
      </c>
      <c r="X316" s="133">
        <v>0</v>
      </c>
      <c r="Y316" s="133"/>
      <c r="Z316" s="133">
        <v>0</v>
      </c>
      <c r="AA316" s="133"/>
      <c r="AB316" s="133"/>
      <c r="AC316" s="133">
        <f t="shared" si="31"/>
        <v>0</v>
      </c>
      <c r="AD316" s="133"/>
      <c r="AE316" s="136"/>
      <c r="AG316" s="137"/>
    </row>
    <row r="317" spans="1:33" s="14" customFormat="1">
      <c r="A317" s="133">
        <f t="shared" si="26"/>
        <v>277</v>
      </c>
      <c r="B317" s="11" t="s">
        <v>738</v>
      </c>
      <c r="C317" s="133" t="s">
        <v>1041</v>
      </c>
      <c r="D317" s="133" t="s">
        <v>1079</v>
      </c>
      <c r="E317" s="133"/>
      <c r="F317" s="133" t="s">
        <v>37</v>
      </c>
      <c r="G317" s="134" t="s">
        <v>1080</v>
      </c>
      <c r="H317" s="133" t="s">
        <v>246</v>
      </c>
      <c r="I317" s="133" t="s">
        <v>246</v>
      </c>
      <c r="J317" s="133"/>
      <c r="K317" s="133" t="s">
        <v>42</v>
      </c>
      <c r="L317" s="145">
        <v>160</v>
      </c>
      <c r="M317" s="145"/>
      <c r="N317" s="145" t="s">
        <v>641</v>
      </c>
      <c r="O317" s="145" t="s">
        <v>1081</v>
      </c>
      <c r="P317" s="145" t="s">
        <v>405</v>
      </c>
      <c r="Q317" s="133">
        <v>1</v>
      </c>
      <c r="R317" s="133">
        <v>4</v>
      </c>
      <c r="S317" s="133">
        <v>0</v>
      </c>
      <c r="T317" s="133">
        <v>0</v>
      </c>
      <c r="U317" s="133">
        <v>0</v>
      </c>
      <c r="V317" s="133">
        <v>0</v>
      </c>
      <c r="W317" s="133">
        <v>0</v>
      </c>
      <c r="X317" s="133">
        <v>0</v>
      </c>
      <c r="Y317" s="133"/>
      <c r="Z317" s="133">
        <v>0</v>
      </c>
      <c r="AA317" s="133"/>
      <c r="AB317" s="133"/>
      <c r="AC317" s="133">
        <f t="shared" si="31"/>
        <v>0</v>
      </c>
      <c r="AD317" s="133"/>
      <c r="AE317" s="136" t="s">
        <v>1082</v>
      </c>
      <c r="AG317" s="137"/>
    </row>
    <row r="318" spans="1:33" s="14" customFormat="1">
      <c r="A318" s="133">
        <f t="shared" si="26"/>
        <v>278</v>
      </c>
      <c r="B318" s="11" t="s">
        <v>738</v>
      </c>
      <c r="C318" s="133" t="s">
        <v>1041</v>
      </c>
      <c r="D318" s="133" t="s">
        <v>1083</v>
      </c>
      <c r="E318" s="133"/>
      <c r="F318" s="133" t="s">
        <v>37</v>
      </c>
      <c r="G318" s="134" t="s">
        <v>1084</v>
      </c>
      <c r="H318" s="133" t="s">
        <v>741</v>
      </c>
      <c r="I318" s="133" t="s">
        <v>741</v>
      </c>
      <c r="J318" s="135" t="s">
        <v>1085</v>
      </c>
      <c r="K318" s="133" t="s">
        <v>42</v>
      </c>
      <c r="L318" s="133">
        <v>50</v>
      </c>
      <c r="M318" s="133"/>
      <c r="N318" s="133" t="s">
        <v>424</v>
      </c>
      <c r="O318" s="133" t="s">
        <v>1086</v>
      </c>
      <c r="P318" s="133">
        <v>2006</v>
      </c>
      <c r="Q318" s="133">
        <v>1</v>
      </c>
      <c r="R318" s="133">
        <v>2</v>
      </c>
      <c r="S318" s="133">
        <v>0</v>
      </c>
      <c r="T318" s="133">
        <v>0</v>
      </c>
      <c r="U318" s="133">
        <v>0</v>
      </c>
      <c r="V318" s="133">
        <v>0</v>
      </c>
      <c r="W318" s="133">
        <v>0</v>
      </c>
      <c r="X318" s="133">
        <v>0</v>
      </c>
      <c r="Y318" s="133"/>
      <c r="Z318" s="133">
        <v>0</v>
      </c>
      <c r="AA318" s="133"/>
      <c r="AB318" s="133"/>
      <c r="AC318" s="133">
        <f t="shared" si="31"/>
        <v>0</v>
      </c>
      <c r="AD318" s="133"/>
      <c r="AE318" s="136"/>
      <c r="AG318" s="137"/>
    </row>
    <row r="319" spans="1:33" s="14" customFormat="1">
      <c r="A319" s="133">
        <f t="shared" si="26"/>
        <v>279</v>
      </c>
      <c r="B319" s="11" t="s">
        <v>738</v>
      </c>
      <c r="C319" s="133" t="s">
        <v>1041</v>
      </c>
      <c r="D319" s="133" t="s">
        <v>1087</v>
      </c>
      <c r="E319" s="133"/>
      <c r="F319" s="133" t="s">
        <v>37</v>
      </c>
      <c r="G319" s="134" t="s">
        <v>540</v>
      </c>
      <c r="H319" s="133" t="s">
        <v>246</v>
      </c>
      <c r="I319" s="133" t="s">
        <v>246</v>
      </c>
      <c r="J319" s="135" t="s">
        <v>1088</v>
      </c>
      <c r="K319" s="133" t="s">
        <v>42</v>
      </c>
      <c r="L319" s="133">
        <v>250</v>
      </c>
      <c r="M319" s="133"/>
      <c r="N319" s="133" t="s">
        <v>424</v>
      </c>
      <c r="O319" s="133" t="s">
        <v>1089</v>
      </c>
      <c r="P319" s="133" t="s">
        <v>95</v>
      </c>
      <c r="Q319" s="133">
        <v>1</v>
      </c>
      <c r="R319" s="133" t="s">
        <v>337</v>
      </c>
      <c r="S319" s="133">
        <v>0</v>
      </c>
      <c r="T319" s="133">
        <v>0</v>
      </c>
      <c r="U319" s="133">
        <v>0</v>
      </c>
      <c r="V319" s="133">
        <v>0</v>
      </c>
      <c r="W319" s="133">
        <v>0</v>
      </c>
      <c r="X319" s="133">
        <v>0</v>
      </c>
      <c r="Y319" s="133"/>
      <c r="Z319" s="133">
        <v>0</v>
      </c>
      <c r="AA319" s="133"/>
      <c r="AB319" s="133"/>
      <c r="AC319" s="133">
        <f t="shared" si="31"/>
        <v>0</v>
      </c>
      <c r="AD319" s="133"/>
      <c r="AE319" s="136"/>
      <c r="AG319" s="137"/>
    </row>
    <row r="320" spans="1:33" s="14" customFormat="1">
      <c r="A320" s="133">
        <f t="shared" si="26"/>
        <v>280</v>
      </c>
      <c r="B320" s="11" t="s">
        <v>738</v>
      </c>
      <c r="C320" s="133" t="s">
        <v>1041</v>
      </c>
      <c r="D320" s="133" t="s">
        <v>1090</v>
      </c>
      <c r="E320" s="133"/>
      <c r="F320" s="133" t="s">
        <v>63</v>
      </c>
      <c r="G320" s="134" t="s">
        <v>1091</v>
      </c>
      <c r="H320" s="133" t="s">
        <v>39</v>
      </c>
      <c r="I320" s="133" t="s">
        <v>40</v>
      </c>
      <c r="J320" s="136">
        <v>1080</v>
      </c>
      <c r="K320" s="133" t="s">
        <v>42</v>
      </c>
      <c r="L320" s="133"/>
      <c r="M320" s="133">
        <v>1250</v>
      </c>
      <c r="N320" s="133"/>
      <c r="O320" s="133"/>
      <c r="P320" s="133"/>
      <c r="Q320" s="133"/>
      <c r="R320" s="133"/>
      <c r="S320" s="146" t="s">
        <v>958</v>
      </c>
      <c r="T320" s="147" t="s">
        <v>89</v>
      </c>
      <c r="U320" s="146">
        <v>1</v>
      </c>
      <c r="V320" s="146"/>
      <c r="W320" s="146">
        <v>1</v>
      </c>
      <c r="X320" s="133"/>
      <c r="Y320" s="133"/>
      <c r="Z320" s="133"/>
      <c r="AA320" s="133"/>
      <c r="AB320" s="133"/>
      <c r="AC320" s="133">
        <f t="shared" si="31"/>
        <v>2</v>
      </c>
      <c r="AD320" s="133"/>
      <c r="AE320" s="136"/>
      <c r="AG320" s="137"/>
    </row>
    <row r="321" spans="1:33" s="14" customFormat="1">
      <c r="A321" s="133">
        <f t="shared" si="26"/>
        <v>281</v>
      </c>
      <c r="B321" s="11" t="s">
        <v>738</v>
      </c>
      <c r="C321" s="133" t="s">
        <v>1041</v>
      </c>
      <c r="D321" s="133" t="s">
        <v>1092</v>
      </c>
      <c r="E321" s="133"/>
      <c r="F321" s="133" t="s">
        <v>63</v>
      </c>
      <c r="G321" s="134" t="s">
        <v>1091</v>
      </c>
      <c r="H321" s="133" t="s">
        <v>39</v>
      </c>
      <c r="I321" s="133" t="s">
        <v>1093</v>
      </c>
      <c r="J321" s="136"/>
      <c r="K321" s="133" t="s">
        <v>42</v>
      </c>
      <c r="L321" s="133"/>
      <c r="M321" s="133"/>
      <c r="N321" s="133"/>
      <c r="O321" s="133"/>
      <c r="P321" s="133"/>
      <c r="Q321" s="133"/>
      <c r="R321" s="133"/>
      <c r="S321" s="146" t="s">
        <v>958</v>
      </c>
      <c r="T321" s="147" t="s">
        <v>89</v>
      </c>
      <c r="U321" s="146">
        <v>1</v>
      </c>
      <c r="V321" s="146"/>
      <c r="W321" s="146">
        <v>1</v>
      </c>
      <c r="X321" s="133"/>
      <c r="Y321" s="133"/>
      <c r="Z321" s="133"/>
      <c r="AA321" s="133"/>
      <c r="AB321" s="133"/>
      <c r="AC321" s="133">
        <v>2</v>
      </c>
      <c r="AD321" s="133"/>
      <c r="AE321" s="136"/>
      <c r="AG321" s="137"/>
    </row>
    <row r="322" spans="1:33" s="14" customFormat="1">
      <c r="A322" s="133">
        <f t="shared" si="26"/>
        <v>282</v>
      </c>
      <c r="B322" s="11" t="s">
        <v>1094</v>
      </c>
      <c r="C322" s="133" t="s">
        <v>1042</v>
      </c>
      <c r="D322" s="133" t="s">
        <v>1095</v>
      </c>
      <c r="E322" s="133"/>
      <c r="F322" s="133" t="s">
        <v>37</v>
      </c>
      <c r="G322" s="134" t="s">
        <v>1096</v>
      </c>
      <c r="H322" s="133" t="s">
        <v>246</v>
      </c>
      <c r="I322" s="133" t="s">
        <v>246</v>
      </c>
      <c r="J322" s="135" t="s">
        <v>1097</v>
      </c>
      <c r="K322" s="133" t="s">
        <v>1098</v>
      </c>
      <c r="L322" s="133">
        <v>250</v>
      </c>
      <c r="M322" s="133"/>
      <c r="N322" s="133" t="s">
        <v>59</v>
      </c>
      <c r="O322" s="133">
        <v>193310544</v>
      </c>
      <c r="P322" s="133" t="s">
        <v>95</v>
      </c>
      <c r="Q322" s="133">
        <v>1</v>
      </c>
      <c r="R322" s="133">
        <v>4</v>
      </c>
      <c r="S322" s="133">
        <v>0</v>
      </c>
      <c r="T322" s="133">
        <v>0</v>
      </c>
      <c r="U322" s="133">
        <v>0</v>
      </c>
      <c r="V322" s="133">
        <v>0</v>
      </c>
      <c r="W322" s="133">
        <v>0</v>
      </c>
      <c r="X322" s="133">
        <v>0</v>
      </c>
      <c r="Y322" s="133"/>
      <c r="Z322" s="133">
        <v>0</v>
      </c>
      <c r="AA322" s="133"/>
      <c r="AB322" s="133"/>
      <c r="AC322" s="133">
        <f t="shared" si="31"/>
        <v>0</v>
      </c>
      <c r="AD322" s="133"/>
      <c r="AE322" s="136"/>
      <c r="AG322" s="137"/>
    </row>
    <row r="323" spans="1:33" s="14" customFormat="1">
      <c r="A323" s="133">
        <f t="shared" si="26"/>
        <v>283</v>
      </c>
      <c r="B323" s="11" t="s">
        <v>1094</v>
      </c>
      <c r="C323" s="133" t="s">
        <v>1042</v>
      </c>
      <c r="D323" s="133" t="s">
        <v>1099</v>
      </c>
      <c r="E323" s="133"/>
      <c r="F323" s="133" t="s">
        <v>37</v>
      </c>
      <c r="G323" s="134" t="s">
        <v>1100</v>
      </c>
      <c r="H323" s="133" t="s">
        <v>246</v>
      </c>
      <c r="I323" s="133" t="s">
        <v>246</v>
      </c>
      <c r="J323" s="135" t="s">
        <v>1097</v>
      </c>
      <c r="K323" s="133" t="s">
        <v>1098</v>
      </c>
      <c r="L323" s="133">
        <v>100</v>
      </c>
      <c r="M323" s="133"/>
      <c r="N323" s="133" t="s">
        <v>424</v>
      </c>
      <c r="O323" s="133" t="s">
        <v>1101</v>
      </c>
      <c r="P323" s="133" t="s">
        <v>1102</v>
      </c>
      <c r="Q323" s="133">
        <v>1</v>
      </c>
      <c r="R323" s="133">
        <v>2</v>
      </c>
      <c r="S323" s="133">
        <v>0</v>
      </c>
      <c r="T323" s="133">
        <v>0</v>
      </c>
      <c r="U323" s="133">
        <v>0</v>
      </c>
      <c r="V323" s="133">
        <v>0</v>
      </c>
      <c r="W323" s="133">
        <v>0</v>
      </c>
      <c r="X323" s="133">
        <v>0</v>
      </c>
      <c r="Y323" s="133"/>
      <c r="Z323" s="133">
        <v>0</v>
      </c>
      <c r="AA323" s="133"/>
      <c r="AB323" s="133"/>
      <c r="AC323" s="133">
        <f t="shared" si="31"/>
        <v>0</v>
      </c>
      <c r="AD323" s="133"/>
      <c r="AE323" s="136"/>
      <c r="AG323" s="137"/>
    </row>
    <row r="324" spans="1:33" s="14" customFormat="1">
      <c r="A324" s="133">
        <f t="shared" si="26"/>
        <v>284</v>
      </c>
      <c r="B324" s="11" t="s">
        <v>34</v>
      </c>
      <c r="C324" s="133" t="s">
        <v>1103</v>
      </c>
      <c r="D324" s="133" t="s">
        <v>1104</v>
      </c>
      <c r="E324" s="133"/>
      <c r="F324" s="133" t="s">
        <v>37</v>
      </c>
      <c r="G324" s="134" t="s">
        <v>1105</v>
      </c>
      <c r="H324" s="133" t="s">
        <v>246</v>
      </c>
      <c r="I324" s="133" t="s">
        <v>246</v>
      </c>
      <c r="J324" s="135" t="s">
        <v>1106</v>
      </c>
      <c r="K324" s="133" t="s">
        <v>42</v>
      </c>
      <c r="L324" s="133">
        <v>250</v>
      </c>
      <c r="M324" s="133"/>
      <c r="N324" s="133" t="s">
        <v>424</v>
      </c>
      <c r="O324" s="133" t="s">
        <v>1107</v>
      </c>
      <c r="P324" s="133" t="s">
        <v>95</v>
      </c>
      <c r="Q324" s="133">
        <v>1</v>
      </c>
      <c r="R324" s="133">
        <v>2</v>
      </c>
      <c r="S324" s="133">
        <v>0</v>
      </c>
      <c r="T324" s="133">
        <v>0</v>
      </c>
      <c r="U324" s="133">
        <v>0</v>
      </c>
      <c r="V324" s="133">
        <v>0</v>
      </c>
      <c r="W324" s="133">
        <v>0</v>
      </c>
      <c r="X324" s="133">
        <v>0</v>
      </c>
      <c r="Y324" s="133"/>
      <c r="Z324" s="133">
        <v>0</v>
      </c>
      <c r="AA324" s="133"/>
      <c r="AB324" s="133"/>
      <c r="AC324" s="133">
        <f t="shared" si="31"/>
        <v>0</v>
      </c>
      <c r="AD324" s="133"/>
      <c r="AE324" s="136"/>
      <c r="AG324" s="137"/>
    </row>
    <row r="325" spans="1:33" s="14" customFormat="1">
      <c r="A325" s="133">
        <v>275</v>
      </c>
      <c r="B325" s="11" t="s">
        <v>34</v>
      </c>
      <c r="C325" s="133" t="s">
        <v>1103</v>
      </c>
      <c r="D325" s="133" t="s">
        <v>1108</v>
      </c>
      <c r="E325" s="133"/>
      <c r="F325" s="133" t="s">
        <v>37</v>
      </c>
      <c r="G325" s="134" t="s">
        <v>1109</v>
      </c>
      <c r="H325" s="133" t="s">
        <v>246</v>
      </c>
      <c r="I325" s="133" t="s">
        <v>246</v>
      </c>
      <c r="J325" s="133"/>
      <c r="K325" s="133" t="s">
        <v>42</v>
      </c>
      <c r="L325" s="133">
        <v>250</v>
      </c>
      <c r="M325" s="133"/>
      <c r="N325" s="133" t="s">
        <v>641</v>
      </c>
      <c r="O325" s="133" t="s">
        <v>1110</v>
      </c>
      <c r="P325" s="133">
        <v>2020</v>
      </c>
      <c r="Q325" s="133">
        <v>1</v>
      </c>
      <c r="R325" s="133">
        <v>2</v>
      </c>
      <c r="S325" s="133"/>
      <c r="T325" s="133"/>
      <c r="U325" s="133"/>
      <c r="V325" s="133"/>
      <c r="W325" s="133"/>
      <c r="X325" s="133"/>
      <c r="Y325" s="133"/>
      <c r="Z325" s="133"/>
      <c r="AA325" s="133"/>
      <c r="AB325" s="133"/>
      <c r="AC325" s="133"/>
      <c r="AD325" s="133"/>
      <c r="AE325" s="136"/>
      <c r="AG325" s="137"/>
    </row>
    <row r="326" spans="1:33" s="14" customFormat="1">
      <c r="A326" s="133">
        <f t="shared" si="26"/>
        <v>276</v>
      </c>
      <c r="B326" s="11" t="s">
        <v>34</v>
      </c>
      <c r="C326" s="133" t="s">
        <v>1103</v>
      </c>
      <c r="D326" s="133" t="s">
        <v>1111</v>
      </c>
      <c r="E326" s="133"/>
      <c r="F326" s="133" t="s">
        <v>63</v>
      </c>
      <c r="G326" s="134" t="s">
        <v>1112</v>
      </c>
      <c r="H326" s="133" t="s">
        <v>741</v>
      </c>
      <c r="I326" s="133" t="s">
        <v>741</v>
      </c>
      <c r="J326" s="135" t="s">
        <v>1113</v>
      </c>
      <c r="K326" s="133" t="s">
        <v>1114</v>
      </c>
      <c r="L326" s="133">
        <v>100</v>
      </c>
      <c r="M326" s="133"/>
      <c r="N326" s="133" t="s">
        <v>424</v>
      </c>
      <c r="O326" s="133">
        <v>240300188</v>
      </c>
      <c r="P326" s="133">
        <v>2024</v>
      </c>
      <c r="Q326" s="133">
        <v>1</v>
      </c>
      <c r="R326" s="133">
        <v>2</v>
      </c>
      <c r="S326" s="133">
        <v>0</v>
      </c>
      <c r="T326" s="133">
        <v>0</v>
      </c>
      <c r="U326" s="133">
        <v>0</v>
      </c>
      <c r="V326" s="133">
        <v>0</v>
      </c>
      <c r="W326" s="133">
        <v>0</v>
      </c>
      <c r="X326" s="133">
        <v>0</v>
      </c>
      <c r="Y326" s="133"/>
      <c r="Z326" s="133">
        <v>0</v>
      </c>
      <c r="AA326" s="133"/>
      <c r="AB326" s="133"/>
      <c r="AC326" s="133">
        <f t="shared" si="31"/>
        <v>0</v>
      </c>
      <c r="AD326" s="133"/>
      <c r="AE326" s="136" t="s">
        <v>1115</v>
      </c>
      <c r="AG326" s="137"/>
    </row>
    <row r="327" spans="1:33" s="14" customFormat="1">
      <c r="A327" s="133">
        <f>A325+1</f>
        <v>276</v>
      </c>
      <c r="B327" s="11" t="s">
        <v>34</v>
      </c>
      <c r="C327" s="133" t="s">
        <v>1103</v>
      </c>
      <c r="D327" s="133" t="s">
        <v>1116</v>
      </c>
      <c r="E327" s="133"/>
      <c r="F327" s="133" t="s">
        <v>37</v>
      </c>
      <c r="G327" s="134" t="s">
        <v>1117</v>
      </c>
      <c r="H327" s="133" t="s">
        <v>246</v>
      </c>
      <c r="I327" s="133" t="s">
        <v>246</v>
      </c>
      <c r="J327" s="135" t="s">
        <v>1118</v>
      </c>
      <c r="K327" s="133" t="s">
        <v>42</v>
      </c>
      <c r="L327" s="133">
        <v>400</v>
      </c>
      <c r="M327" s="133"/>
      <c r="N327" s="133" t="s">
        <v>93</v>
      </c>
      <c r="O327" s="148">
        <v>1300011003097</v>
      </c>
      <c r="P327" s="133">
        <v>2015</v>
      </c>
      <c r="Q327" s="133">
        <v>1</v>
      </c>
      <c r="R327" s="133">
        <v>3</v>
      </c>
      <c r="S327" s="133">
        <v>0</v>
      </c>
      <c r="T327" s="133">
        <v>0</v>
      </c>
      <c r="U327" s="133">
        <v>0</v>
      </c>
      <c r="V327" s="133">
        <v>0</v>
      </c>
      <c r="W327" s="133">
        <v>0</v>
      </c>
      <c r="X327" s="133">
        <v>0</v>
      </c>
      <c r="Y327" s="133"/>
      <c r="Z327" s="133">
        <v>0</v>
      </c>
      <c r="AA327" s="133"/>
      <c r="AB327" s="133"/>
      <c r="AC327" s="133">
        <f t="shared" si="31"/>
        <v>0</v>
      </c>
      <c r="AD327" s="133"/>
      <c r="AE327" s="136"/>
      <c r="AG327" s="137"/>
    </row>
    <row r="328" spans="1:33" s="14" customFormat="1">
      <c r="A328" s="133">
        <f>A326+1</f>
        <v>277</v>
      </c>
      <c r="B328" s="11" t="s">
        <v>34</v>
      </c>
      <c r="C328" s="133" t="s">
        <v>1103</v>
      </c>
      <c r="D328" s="133" t="s">
        <v>1119</v>
      </c>
      <c r="E328" s="133"/>
      <c r="F328" s="133" t="s">
        <v>37</v>
      </c>
      <c r="G328" s="134" t="s">
        <v>1120</v>
      </c>
      <c r="H328" s="133" t="s">
        <v>246</v>
      </c>
      <c r="I328" s="133" t="s">
        <v>246</v>
      </c>
      <c r="J328" s="133"/>
      <c r="K328" s="133" t="s">
        <v>42</v>
      </c>
      <c r="L328" s="133">
        <v>250</v>
      </c>
      <c r="M328" s="133"/>
      <c r="N328" s="133" t="s">
        <v>797</v>
      </c>
      <c r="O328" s="148">
        <v>240601649</v>
      </c>
      <c r="P328" s="133">
        <v>2024</v>
      </c>
      <c r="Q328" s="133">
        <v>1</v>
      </c>
      <c r="R328" s="133">
        <v>3</v>
      </c>
      <c r="S328" s="133">
        <v>0</v>
      </c>
      <c r="T328" s="133">
        <v>0</v>
      </c>
      <c r="U328" s="133">
        <v>0</v>
      </c>
      <c r="V328" s="133">
        <v>0</v>
      </c>
      <c r="W328" s="133">
        <v>0</v>
      </c>
      <c r="X328" s="133">
        <v>0</v>
      </c>
      <c r="Y328" s="133"/>
      <c r="Z328" s="133">
        <v>0</v>
      </c>
      <c r="AA328" s="133"/>
      <c r="AB328" s="133"/>
      <c r="AC328" s="133">
        <f t="shared" si="31"/>
        <v>0</v>
      </c>
      <c r="AD328" s="133"/>
      <c r="AE328" s="136"/>
      <c r="AG328" s="137"/>
    </row>
    <row r="329" spans="1:33" s="14" customFormat="1">
      <c r="A329" s="133">
        <f t="shared" si="26"/>
        <v>278</v>
      </c>
      <c r="B329" s="11" t="s">
        <v>34</v>
      </c>
      <c r="C329" s="133" t="s">
        <v>1103</v>
      </c>
      <c r="D329" s="133" t="s">
        <v>1121</v>
      </c>
      <c r="E329" s="133"/>
      <c r="F329" s="133" t="s">
        <v>37</v>
      </c>
      <c r="G329" s="134" t="s">
        <v>1122</v>
      </c>
      <c r="H329" s="133" t="s">
        <v>246</v>
      </c>
      <c r="I329" s="133" t="s">
        <v>246</v>
      </c>
      <c r="J329" s="133" t="s">
        <v>1123</v>
      </c>
      <c r="K329" s="133" t="s">
        <v>42</v>
      </c>
      <c r="L329" s="133">
        <v>250</v>
      </c>
      <c r="M329" s="133"/>
      <c r="N329" s="133" t="s">
        <v>424</v>
      </c>
      <c r="O329" s="133" t="s">
        <v>1124</v>
      </c>
      <c r="P329" s="133" t="s">
        <v>95</v>
      </c>
      <c r="Q329" s="133">
        <v>1</v>
      </c>
      <c r="R329" s="133" t="s">
        <v>482</v>
      </c>
      <c r="S329" s="133">
        <v>0</v>
      </c>
      <c r="T329" s="133">
        <v>0</v>
      </c>
      <c r="U329" s="133">
        <v>0</v>
      </c>
      <c r="V329" s="133">
        <v>0</v>
      </c>
      <c r="W329" s="133">
        <v>0</v>
      </c>
      <c r="X329" s="133">
        <v>0</v>
      </c>
      <c r="Y329" s="133"/>
      <c r="Z329" s="133">
        <v>0</v>
      </c>
      <c r="AA329" s="133"/>
      <c r="AB329" s="133"/>
      <c r="AC329" s="133">
        <f t="shared" si="31"/>
        <v>0</v>
      </c>
      <c r="AD329" s="133"/>
      <c r="AE329" s="136"/>
      <c r="AG329" s="137"/>
    </row>
    <row r="330" spans="1:33" s="14" customFormat="1">
      <c r="A330" s="133">
        <f t="shared" si="26"/>
        <v>279</v>
      </c>
      <c r="B330" s="11" t="s">
        <v>34</v>
      </c>
      <c r="C330" s="133" t="s">
        <v>1103</v>
      </c>
      <c r="D330" s="133" t="s">
        <v>1125</v>
      </c>
      <c r="E330" s="133"/>
      <c r="F330" s="133" t="s">
        <v>37</v>
      </c>
      <c r="G330" s="134" t="s">
        <v>1126</v>
      </c>
      <c r="H330" s="133" t="s">
        <v>246</v>
      </c>
      <c r="I330" s="133" t="s">
        <v>246</v>
      </c>
      <c r="J330" s="135" t="s">
        <v>1127</v>
      </c>
      <c r="K330" s="133" t="s">
        <v>42</v>
      </c>
      <c r="L330" s="133">
        <v>160</v>
      </c>
      <c r="M330" s="133"/>
      <c r="N330" s="133" t="s">
        <v>93</v>
      </c>
      <c r="O330" s="133" t="s">
        <v>1128</v>
      </c>
      <c r="P330" s="133">
        <v>1986</v>
      </c>
      <c r="Q330" s="133">
        <v>1</v>
      </c>
      <c r="R330" s="133">
        <f>IF(H330="CANTOL",2,4)</f>
        <v>4</v>
      </c>
      <c r="S330" s="133">
        <v>0</v>
      </c>
      <c r="T330" s="133">
        <v>0</v>
      </c>
      <c r="U330" s="133">
        <v>0</v>
      </c>
      <c r="V330" s="133">
        <v>0</v>
      </c>
      <c r="W330" s="133">
        <v>0</v>
      </c>
      <c r="X330" s="133">
        <v>0</v>
      </c>
      <c r="Y330" s="133"/>
      <c r="Z330" s="133">
        <v>0</v>
      </c>
      <c r="AA330" s="133"/>
      <c r="AB330" s="133"/>
      <c r="AC330" s="133">
        <f t="shared" si="31"/>
        <v>0</v>
      </c>
      <c r="AD330" s="133"/>
      <c r="AE330" s="136"/>
      <c r="AG330" s="137"/>
    </row>
    <row r="331" spans="1:33" s="99" customFormat="1">
      <c r="A331" s="130">
        <f t="shared" si="26"/>
        <v>280</v>
      </c>
      <c r="B331" s="96" t="s">
        <v>34</v>
      </c>
      <c r="C331" s="130" t="s">
        <v>1103</v>
      </c>
      <c r="D331" s="130" t="s">
        <v>1129</v>
      </c>
      <c r="E331" s="130"/>
      <c r="F331" s="130" t="s">
        <v>37</v>
      </c>
      <c r="G331" s="139" t="s">
        <v>1130</v>
      </c>
      <c r="H331" s="130" t="s">
        <v>741</v>
      </c>
      <c r="I331" s="130" t="s">
        <v>741</v>
      </c>
      <c r="J331" s="130"/>
      <c r="K331" s="130" t="s">
        <v>42</v>
      </c>
      <c r="L331" s="130">
        <v>160</v>
      </c>
      <c r="M331" s="130"/>
      <c r="N331" s="130" t="s">
        <v>797</v>
      </c>
      <c r="O331" s="130">
        <v>2504010429</v>
      </c>
      <c r="P331" s="130">
        <v>2025</v>
      </c>
      <c r="Q331" s="130" t="s">
        <v>96</v>
      </c>
      <c r="R331" s="130">
        <v>3</v>
      </c>
      <c r="S331" s="130"/>
      <c r="T331" s="130"/>
      <c r="U331" s="130"/>
      <c r="V331" s="130"/>
      <c r="W331" s="130"/>
      <c r="X331" s="130"/>
      <c r="Y331" s="130"/>
      <c r="Z331" s="130"/>
      <c r="AA331" s="130"/>
      <c r="AB331" s="130"/>
      <c r="AC331" s="130"/>
      <c r="AD331" s="130"/>
      <c r="AE331" s="131" t="s">
        <v>1131</v>
      </c>
      <c r="AG331" s="132"/>
    </row>
    <row r="332" spans="1:33" s="99" customFormat="1">
      <c r="A332" s="130">
        <f>A330+1</f>
        <v>280</v>
      </c>
      <c r="B332" s="96" t="s">
        <v>34</v>
      </c>
      <c r="C332" s="130" t="s">
        <v>1103</v>
      </c>
      <c r="D332" s="130" t="s">
        <v>1132</v>
      </c>
      <c r="E332" s="130"/>
      <c r="F332" s="130" t="s">
        <v>37</v>
      </c>
      <c r="G332" s="139" t="s">
        <v>1133</v>
      </c>
      <c r="H332" s="130" t="s">
        <v>246</v>
      </c>
      <c r="I332" s="130" t="s">
        <v>246</v>
      </c>
      <c r="J332" s="130"/>
      <c r="K332" s="130" t="s">
        <v>42</v>
      </c>
      <c r="L332" s="130">
        <v>100</v>
      </c>
      <c r="M332" s="130"/>
      <c r="N332" s="130" t="s">
        <v>93</v>
      </c>
      <c r="O332" s="130" t="s">
        <v>1134</v>
      </c>
      <c r="P332" s="130" t="s">
        <v>1135</v>
      </c>
      <c r="Q332" s="130" t="s">
        <v>96</v>
      </c>
      <c r="R332" s="130">
        <v>2</v>
      </c>
      <c r="S332" s="130"/>
      <c r="T332" s="130"/>
      <c r="U332" s="130"/>
      <c r="V332" s="130"/>
      <c r="W332" s="130"/>
      <c r="X332" s="130"/>
      <c r="Y332" s="130"/>
      <c r="Z332" s="130"/>
      <c r="AA332" s="130"/>
      <c r="AB332" s="130"/>
      <c r="AC332" s="130"/>
      <c r="AD332" s="130"/>
      <c r="AE332" s="131" t="s">
        <v>1136</v>
      </c>
      <c r="AG332" s="132"/>
    </row>
    <row r="333" spans="1:33" s="99" customFormat="1">
      <c r="A333" s="130">
        <f>A331+1</f>
        <v>281</v>
      </c>
      <c r="B333" s="96" t="s">
        <v>34</v>
      </c>
      <c r="C333" s="130" t="s">
        <v>1103</v>
      </c>
      <c r="D333" s="130" t="s">
        <v>1137</v>
      </c>
      <c r="E333" s="130"/>
      <c r="F333" s="130" t="s">
        <v>37</v>
      </c>
      <c r="G333" s="139" t="s">
        <v>1138</v>
      </c>
      <c r="H333" s="130" t="s">
        <v>246</v>
      </c>
      <c r="I333" s="130" t="s">
        <v>741</v>
      </c>
      <c r="J333" s="130"/>
      <c r="K333" s="130" t="s">
        <v>42</v>
      </c>
      <c r="L333" s="130">
        <v>100</v>
      </c>
      <c r="M333" s="130"/>
      <c r="N333" s="130" t="s">
        <v>1139</v>
      </c>
      <c r="O333" s="130">
        <v>2510020121</v>
      </c>
      <c r="P333" s="130">
        <v>2025</v>
      </c>
      <c r="Q333" s="130" t="s">
        <v>96</v>
      </c>
      <c r="R333" s="130">
        <v>2</v>
      </c>
      <c r="S333" s="130"/>
      <c r="T333" s="130"/>
      <c r="U333" s="130"/>
      <c r="V333" s="130"/>
      <c r="W333" s="130"/>
      <c r="X333" s="130"/>
      <c r="Y333" s="130"/>
      <c r="Z333" s="130"/>
      <c r="AA333" s="130"/>
      <c r="AB333" s="130"/>
      <c r="AC333" s="130"/>
      <c r="AD333" s="130"/>
      <c r="AE333" s="131" t="s">
        <v>1136</v>
      </c>
      <c r="AG333" s="132"/>
    </row>
    <row r="334" spans="1:33" s="99" customFormat="1">
      <c r="A334" s="130">
        <f t="shared" si="26"/>
        <v>282</v>
      </c>
      <c r="B334" s="96" t="s">
        <v>34</v>
      </c>
      <c r="C334" s="130" t="s">
        <v>1103</v>
      </c>
      <c r="D334" s="130" t="s">
        <v>1140</v>
      </c>
      <c r="E334" s="130"/>
      <c r="F334" s="130" t="s">
        <v>37</v>
      </c>
      <c r="G334" s="139" t="s">
        <v>1141</v>
      </c>
      <c r="H334" s="130" t="s">
        <v>246</v>
      </c>
      <c r="I334" s="130" t="s">
        <v>246</v>
      </c>
      <c r="J334" s="140" t="s">
        <v>1142</v>
      </c>
      <c r="K334" s="130" t="s">
        <v>42</v>
      </c>
      <c r="L334" s="130">
        <v>100</v>
      </c>
      <c r="M334" s="130"/>
      <c r="N334" s="130" t="s">
        <v>1143</v>
      </c>
      <c r="O334" s="130" t="s">
        <v>1144</v>
      </c>
      <c r="P334" s="130">
        <v>1984</v>
      </c>
      <c r="Q334" s="130">
        <v>1</v>
      </c>
      <c r="R334" s="130">
        <v>2</v>
      </c>
      <c r="S334" s="130">
        <v>0</v>
      </c>
      <c r="T334" s="130">
        <v>0</v>
      </c>
      <c r="U334" s="130">
        <v>0</v>
      </c>
      <c r="V334" s="130">
        <v>0</v>
      </c>
      <c r="W334" s="130">
        <v>0</v>
      </c>
      <c r="X334" s="130">
        <v>0</v>
      </c>
      <c r="Y334" s="130"/>
      <c r="Z334" s="130">
        <v>0</v>
      </c>
      <c r="AA334" s="130"/>
      <c r="AB334" s="130"/>
      <c r="AC334" s="130">
        <f t="shared" si="31"/>
        <v>0</v>
      </c>
      <c r="AD334" s="130"/>
      <c r="AE334" s="131"/>
      <c r="AG334" s="132"/>
    </row>
    <row r="335" spans="1:33" s="150" customFormat="1">
      <c r="A335" s="130">
        <f>A333+1</f>
        <v>282</v>
      </c>
      <c r="B335" s="96" t="s">
        <v>34</v>
      </c>
      <c r="C335" s="130" t="s">
        <v>1103</v>
      </c>
      <c r="D335" s="130" t="s">
        <v>1145</v>
      </c>
      <c r="E335" s="130"/>
      <c r="F335" s="130" t="s">
        <v>63</v>
      </c>
      <c r="G335" s="130" t="s">
        <v>1146</v>
      </c>
      <c r="H335" s="130" t="s">
        <v>741</v>
      </c>
      <c r="I335" s="130" t="s">
        <v>741</v>
      </c>
      <c r="J335" s="140"/>
      <c r="K335" s="130" t="s">
        <v>42</v>
      </c>
      <c r="L335" s="130">
        <v>100</v>
      </c>
      <c r="M335" s="130"/>
      <c r="N335" s="149" t="s">
        <v>797</v>
      </c>
      <c r="O335" s="129">
        <v>230601367</v>
      </c>
      <c r="P335" s="129">
        <v>2023</v>
      </c>
      <c r="Q335" s="130">
        <v>1</v>
      </c>
      <c r="R335" s="130">
        <v>1</v>
      </c>
      <c r="S335" s="130">
        <v>0</v>
      </c>
      <c r="T335" s="130">
        <v>0</v>
      </c>
      <c r="U335" s="130">
        <v>0</v>
      </c>
      <c r="V335" s="130">
        <v>0</v>
      </c>
      <c r="W335" s="130">
        <v>0</v>
      </c>
      <c r="X335" s="130">
        <v>0</v>
      </c>
      <c r="Y335" s="130"/>
      <c r="Z335" s="130">
        <v>0</v>
      </c>
      <c r="AA335" s="130"/>
      <c r="AB335" s="130"/>
      <c r="AC335" s="130">
        <f t="shared" ref="AC335" si="32">SUM(U335:AB335)</f>
        <v>0</v>
      </c>
      <c r="AD335" s="130"/>
      <c r="AE335" s="131"/>
      <c r="AG335" s="132"/>
    </row>
    <row r="336" spans="1:33" s="150" customFormat="1">
      <c r="A336" s="130">
        <f>A334+1</f>
        <v>283</v>
      </c>
      <c r="B336" s="96" t="s">
        <v>34</v>
      </c>
      <c r="C336" s="130" t="s">
        <v>1103</v>
      </c>
      <c r="D336" s="130" t="s">
        <v>1147</v>
      </c>
      <c r="E336" s="130"/>
      <c r="F336" s="130" t="s">
        <v>37</v>
      </c>
      <c r="G336" s="130" t="s">
        <v>1148</v>
      </c>
      <c r="H336" s="130" t="s">
        <v>741</v>
      </c>
      <c r="I336" s="130" t="s">
        <v>741</v>
      </c>
      <c r="J336" s="140" t="s">
        <v>1149</v>
      </c>
      <c r="K336" s="130" t="s">
        <v>42</v>
      </c>
      <c r="L336" s="130">
        <v>50</v>
      </c>
      <c r="M336" s="130"/>
      <c r="N336" s="129" t="s">
        <v>324</v>
      </c>
      <c r="O336" s="129" t="s">
        <v>1054</v>
      </c>
      <c r="P336" s="129">
        <v>2025</v>
      </c>
      <c r="Q336" s="130">
        <v>1</v>
      </c>
      <c r="R336" s="130">
        <v>1</v>
      </c>
      <c r="S336" s="130">
        <v>0</v>
      </c>
      <c r="T336" s="130">
        <v>0</v>
      </c>
      <c r="U336" s="130">
        <v>0</v>
      </c>
      <c r="V336" s="130">
        <v>0</v>
      </c>
      <c r="W336" s="130">
        <v>0</v>
      </c>
      <c r="X336" s="130">
        <v>0</v>
      </c>
      <c r="Y336" s="130"/>
      <c r="Z336" s="130">
        <v>0</v>
      </c>
      <c r="AA336" s="130"/>
      <c r="AB336" s="130"/>
      <c r="AC336" s="130">
        <f t="shared" ref="AC336:AC408" si="33">SUM(U336:AB336)</f>
        <v>0</v>
      </c>
      <c r="AD336" s="130"/>
      <c r="AE336" s="131"/>
      <c r="AG336" s="132"/>
    </row>
    <row r="337" spans="1:33" s="99" customFormat="1">
      <c r="A337" s="130">
        <f t="shared" ref="A337:A377" si="34">A336+1</f>
        <v>284</v>
      </c>
      <c r="B337" s="96" t="s">
        <v>34</v>
      </c>
      <c r="C337" s="130" t="s">
        <v>1103</v>
      </c>
      <c r="D337" s="130" t="s">
        <v>1150</v>
      </c>
      <c r="E337" s="130"/>
      <c r="F337" s="130" t="s">
        <v>37</v>
      </c>
      <c r="G337" s="139" t="s">
        <v>1151</v>
      </c>
      <c r="H337" s="130" t="s">
        <v>741</v>
      </c>
      <c r="I337" s="130" t="s">
        <v>741</v>
      </c>
      <c r="J337" s="140" t="s">
        <v>1152</v>
      </c>
      <c r="K337" s="130" t="s">
        <v>1098</v>
      </c>
      <c r="L337" s="130">
        <v>100</v>
      </c>
      <c r="M337" s="130"/>
      <c r="N337" s="130" t="s">
        <v>324</v>
      </c>
      <c r="O337" s="130" t="s">
        <v>1153</v>
      </c>
      <c r="P337" s="130">
        <v>2023</v>
      </c>
      <c r="Q337" s="130">
        <v>1</v>
      </c>
      <c r="R337" s="130">
        <v>2</v>
      </c>
      <c r="S337" s="130">
        <v>0</v>
      </c>
      <c r="T337" s="130">
        <v>0</v>
      </c>
      <c r="U337" s="130">
        <v>0</v>
      </c>
      <c r="V337" s="130">
        <v>0</v>
      </c>
      <c r="W337" s="130">
        <v>0</v>
      </c>
      <c r="X337" s="130">
        <v>0</v>
      </c>
      <c r="Y337" s="130"/>
      <c r="Z337" s="130">
        <v>0</v>
      </c>
      <c r="AA337" s="130"/>
      <c r="AB337" s="130"/>
      <c r="AC337" s="130">
        <f t="shared" si="33"/>
        <v>0</v>
      </c>
      <c r="AD337" s="130"/>
      <c r="AE337" s="131" t="s">
        <v>1154</v>
      </c>
      <c r="AG337" s="132"/>
    </row>
    <row r="338" spans="1:33" s="99" customFormat="1">
      <c r="A338" s="130">
        <f t="shared" si="34"/>
        <v>285</v>
      </c>
      <c r="B338" s="96" t="s">
        <v>34</v>
      </c>
      <c r="C338" s="130" t="s">
        <v>1103</v>
      </c>
      <c r="D338" s="130" t="s">
        <v>1155</v>
      </c>
      <c r="E338" s="130"/>
      <c r="F338" s="130" t="s">
        <v>37</v>
      </c>
      <c r="G338" s="139" t="s">
        <v>1156</v>
      </c>
      <c r="H338" s="130" t="s">
        <v>741</v>
      </c>
      <c r="I338" s="130" t="s">
        <v>741</v>
      </c>
      <c r="J338" s="140" t="s">
        <v>1157</v>
      </c>
      <c r="K338" s="130" t="s">
        <v>1098</v>
      </c>
      <c r="L338" s="130">
        <v>50</v>
      </c>
      <c r="M338" s="130"/>
      <c r="N338" s="130" t="s">
        <v>43</v>
      </c>
      <c r="O338" s="130">
        <v>35797</v>
      </c>
      <c r="P338" s="130">
        <v>1987</v>
      </c>
      <c r="Q338" s="130">
        <v>1</v>
      </c>
      <c r="R338" s="130">
        <v>2</v>
      </c>
      <c r="S338" s="130">
        <v>0</v>
      </c>
      <c r="T338" s="130">
        <v>0</v>
      </c>
      <c r="U338" s="130">
        <v>0</v>
      </c>
      <c r="V338" s="130">
        <v>0</v>
      </c>
      <c r="W338" s="130">
        <v>0</v>
      </c>
      <c r="X338" s="130">
        <v>0</v>
      </c>
      <c r="Y338" s="130"/>
      <c r="Z338" s="130">
        <v>0</v>
      </c>
      <c r="AA338" s="130"/>
      <c r="AB338" s="130"/>
      <c r="AC338" s="130">
        <f t="shared" si="33"/>
        <v>0</v>
      </c>
      <c r="AD338" s="130"/>
      <c r="AE338" s="131"/>
      <c r="AG338" s="132"/>
    </row>
    <row r="339" spans="1:33" s="99" customFormat="1">
      <c r="A339" s="130">
        <f t="shared" si="34"/>
        <v>286</v>
      </c>
      <c r="B339" s="96" t="s">
        <v>34</v>
      </c>
      <c r="C339" s="130" t="s">
        <v>1103</v>
      </c>
      <c r="D339" s="130" t="s">
        <v>1158</v>
      </c>
      <c r="E339" s="130"/>
      <c r="F339" s="130" t="s">
        <v>37</v>
      </c>
      <c r="G339" s="139" t="s">
        <v>1159</v>
      </c>
      <c r="H339" s="130" t="s">
        <v>741</v>
      </c>
      <c r="I339" s="130" t="s">
        <v>741</v>
      </c>
      <c r="J339" s="140" t="s">
        <v>1160</v>
      </c>
      <c r="K339" s="130" t="s">
        <v>1098</v>
      </c>
      <c r="L339" s="130">
        <v>50</v>
      </c>
      <c r="M339" s="130"/>
      <c r="N339" s="130" t="s">
        <v>1143</v>
      </c>
      <c r="O339" s="130" t="s">
        <v>1161</v>
      </c>
      <c r="P339" s="130">
        <v>1984</v>
      </c>
      <c r="Q339" s="130">
        <v>1</v>
      </c>
      <c r="R339" s="130">
        <v>1</v>
      </c>
      <c r="S339" s="130">
        <v>0</v>
      </c>
      <c r="T339" s="130">
        <v>0</v>
      </c>
      <c r="U339" s="130">
        <v>0</v>
      </c>
      <c r="V339" s="130">
        <v>0</v>
      </c>
      <c r="W339" s="130">
        <v>0</v>
      </c>
      <c r="X339" s="130">
        <v>0</v>
      </c>
      <c r="Y339" s="130"/>
      <c r="Z339" s="130">
        <v>0</v>
      </c>
      <c r="AA339" s="130"/>
      <c r="AB339" s="130"/>
      <c r="AC339" s="130">
        <f t="shared" si="33"/>
        <v>0</v>
      </c>
      <c r="AD339" s="130"/>
      <c r="AE339" s="131"/>
      <c r="AG339" s="132"/>
    </row>
    <row r="340" spans="1:33" s="99" customFormat="1">
      <c r="A340" s="130">
        <f t="shared" si="34"/>
        <v>287</v>
      </c>
      <c r="B340" s="96" t="s">
        <v>34</v>
      </c>
      <c r="C340" s="130" t="s">
        <v>1103</v>
      </c>
      <c r="D340" s="130" t="s">
        <v>1162</v>
      </c>
      <c r="E340" s="130"/>
      <c r="F340" s="130" t="s">
        <v>37</v>
      </c>
      <c r="G340" s="139" t="s">
        <v>1163</v>
      </c>
      <c r="H340" s="130" t="s">
        <v>741</v>
      </c>
      <c r="I340" s="130" t="s">
        <v>741</v>
      </c>
      <c r="J340" s="140" t="s">
        <v>1164</v>
      </c>
      <c r="K340" s="130" t="s">
        <v>1098</v>
      </c>
      <c r="L340" s="130">
        <v>50</v>
      </c>
      <c r="M340" s="130"/>
      <c r="N340" s="130" t="s">
        <v>43</v>
      </c>
      <c r="O340" s="130">
        <v>36197</v>
      </c>
      <c r="P340" s="130">
        <v>1988</v>
      </c>
      <c r="Q340" s="130">
        <v>1</v>
      </c>
      <c r="R340" s="130">
        <v>2</v>
      </c>
      <c r="S340" s="130">
        <v>0</v>
      </c>
      <c r="T340" s="130">
        <v>0</v>
      </c>
      <c r="U340" s="130">
        <v>0</v>
      </c>
      <c r="V340" s="130">
        <v>0</v>
      </c>
      <c r="W340" s="130">
        <v>0</v>
      </c>
      <c r="X340" s="130">
        <v>0</v>
      </c>
      <c r="Y340" s="130"/>
      <c r="Z340" s="130">
        <v>0</v>
      </c>
      <c r="AA340" s="130"/>
      <c r="AB340" s="130"/>
      <c r="AC340" s="130">
        <f t="shared" si="33"/>
        <v>0</v>
      </c>
      <c r="AD340" s="130"/>
      <c r="AE340" s="131"/>
      <c r="AG340" s="132"/>
    </row>
    <row r="341" spans="1:33" s="99" customFormat="1">
      <c r="A341" s="130">
        <f t="shared" si="34"/>
        <v>288</v>
      </c>
      <c r="B341" s="96" t="s">
        <v>34</v>
      </c>
      <c r="C341" s="130" t="s">
        <v>1103</v>
      </c>
      <c r="D341" s="130" t="s">
        <v>1165</v>
      </c>
      <c r="E341" s="130"/>
      <c r="F341" s="130" t="s">
        <v>37</v>
      </c>
      <c r="G341" s="139" t="s">
        <v>1166</v>
      </c>
      <c r="H341" s="130" t="s">
        <v>741</v>
      </c>
      <c r="I341" s="130" t="s">
        <v>741</v>
      </c>
      <c r="J341" s="140" t="s">
        <v>1167</v>
      </c>
      <c r="K341" s="130" t="s">
        <v>1098</v>
      </c>
      <c r="L341" s="130">
        <v>50</v>
      </c>
      <c r="M341" s="130"/>
      <c r="N341" s="130" t="s">
        <v>43</v>
      </c>
      <c r="O341" s="130">
        <v>36116</v>
      </c>
      <c r="P341" s="130">
        <v>1988</v>
      </c>
      <c r="Q341" s="130">
        <v>1</v>
      </c>
      <c r="R341" s="130">
        <v>2</v>
      </c>
      <c r="S341" s="130">
        <v>0</v>
      </c>
      <c r="T341" s="130">
        <v>0</v>
      </c>
      <c r="U341" s="130">
        <v>0</v>
      </c>
      <c r="V341" s="130">
        <v>0</v>
      </c>
      <c r="W341" s="130">
        <v>0</v>
      </c>
      <c r="X341" s="130">
        <v>0</v>
      </c>
      <c r="Y341" s="130"/>
      <c r="Z341" s="130">
        <v>0</v>
      </c>
      <c r="AA341" s="130"/>
      <c r="AB341" s="130"/>
      <c r="AC341" s="130">
        <f t="shared" si="33"/>
        <v>0</v>
      </c>
      <c r="AD341" s="130"/>
      <c r="AE341" s="131"/>
      <c r="AG341" s="132"/>
    </row>
    <row r="342" spans="1:33" s="99" customFormat="1">
      <c r="A342" s="130">
        <f t="shared" si="34"/>
        <v>289</v>
      </c>
      <c r="B342" s="96" t="s">
        <v>34</v>
      </c>
      <c r="C342" s="130" t="s">
        <v>1103</v>
      </c>
      <c r="D342" s="130" t="s">
        <v>1168</v>
      </c>
      <c r="E342" s="130"/>
      <c r="F342" s="130" t="s">
        <v>37</v>
      </c>
      <c r="G342" s="139" t="s">
        <v>1169</v>
      </c>
      <c r="H342" s="130" t="s">
        <v>246</v>
      </c>
      <c r="I342" s="130" t="s">
        <v>246</v>
      </c>
      <c r="J342" s="140" t="s">
        <v>1170</v>
      </c>
      <c r="K342" s="130" t="s">
        <v>1098</v>
      </c>
      <c r="L342" s="130">
        <v>160</v>
      </c>
      <c r="M342" s="130"/>
      <c r="N342" s="130" t="s">
        <v>673</v>
      </c>
      <c r="O342" s="130" t="s">
        <v>1171</v>
      </c>
      <c r="P342" s="130">
        <v>2007</v>
      </c>
      <c r="Q342" s="130">
        <v>1</v>
      </c>
      <c r="R342" s="130">
        <v>2</v>
      </c>
      <c r="S342" s="130">
        <v>0</v>
      </c>
      <c r="T342" s="130">
        <v>0</v>
      </c>
      <c r="U342" s="130">
        <v>0</v>
      </c>
      <c r="V342" s="130">
        <v>0</v>
      </c>
      <c r="W342" s="130">
        <v>0</v>
      </c>
      <c r="X342" s="130">
        <v>0</v>
      </c>
      <c r="Y342" s="130"/>
      <c r="Z342" s="130">
        <v>0</v>
      </c>
      <c r="AA342" s="130"/>
      <c r="AB342" s="130"/>
      <c r="AC342" s="130">
        <f t="shared" si="33"/>
        <v>0</v>
      </c>
      <c r="AD342" s="130"/>
      <c r="AE342" s="131"/>
      <c r="AG342" s="132"/>
    </row>
    <row r="343" spans="1:33" s="99" customFormat="1">
      <c r="A343" s="130">
        <f t="shared" si="34"/>
        <v>290</v>
      </c>
      <c r="B343" s="96" t="s">
        <v>34</v>
      </c>
      <c r="C343" s="130" t="s">
        <v>1103</v>
      </c>
      <c r="D343" s="130" t="s">
        <v>1172</v>
      </c>
      <c r="E343" s="130"/>
      <c r="F343" s="130" t="s">
        <v>37</v>
      </c>
      <c r="G343" s="139" t="s">
        <v>1173</v>
      </c>
      <c r="H343" s="130" t="s">
        <v>741</v>
      </c>
      <c r="I343" s="130" t="s">
        <v>741</v>
      </c>
      <c r="J343" s="140" t="s">
        <v>1174</v>
      </c>
      <c r="K343" s="130" t="s">
        <v>1098</v>
      </c>
      <c r="L343" s="130">
        <v>100</v>
      </c>
      <c r="M343" s="130"/>
      <c r="N343" s="130" t="s">
        <v>43</v>
      </c>
      <c r="O343" s="130" t="s">
        <v>1175</v>
      </c>
      <c r="P343" s="130">
        <v>1984</v>
      </c>
      <c r="Q343" s="130">
        <v>1</v>
      </c>
      <c r="R343" s="130">
        <v>2</v>
      </c>
      <c r="S343" s="130">
        <v>0</v>
      </c>
      <c r="T343" s="130">
        <v>0</v>
      </c>
      <c r="U343" s="130">
        <v>0</v>
      </c>
      <c r="V343" s="130">
        <v>0</v>
      </c>
      <c r="W343" s="130">
        <v>0</v>
      </c>
      <c r="X343" s="130">
        <v>0</v>
      </c>
      <c r="Y343" s="130"/>
      <c r="Z343" s="130">
        <v>0</v>
      </c>
      <c r="AA343" s="130"/>
      <c r="AB343" s="130"/>
      <c r="AC343" s="130">
        <f t="shared" si="33"/>
        <v>0</v>
      </c>
      <c r="AD343" s="130"/>
      <c r="AE343" s="131"/>
      <c r="AG343" s="132"/>
    </row>
    <row r="344" spans="1:33" s="99" customFormat="1">
      <c r="A344" s="130">
        <f t="shared" si="34"/>
        <v>291</v>
      </c>
      <c r="B344" s="96" t="s">
        <v>34</v>
      </c>
      <c r="C344" s="130" t="s">
        <v>1103</v>
      </c>
      <c r="D344" s="130" t="s">
        <v>1176</v>
      </c>
      <c r="E344" s="130"/>
      <c r="F344" s="130" t="s">
        <v>37</v>
      </c>
      <c r="G344" s="139" t="s">
        <v>1177</v>
      </c>
      <c r="H344" s="130" t="s">
        <v>741</v>
      </c>
      <c r="I344" s="130" t="s">
        <v>741</v>
      </c>
      <c r="J344" s="140" t="s">
        <v>1178</v>
      </c>
      <c r="K344" s="130" t="s">
        <v>1098</v>
      </c>
      <c r="L344" s="130">
        <v>50</v>
      </c>
      <c r="M344" s="130"/>
      <c r="N344" s="130" t="s">
        <v>93</v>
      </c>
      <c r="O344" s="130">
        <v>700411054</v>
      </c>
      <c r="P344" s="130">
        <v>2007</v>
      </c>
      <c r="Q344" s="130">
        <v>1</v>
      </c>
      <c r="R344" s="130">
        <v>2</v>
      </c>
      <c r="S344" s="130">
        <v>0</v>
      </c>
      <c r="T344" s="130">
        <v>0</v>
      </c>
      <c r="U344" s="130">
        <v>0</v>
      </c>
      <c r="V344" s="130">
        <v>0</v>
      </c>
      <c r="W344" s="130">
        <v>0</v>
      </c>
      <c r="X344" s="130">
        <v>0</v>
      </c>
      <c r="Y344" s="130"/>
      <c r="Z344" s="130">
        <v>0</v>
      </c>
      <c r="AA344" s="130"/>
      <c r="AB344" s="130"/>
      <c r="AC344" s="130">
        <f t="shared" si="33"/>
        <v>0</v>
      </c>
      <c r="AD344" s="130"/>
      <c r="AE344" s="131"/>
      <c r="AG344" s="132"/>
    </row>
    <row r="345" spans="1:33" s="14" customFormat="1">
      <c r="A345" s="133">
        <f t="shared" si="34"/>
        <v>292</v>
      </c>
      <c r="B345" s="11" t="s">
        <v>34</v>
      </c>
      <c r="C345" s="133" t="s">
        <v>1103</v>
      </c>
      <c r="D345" s="133" t="s">
        <v>1179</v>
      </c>
      <c r="E345" s="133"/>
      <c r="F345" s="133" t="s">
        <v>37</v>
      </c>
      <c r="G345" s="134" t="s">
        <v>1180</v>
      </c>
      <c r="H345" s="133" t="s">
        <v>246</v>
      </c>
      <c r="I345" s="133" t="s">
        <v>246</v>
      </c>
      <c r="J345" s="135" t="s">
        <v>1181</v>
      </c>
      <c r="K345" s="133" t="s">
        <v>1098</v>
      </c>
      <c r="L345" s="133">
        <v>100</v>
      </c>
      <c r="M345" s="133"/>
      <c r="N345" s="133" t="s">
        <v>93</v>
      </c>
      <c r="O345" s="133" t="s">
        <v>1182</v>
      </c>
      <c r="P345" s="133">
        <v>1988</v>
      </c>
      <c r="Q345" s="133">
        <v>1</v>
      </c>
      <c r="R345" s="133">
        <v>2</v>
      </c>
      <c r="S345" s="133">
        <v>0</v>
      </c>
      <c r="T345" s="133">
        <v>0</v>
      </c>
      <c r="U345" s="133">
        <v>0</v>
      </c>
      <c r="V345" s="133">
        <v>0</v>
      </c>
      <c r="W345" s="133">
        <v>0</v>
      </c>
      <c r="X345" s="133">
        <v>0</v>
      </c>
      <c r="Y345" s="133"/>
      <c r="Z345" s="133">
        <v>0</v>
      </c>
      <c r="AA345" s="133"/>
      <c r="AB345" s="133"/>
      <c r="AC345" s="133">
        <f t="shared" si="33"/>
        <v>0</v>
      </c>
      <c r="AD345" s="133"/>
      <c r="AE345" s="136"/>
      <c r="AG345" s="137"/>
    </row>
    <row r="346" spans="1:33" s="14" customFormat="1">
      <c r="A346" s="133">
        <f t="shared" si="34"/>
        <v>293</v>
      </c>
      <c r="B346" s="11" t="s">
        <v>34</v>
      </c>
      <c r="C346" s="133" t="s">
        <v>1103</v>
      </c>
      <c r="D346" s="133" t="s">
        <v>1183</v>
      </c>
      <c r="E346" s="133"/>
      <c r="F346" s="133" t="s">
        <v>37</v>
      </c>
      <c r="G346" s="134" t="s">
        <v>1184</v>
      </c>
      <c r="H346" s="133" t="s">
        <v>246</v>
      </c>
      <c r="I346" s="133" t="s">
        <v>246</v>
      </c>
      <c r="J346" s="135" t="s">
        <v>1185</v>
      </c>
      <c r="K346" s="133" t="s">
        <v>1098</v>
      </c>
      <c r="L346" s="133">
        <v>250</v>
      </c>
      <c r="M346" s="133"/>
      <c r="N346" s="133" t="s">
        <v>424</v>
      </c>
      <c r="O346" s="133" t="s">
        <v>1186</v>
      </c>
      <c r="P346" s="133" t="s">
        <v>95</v>
      </c>
      <c r="Q346" s="133">
        <v>1</v>
      </c>
      <c r="R346" s="133">
        <v>3</v>
      </c>
      <c r="S346" s="133">
        <v>0</v>
      </c>
      <c r="T346" s="133">
        <v>0</v>
      </c>
      <c r="U346" s="133">
        <v>0</v>
      </c>
      <c r="V346" s="133">
        <v>0</v>
      </c>
      <c r="W346" s="133">
        <v>0</v>
      </c>
      <c r="X346" s="133">
        <v>0</v>
      </c>
      <c r="Y346" s="133"/>
      <c r="Z346" s="133">
        <v>0</v>
      </c>
      <c r="AA346" s="133"/>
      <c r="AB346" s="133"/>
      <c r="AC346" s="133">
        <f t="shared" si="33"/>
        <v>0</v>
      </c>
      <c r="AD346" s="133"/>
      <c r="AE346" s="136" t="s">
        <v>1187</v>
      </c>
      <c r="AG346" s="137"/>
    </row>
    <row r="347" spans="1:33" s="14" customFormat="1">
      <c r="A347" s="133">
        <f t="shared" si="34"/>
        <v>294</v>
      </c>
      <c r="B347" s="11" t="s">
        <v>34</v>
      </c>
      <c r="C347" s="133" t="s">
        <v>1103</v>
      </c>
      <c r="D347" s="133" t="s">
        <v>1188</v>
      </c>
      <c r="E347" s="133"/>
      <c r="F347" s="133" t="s">
        <v>37</v>
      </c>
      <c r="G347" s="134" t="s">
        <v>1189</v>
      </c>
      <c r="H347" s="133" t="s">
        <v>741</v>
      </c>
      <c r="I347" s="133" t="s">
        <v>741</v>
      </c>
      <c r="J347" s="135" t="s">
        <v>1190</v>
      </c>
      <c r="K347" s="133" t="s">
        <v>1098</v>
      </c>
      <c r="L347" s="133">
        <v>50</v>
      </c>
      <c r="M347" s="133"/>
      <c r="N347" s="133" t="s">
        <v>43</v>
      </c>
      <c r="O347" s="133">
        <v>36240</v>
      </c>
      <c r="P347" s="133">
        <v>1988</v>
      </c>
      <c r="Q347" s="133">
        <v>1</v>
      </c>
      <c r="R347" s="133">
        <v>2</v>
      </c>
      <c r="S347" s="133">
        <v>0</v>
      </c>
      <c r="T347" s="133">
        <v>0</v>
      </c>
      <c r="U347" s="133">
        <v>0</v>
      </c>
      <c r="V347" s="133">
        <v>0</v>
      </c>
      <c r="W347" s="133">
        <v>0</v>
      </c>
      <c r="X347" s="133">
        <v>0</v>
      </c>
      <c r="Y347" s="133"/>
      <c r="Z347" s="133">
        <v>0</v>
      </c>
      <c r="AA347" s="133"/>
      <c r="AB347" s="133"/>
      <c r="AC347" s="133">
        <f t="shared" si="33"/>
        <v>0</v>
      </c>
      <c r="AD347" s="133"/>
      <c r="AE347" s="136"/>
      <c r="AG347" s="137"/>
    </row>
    <row r="348" spans="1:33" s="14" customFormat="1">
      <c r="A348" s="133">
        <f t="shared" si="34"/>
        <v>295</v>
      </c>
      <c r="B348" s="11" t="s">
        <v>34</v>
      </c>
      <c r="C348" s="133" t="s">
        <v>1103</v>
      </c>
      <c r="D348" s="133" t="s">
        <v>1191</v>
      </c>
      <c r="E348" s="133"/>
      <c r="F348" s="133" t="s">
        <v>37</v>
      </c>
      <c r="G348" s="134" t="s">
        <v>1192</v>
      </c>
      <c r="H348" s="133" t="s">
        <v>741</v>
      </c>
      <c r="I348" s="133" t="s">
        <v>741</v>
      </c>
      <c r="J348" s="135" t="s">
        <v>1193</v>
      </c>
      <c r="K348" s="133" t="s">
        <v>1098</v>
      </c>
      <c r="L348" s="133" t="s">
        <v>974</v>
      </c>
      <c r="M348" s="133"/>
      <c r="N348" s="133" t="s">
        <v>641</v>
      </c>
      <c r="O348" s="133" t="s">
        <v>1194</v>
      </c>
      <c r="P348" s="133" t="s">
        <v>255</v>
      </c>
      <c r="Q348" s="133">
        <v>1</v>
      </c>
      <c r="R348" s="133">
        <v>2</v>
      </c>
      <c r="S348" s="133">
        <v>0</v>
      </c>
      <c r="T348" s="133">
        <v>0</v>
      </c>
      <c r="U348" s="133">
        <v>0</v>
      </c>
      <c r="V348" s="133">
        <v>0</v>
      </c>
      <c r="W348" s="133">
        <v>0</v>
      </c>
      <c r="X348" s="133">
        <v>0</v>
      </c>
      <c r="Y348" s="133"/>
      <c r="Z348" s="133">
        <v>0</v>
      </c>
      <c r="AA348" s="133"/>
      <c r="AB348" s="133"/>
      <c r="AC348" s="133">
        <f t="shared" si="33"/>
        <v>0</v>
      </c>
      <c r="AD348" s="133"/>
      <c r="AE348" s="136"/>
      <c r="AG348" s="137"/>
    </row>
    <row r="349" spans="1:33" s="14" customFormat="1">
      <c r="A349" s="133">
        <f t="shared" si="34"/>
        <v>296</v>
      </c>
      <c r="B349" s="11" t="s">
        <v>34</v>
      </c>
      <c r="C349" s="133" t="s">
        <v>1103</v>
      </c>
      <c r="D349" s="133" t="s">
        <v>1195</v>
      </c>
      <c r="E349" s="133"/>
      <c r="F349" s="133" t="s">
        <v>37</v>
      </c>
      <c r="G349" s="134" t="s">
        <v>1196</v>
      </c>
      <c r="H349" s="133" t="s">
        <v>741</v>
      </c>
      <c r="I349" s="133" t="s">
        <v>741</v>
      </c>
      <c r="J349" s="135" t="s">
        <v>1197</v>
      </c>
      <c r="K349" s="133" t="s">
        <v>1098</v>
      </c>
      <c r="L349" s="133">
        <v>100</v>
      </c>
      <c r="M349" s="133"/>
      <c r="N349" s="133" t="s">
        <v>424</v>
      </c>
      <c r="O349" s="133" t="s">
        <v>1198</v>
      </c>
      <c r="P349" s="133">
        <v>2007</v>
      </c>
      <c r="Q349" s="133">
        <v>1</v>
      </c>
      <c r="R349" s="133">
        <v>2</v>
      </c>
      <c r="S349" s="133">
        <v>0</v>
      </c>
      <c r="T349" s="133">
        <v>0</v>
      </c>
      <c r="U349" s="133">
        <v>0</v>
      </c>
      <c r="V349" s="133">
        <v>0</v>
      </c>
      <c r="W349" s="133">
        <v>0</v>
      </c>
      <c r="X349" s="133">
        <v>0</v>
      </c>
      <c r="Y349" s="133"/>
      <c r="Z349" s="133">
        <v>0</v>
      </c>
      <c r="AA349" s="133"/>
      <c r="AB349" s="133"/>
      <c r="AC349" s="133">
        <f t="shared" si="33"/>
        <v>0</v>
      </c>
      <c r="AD349" s="133"/>
      <c r="AE349" s="136"/>
      <c r="AG349" s="137"/>
    </row>
    <row r="350" spans="1:33" s="99" customFormat="1">
      <c r="A350" s="133">
        <f t="shared" si="34"/>
        <v>297</v>
      </c>
      <c r="B350" s="96" t="s">
        <v>34</v>
      </c>
      <c r="C350" s="130" t="s">
        <v>1103</v>
      </c>
      <c r="D350" s="130" t="s">
        <v>1199</v>
      </c>
      <c r="E350" s="130"/>
      <c r="F350" s="130" t="s">
        <v>37</v>
      </c>
      <c r="G350" s="139" t="s">
        <v>1200</v>
      </c>
      <c r="H350" s="130" t="s">
        <v>741</v>
      </c>
      <c r="I350" s="130" t="s">
        <v>741</v>
      </c>
      <c r="J350" s="140" t="s">
        <v>1201</v>
      </c>
      <c r="K350" s="130" t="s">
        <v>1098</v>
      </c>
      <c r="L350" s="130">
        <v>100</v>
      </c>
      <c r="M350" s="130"/>
      <c r="N350" s="130" t="s">
        <v>324</v>
      </c>
      <c r="O350" s="151" t="s">
        <v>1202</v>
      </c>
      <c r="P350" s="130">
        <v>2021</v>
      </c>
      <c r="Q350" s="130">
        <v>1</v>
      </c>
      <c r="R350" s="130">
        <v>2</v>
      </c>
      <c r="S350" s="130">
        <v>0</v>
      </c>
      <c r="T350" s="130">
        <v>0</v>
      </c>
      <c r="U350" s="130">
        <v>0</v>
      </c>
      <c r="V350" s="130">
        <v>0</v>
      </c>
      <c r="W350" s="130">
        <v>0</v>
      </c>
      <c r="X350" s="130">
        <v>0</v>
      </c>
      <c r="Y350" s="130"/>
      <c r="Z350" s="130">
        <v>0</v>
      </c>
      <c r="AA350" s="130"/>
      <c r="AB350" s="130"/>
      <c r="AC350" s="130">
        <f t="shared" si="33"/>
        <v>0</v>
      </c>
      <c r="AD350" s="130"/>
      <c r="AE350" s="131"/>
      <c r="AG350" s="132"/>
    </row>
    <row r="351" spans="1:33" s="14" customFormat="1">
      <c r="A351" s="133">
        <f t="shared" si="34"/>
        <v>298</v>
      </c>
      <c r="B351" s="11" t="s">
        <v>34</v>
      </c>
      <c r="C351" s="133" t="s">
        <v>1103</v>
      </c>
      <c r="D351" s="133" t="s">
        <v>1203</v>
      </c>
      <c r="E351" s="133"/>
      <c r="F351" s="133" t="s">
        <v>37</v>
      </c>
      <c r="G351" s="134" t="s">
        <v>1204</v>
      </c>
      <c r="H351" s="133" t="s">
        <v>741</v>
      </c>
      <c r="I351" s="133" t="s">
        <v>741</v>
      </c>
      <c r="J351" s="135" t="s">
        <v>1205</v>
      </c>
      <c r="K351" s="133" t="s">
        <v>1098</v>
      </c>
      <c r="L351" s="133">
        <v>50</v>
      </c>
      <c r="M351" s="133"/>
      <c r="N351" s="152" t="s">
        <v>93</v>
      </c>
      <c r="O351" s="152" t="s">
        <v>1206</v>
      </c>
      <c r="P351" s="152" t="s">
        <v>444</v>
      </c>
      <c r="Q351" s="133">
        <v>1</v>
      </c>
      <c r="R351" s="133">
        <v>2</v>
      </c>
      <c r="S351" s="133">
        <v>0</v>
      </c>
      <c r="T351" s="133">
        <v>0</v>
      </c>
      <c r="U351" s="133">
        <v>0</v>
      </c>
      <c r="V351" s="133">
        <v>0</v>
      </c>
      <c r="W351" s="133">
        <v>0</v>
      </c>
      <c r="X351" s="133">
        <v>0</v>
      </c>
      <c r="Y351" s="133"/>
      <c r="Z351" s="133">
        <v>0</v>
      </c>
      <c r="AA351" s="133"/>
      <c r="AB351" s="133"/>
      <c r="AC351" s="133">
        <f t="shared" si="33"/>
        <v>0</v>
      </c>
      <c r="AD351" s="133"/>
      <c r="AE351" s="136"/>
      <c r="AG351" s="137"/>
    </row>
    <row r="352" spans="1:33" s="14" customFormat="1">
      <c r="A352" s="133">
        <f t="shared" si="34"/>
        <v>299</v>
      </c>
      <c r="B352" s="11" t="s">
        <v>34</v>
      </c>
      <c r="C352" s="133" t="s">
        <v>1103</v>
      </c>
      <c r="D352" s="133" t="s">
        <v>1207</v>
      </c>
      <c r="E352" s="133"/>
      <c r="F352" s="133" t="s">
        <v>37</v>
      </c>
      <c r="G352" s="134" t="s">
        <v>1208</v>
      </c>
      <c r="H352" s="133" t="s">
        <v>741</v>
      </c>
      <c r="I352" s="133" t="s">
        <v>741</v>
      </c>
      <c r="J352" s="135" t="s">
        <v>1209</v>
      </c>
      <c r="K352" s="133" t="s">
        <v>1098</v>
      </c>
      <c r="L352" s="133">
        <v>100</v>
      </c>
      <c r="M352" s="133"/>
      <c r="N352" s="133" t="s">
        <v>59</v>
      </c>
      <c r="O352" s="133">
        <v>8730747</v>
      </c>
      <c r="P352" s="133">
        <v>1987</v>
      </c>
      <c r="Q352" s="133">
        <v>1</v>
      </c>
      <c r="R352" s="133">
        <v>2</v>
      </c>
      <c r="S352" s="133">
        <v>0</v>
      </c>
      <c r="T352" s="133">
        <v>0</v>
      </c>
      <c r="U352" s="133">
        <v>0</v>
      </c>
      <c r="V352" s="133">
        <v>0</v>
      </c>
      <c r="W352" s="133">
        <v>0</v>
      </c>
      <c r="X352" s="133">
        <v>0</v>
      </c>
      <c r="Y352" s="133"/>
      <c r="Z352" s="133">
        <v>0</v>
      </c>
      <c r="AA352" s="133"/>
      <c r="AB352" s="133"/>
      <c r="AC352" s="133">
        <f t="shared" si="33"/>
        <v>0</v>
      </c>
      <c r="AD352" s="133"/>
      <c r="AE352" s="136"/>
      <c r="AG352" s="137"/>
    </row>
    <row r="353" spans="1:33" s="14" customFormat="1">
      <c r="A353" s="133">
        <f t="shared" si="34"/>
        <v>300</v>
      </c>
      <c r="B353" s="11" t="s">
        <v>34</v>
      </c>
      <c r="C353" s="133" t="s">
        <v>1103</v>
      </c>
      <c r="D353" s="133" t="s">
        <v>1210</v>
      </c>
      <c r="E353" s="133"/>
      <c r="F353" s="133" t="s">
        <v>37</v>
      </c>
      <c r="G353" s="134" t="s">
        <v>1211</v>
      </c>
      <c r="H353" s="133" t="s">
        <v>741</v>
      </c>
      <c r="I353" s="133" t="s">
        <v>741</v>
      </c>
      <c r="J353" s="135" t="s">
        <v>1212</v>
      </c>
      <c r="K353" s="133" t="s">
        <v>1098</v>
      </c>
      <c r="L353" s="133">
        <v>100</v>
      </c>
      <c r="M353" s="133"/>
      <c r="N353" s="133" t="s">
        <v>863</v>
      </c>
      <c r="O353" s="133">
        <v>11124652</v>
      </c>
      <c r="P353" s="133">
        <v>2011</v>
      </c>
      <c r="Q353" s="133">
        <v>1</v>
      </c>
      <c r="R353" s="133">
        <v>2</v>
      </c>
      <c r="S353" s="133">
        <v>0</v>
      </c>
      <c r="T353" s="133">
        <v>0</v>
      </c>
      <c r="U353" s="133">
        <v>0</v>
      </c>
      <c r="V353" s="133">
        <v>0</v>
      </c>
      <c r="W353" s="133">
        <v>0</v>
      </c>
      <c r="X353" s="133">
        <v>0</v>
      </c>
      <c r="Y353" s="133"/>
      <c r="Z353" s="133">
        <v>0</v>
      </c>
      <c r="AA353" s="133"/>
      <c r="AB353" s="133"/>
      <c r="AC353" s="133">
        <f t="shared" si="33"/>
        <v>0</v>
      </c>
      <c r="AD353" s="133"/>
      <c r="AE353" s="136"/>
      <c r="AG353" s="137"/>
    </row>
    <row r="354" spans="1:33" s="14" customFormat="1">
      <c r="A354" s="133">
        <f t="shared" si="34"/>
        <v>301</v>
      </c>
      <c r="B354" s="11" t="s">
        <v>34</v>
      </c>
      <c r="C354" s="133" t="s">
        <v>1103</v>
      </c>
      <c r="D354" s="133" t="s">
        <v>1213</v>
      </c>
      <c r="E354" s="133"/>
      <c r="F354" s="133" t="s">
        <v>37</v>
      </c>
      <c r="G354" s="134" t="s">
        <v>1214</v>
      </c>
      <c r="H354" s="133" t="s">
        <v>741</v>
      </c>
      <c r="I354" s="133" t="s">
        <v>741</v>
      </c>
      <c r="J354" s="135" t="s">
        <v>1215</v>
      </c>
      <c r="K354" s="133" t="s">
        <v>1098</v>
      </c>
      <c r="L354" s="133">
        <v>100</v>
      </c>
      <c r="M354" s="133"/>
      <c r="N354" s="133" t="s">
        <v>59</v>
      </c>
      <c r="O354" s="133">
        <v>87030680</v>
      </c>
      <c r="P354" s="133">
        <v>1987</v>
      </c>
      <c r="Q354" s="133">
        <v>1</v>
      </c>
      <c r="R354" s="133">
        <v>2</v>
      </c>
      <c r="S354" s="133">
        <v>0</v>
      </c>
      <c r="T354" s="133">
        <v>0</v>
      </c>
      <c r="U354" s="133">
        <v>0</v>
      </c>
      <c r="V354" s="133">
        <v>0</v>
      </c>
      <c r="W354" s="133">
        <v>0</v>
      </c>
      <c r="X354" s="133">
        <v>0</v>
      </c>
      <c r="Y354" s="133"/>
      <c r="Z354" s="133">
        <v>0</v>
      </c>
      <c r="AA354" s="133"/>
      <c r="AB354" s="133"/>
      <c r="AC354" s="133">
        <f t="shared" si="33"/>
        <v>0</v>
      </c>
      <c r="AD354" s="133"/>
      <c r="AE354" s="136"/>
      <c r="AG354" s="137"/>
    </row>
    <row r="355" spans="1:33" s="14" customFormat="1">
      <c r="A355" s="133">
        <f t="shared" si="34"/>
        <v>302</v>
      </c>
      <c r="B355" s="11" t="s">
        <v>34</v>
      </c>
      <c r="C355" s="133" t="s">
        <v>1103</v>
      </c>
      <c r="D355" s="133" t="s">
        <v>1216</v>
      </c>
      <c r="E355" s="133"/>
      <c r="F355" s="133" t="s">
        <v>37</v>
      </c>
      <c r="G355" s="134" t="s">
        <v>1217</v>
      </c>
      <c r="H355" s="133" t="s">
        <v>246</v>
      </c>
      <c r="I355" s="133" t="s">
        <v>246</v>
      </c>
      <c r="J355" s="135" t="s">
        <v>1218</v>
      </c>
      <c r="K355" s="133" t="s">
        <v>1098</v>
      </c>
      <c r="L355" s="133">
        <v>160</v>
      </c>
      <c r="M355" s="133"/>
      <c r="N355" s="133" t="s">
        <v>664</v>
      </c>
      <c r="O355" s="133" t="s">
        <v>1219</v>
      </c>
      <c r="P355" s="133">
        <v>2013</v>
      </c>
      <c r="Q355" s="133">
        <v>1</v>
      </c>
      <c r="R355" s="133">
        <v>2</v>
      </c>
      <c r="S355" s="133">
        <v>0</v>
      </c>
      <c r="T355" s="133">
        <v>0</v>
      </c>
      <c r="U355" s="133">
        <v>0</v>
      </c>
      <c r="V355" s="133">
        <v>0</v>
      </c>
      <c r="W355" s="133">
        <v>0</v>
      </c>
      <c r="X355" s="133">
        <v>0</v>
      </c>
      <c r="Y355" s="133"/>
      <c r="Z355" s="133">
        <v>0</v>
      </c>
      <c r="AA355" s="133"/>
      <c r="AB355" s="133"/>
      <c r="AC355" s="133">
        <f t="shared" si="33"/>
        <v>0</v>
      </c>
      <c r="AD355" s="133"/>
      <c r="AE355" s="136"/>
      <c r="AG355" s="137"/>
    </row>
    <row r="356" spans="1:33" s="14" customFormat="1">
      <c r="A356" s="133">
        <f t="shared" si="34"/>
        <v>303</v>
      </c>
      <c r="B356" s="11" t="s">
        <v>34</v>
      </c>
      <c r="C356" s="133" t="s">
        <v>1103</v>
      </c>
      <c r="D356" s="133" t="s">
        <v>1220</v>
      </c>
      <c r="E356" s="133"/>
      <c r="F356" s="133" t="s">
        <v>37</v>
      </c>
      <c r="G356" s="134" t="s">
        <v>1221</v>
      </c>
      <c r="H356" s="133" t="s">
        <v>741</v>
      </c>
      <c r="I356" s="133" t="s">
        <v>741</v>
      </c>
      <c r="J356" s="135" t="s">
        <v>1222</v>
      </c>
      <c r="K356" s="133" t="s">
        <v>1098</v>
      </c>
      <c r="L356" s="133" t="s">
        <v>974</v>
      </c>
      <c r="M356" s="133"/>
      <c r="N356" s="133" t="s">
        <v>664</v>
      </c>
      <c r="O356" s="133" t="s">
        <v>1223</v>
      </c>
      <c r="P356" s="133" t="s">
        <v>255</v>
      </c>
      <c r="Q356" s="133">
        <v>1</v>
      </c>
      <c r="R356" s="133">
        <v>2</v>
      </c>
      <c r="S356" s="133">
        <v>0</v>
      </c>
      <c r="T356" s="133">
        <v>0</v>
      </c>
      <c r="U356" s="133">
        <v>0</v>
      </c>
      <c r="V356" s="133">
        <v>0</v>
      </c>
      <c r="W356" s="133">
        <v>0</v>
      </c>
      <c r="X356" s="133">
        <v>0</v>
      </c>
      <c r="Y356" s="133"/>
      <c r="Z356" s="133">
        <v>0</v>
      </c>
      <c r="AA356" s="133"/>
      <c r="AB356" s="133"/>
      <c r="AC356" s="133">
        <f t="shared" si="33"/>
        <v>0</v>
      </c>
      <c r="AD356" s="133"/>
      <c r="AE356" s="136"/>
      <c r="AG356" s="137"/>
    </row>
    <row r="357" spans="1:33" s="14" customFormat="1">
      <c r="A357" s="133">
        <f t="shared" si="34"/>
        <v>304</v>
      </c>
      <c r="B357" s="11" t="s">
        <v>34</v>
      </c>
      <c r="C357" s="133" t="s">
        <v>1103</v>
      </c>
      <c r="D357" s="133" t="s">
        <v>1224</v>
      </c>
      <c r="E357" s="133"/>
      <c r="F357" s="133" t="s">
        <v>37</v>
      </c>
      <c r="G357" s="134" t="s">
        <v>1225</v>
      </c>
      <c r="H357" s="133" t="s">
        <v>741</v>
      </c>
      <c r="I357" s="133" t="s">
        <v>741</v>
      </c>
      <c r="J357" s="135" t="s">
        <v>1226</v>
      </c>
      <c r="K357" s="133" t="s">
        <v>1098</v>
      </c>
      <c r="L357" s="133">
        <v>100</v>
      </c>
      <c r="M357" s="133"/>
      <c r="N357" s="133" t="s">
        <v>59</v>
      </c>
      <c r="O357" s="153" t="s">
        <v>1227</v>
      </c>
      <c r="P357" s="133" t="s">
        <v>766</v>
      </c>
      <c r="Q357" s="133">
        <v>1</v>
      </c>
      <c r="R357" s="133">
        <v>1</v>
      </c>
      <c r="S357" s="133">
        <v>0</v>
      </c>
      <c r="T357" s="133">
        <v>0</v>
      </c>
      <c r="U357" s="133">
        <v>0</v>
      </c>
      <c r="V357" s="133">
        <v>0</v>
      </c>
      <c r="W357" s="133">
        <v>0</v>
      </c>
      <c r="X357" s="133">
        <v>0</v>
      </c>
      <c r="Y357" s="133"/>
      <c r="Z357" s="133">
        <v>0</v>
      </c>
      <c r="AA357" s="133"/>
      <c r="AB357" s="133"/>
      <c r="AC357" s="133">
        <f t="shared" si="33"/>
        <v>0</v>
      </c>
      <c r="AD357" s="133"/>
      <c r="AE357" s="136" t="s">
        <v>1228</v>
      </c>
      <c r="AG357" s="137" t="s">
        <v>1228</v>
      </c>
    </row>
    <row r="358" spans="1:33" s="14" customFormat="1">
      <c r="A358" s="133">
        <f t="shared" si="34"/>
        <v>305</v>
      </c>
      <c r="B358" s="11" t="s">
        <v>34</v>
      </c>
      <c r="C358" s="133" t="s">
        <v>1103</v>
      </c>
      <c r="D358" s="133" t="s">
        <v>1229</v>
      </c>
      <c r="E358" s="133"/>
      <c r="F358" s="133" t="s">
        <v>37</v>
      </c>
      <c r="G358" s="134" t="s">
        <v>1230</v>
      </c>
      <c r="H358" s="133" t="s">
        <v>246</v>
      </c>
      <c r="I358" s="133" t="s">
        <v>246</v>
      </c>
      <c r="J358" s="135" t="s">
        <v>1231</v>
      </c>
      <c r="K358" s="133" t="s">
        <v>1098</v>
      </c>
      <c r="L358" s="133">
        <v>100</v>
      </c>
      <c r="M358" s="133"/>
      <c r="N358" s="133" t="s">
        <v>1143</v>
      </c>
      <c r="O358" s="133" t="s">
        <v>1232</v>
      </c>
      <c r="P358" s="133">
        <v>1984</v>
      </c>
      <c r="Q358" s="133">
        <v>1</v>
      </c>
      <c r="R358" s="133">
        <v>3</v>
      </c>
      <c r="S358" s="133">
        <v>0</v>
      </c>
      <c r="T358" s="133">
        <v>0</v>
      </c>
      <c r="U358" s="133">
        <v>0</v>
      </c>
      <c r="V358" s="133">
        <v>0</v>
      </c>
      <c r="W358" s="133">
        <v>0</v>
      </c>
      <c r="X358" s="133">
        <v>0</v>
      </c>
      <c r="Y358" s="133"/>
      <c r="Z358" s="133">
        <v>0</v>
      </c>
      <c r="AA358" s="133"/>
      <c r="AB358" s="133"/>
      <c r="AC358" s="133">
        <f t="shared" si="33"/>
        <v>0</v>
      </c>
      <c r="AD358" s="133"/>
      <c r="AE358" s="136"/>
      <c r="AG358" s="137"/>
    </row>
    <row r="359" spans="1:33" s="14" customFormat="1">
      <c r="A359" s="133">
        <f t="shared" si="34"/>
        <v>306</v>
      </c>
      <c r="B359" s="11" t="s">
        <v>34</v>
      </c>
      <c r="C359" s="133" t="s">
        <v>1103</v>
      </c>
      <c r="D359" s="133" t="s">
        <v>1233</v>
      </c>
      <c r="E359" s="133"/>
      <c r="F359" s="133" t="s">
        <v>37</v>
      </c>
      <c r="G359" s="134" t="s">
        <v>1234</v>
      </c>
      <c r="H359" s="133" t="s">
        <v>246</v>
      </c>
      <c r="I359" s="133" t="s">
        <v>246</v>
      </c>
      <c r="J359" s="135" t="s">
        <v>1235</v>
      </c>
      <c r="K359" s="133" t="s">
        <v>1098</v>
      </c>
      <c r="L359" s="133">
        <v>100</v>
      </c>
      <c r="M359" s="133"/>
      <c r="N359" s="133" t="s">
        <v>863</v>
      </c>
      <c r="O359" s="133">
        <v>120102511</v>
      </c>
      <c r="P359" s="133">
        <v>2012</v>
      </c>
      <c r="Q359" s="133">
        <v>1</v>
      </c>
      <c r="R359" s="133">
        <v>3</v>
      </c>
      <c r="S359" s="133">
        <v>0</v>
      </c>
      <c r="T359" s="133">
        <v>0</v>
      </c>
      <c r="U359" s="133">
        <v>0</v>
      </c>
      <c r="V359" s="133">
        <v>0</v>
      </c>
      <c r="W359" s="133">
        <v>0</v>
      </c>
      <c r="X359" s="133">
        <v>0</v>
      </c>
      <c r="Y359" s="133"/>
      <c r="Z359" s="133">
        <v>0</v>
      </c>
      <c r="AA359" s="133"/>
      <c r="AB359" s="133"/>
      <c r="AC359" s="133">
        <f t="shared" si="33"/>
        <v>0</v>
      </c>
      <c r="AD359" s="133"/>
      <c r="AE359" s="136"/>
      <c r="AG359" s="137"/>
    </row>
    <row r="360" spans="1:33" s="14" customFormat="1">
      <c r="A360" s="133">
        <f t="shared" si="34"/>
        <v>307</v>
      </c>
      <c r="B360" s="11" t="s">
        <v>34</v>
      </c>
      <c r="C360" s="133" t="s">
        <v>1103</v>
      </c>
      <c r="D360" s="133" t="s">
        <v>1236</v>
      </c>
      <c r="E360" s="133"/>
      <c r="F360" s="133" t="s">
        <v>37</v>
      </c>
      <c r="G360" s="134" t="s">
        <v>1237</v>
      </c>
      <c r="H360" s="133" t="s">
        <v>741</v>
      </c>
      <c r="I360" s="133" t="s">
        <v>741</v>
      </c>
      <c r="J360" s="135" t="s">
        <v>1238</v>
      </c>
      <c r="K360" s="133" t="s">
        <v>1098</v>
      </c>
      <c r="L360" s="133">
        <v>100</v>
      </c>
      <c r="M360" s="133"/>
      <c r="N360" s="133" t="s">
        <v>1143</v>
      </c>
      <c r="O360" s="133" t="s">
        <v>1239</v>
      </c>
      <c r="P360" s="133">
        <v>1984</v>
      </c>
      <c r="Q360" s="133">
        <v>1</v>
      </c>
      <c r="R360" s="133">
        <v>2</v>
      </c>
      <c r="S360" s="133">
        <v>0</v>
      </c>
      <c r="T360" s="133">
        <v>0</v>
      </c>
      <c r="U360" s="133">
        <v>0</v>
      </c>
      <c r="V360" s="133">
        <v>0</v>
      </c>
      <c r="W360" s="133">
        <v>0</v>
      </c>
      <c r="X360" s="133">
        <v>0</v>
      </c>
      <c r="Y360" s="133"/>
      <c r="Z360" s="133">
        <v>0</v>
      </c>
      <c r="AA360" s="133"/>
      <c r="AB360" s="133"/>
      <c r="AC360" s="133">
        <f t="shared" si="33"/>
        <v>0</v>
      </c>
      <c r="AD360" s="133"/>
      <c r="AE360" s="136"/>
      <c r="AG360" s="137"/>
    </row>
    <row r="361" spans="1:33" s="14" customFormat="1">
      <c r="A361" s="133">
        <f t="shared" si="34"/>
        <v>308</v>
      </c>
      <c r="B361" s="11" t="s">
        <v>34</v>
      </c>
      <c r="C361" s="133" t="s">
        <v>1103</v>
      </c>
      <c r="D361" s="133" t="s">
        <v>1240</v>
      </c>
      <c r="E361" s="133"/>
      <c r="F361" s="133" t="s">
        <v>37</v>
      </c>
      <c r="G361" s="134" t="s">
        <v>1241</v>
      </c>
      <c r="H361" s="133" t="s">
        <v>246</v>
      </c>
      <c r="I361" s="133" t="s">
        <v>246</v>
      </c>
      <c r="J361" s="135" t="s">
        <v>1242</v>
      </c>
      <c r="K361" s="133" t="s">
        <v>1098</v>
      </c>
      <c r="L361" s="133">
        <v>160</v>
      </c>
      <c r="M361" s="133"/>
      <c r="N361" s="133" t="s">
        <v>93</v>
      </c>
      <c r="O361" s="133" t="s">
        <v>1243</v>
      </c>
      <c r="P361" s="133">
        <v>1986</v>
      </c>
      <c r="Q361" s="133">
        <v>1</v>
      </c>
      <c r="R361" s="133">
        <v>3</v>
      </c>
      <c r="S361" s="133"/>
      <c r="T361" s="133"/>
      <c r="U361" s="133"/>
      <c r="V361" s="133"/>
      <c r="W361" s="133"/>
      <c r="X361" s="133"/>
      <c r="Y361" s="133"/>
      <c r="Z361" s="133"/>
      <c r="AA361" s="133"/>
      <c r="AB361" s="133"/>
      <c r="AC361" s="133">
        <f t="shared" si="33"/>
        <v>0</v>
      </c>
      <c r="AD361" s="133"/>
      <c r="AE361" s="136"/>
      <c r="AG361" s="137"/>
    </row>
    <row r="362" spans="1:33" s="14" customFormat="1">
      <c r="A362" s="133">
        <f t="shared" si="34"/>
        <v>309</v>
      </c>
      <c r="B362" s="11" t="s">
        <v>34</v>
      </c>
      <c r="C362" s="133" t="s">
        <v>1103</v>
      </c>
      <c r="D362" s="133" t="s">
        <v>1244</v>
      </c>
      <c r="E362" s="133"/>
      <c r="F362" s="133" t="s">
        <v>37</v>
      </c>
      <c r="G362" s="134" t="s">
        <v>1245</v>
      </c>
      <c r="H362" s="133" t="s">
        <v>741</v>
      </c>
      <c r="I362" s="133" t="s">
        <v>741</v>
      </c>
      <c r="J362" s="135" t="s">
        <v>1246</v>
      </c>
      <c r="K362" s="133" t="s">
        <v>1098</v>
      </c>
      <c r="L362" s="133">
        <v>50</v>
      </c>
      <c r="M362" s="133"/>
      <c r="N362" s="133" t="s">
        <v>59</v>
      </c>
      <c r="O362" s="133" t="s">
        <v>1247</v>
      </c>
      <c r="P362" s="133">
        <v>2015</v>
      </c>
      <c r="Q362" s="133">
        <v>1</v>
      </c>
      <c r="R362" s="133">
        <v>2</v>
      </c>
      <c r="S362" s="133">
        <v>0</v>
      </c>
      <c r="T362" s="133">
        <v>0</v>
      </c>
      <c r="U362" s="133">
        <v>0</v>
      </c>
      <c r="V362" s="133">
        <v>0</v>
      </c>
      <c r="W362" s="133">
        <v>0</v>
      </c>
      <c r="X362" s="133">
        <v>0</v>
      </c>
      <c r="Y362" s="133"/>
      <c r="Z362" s="133">
        <v>0</v>
      </c>
      <c r="AA362" s="133"/>
      <c r="AB362" s="133"/>
      <c r="AC362" s="133">
        <f t="shared" si="33"/>
        <v>0</v>
      </c>
      <c r="AD362" s="133"/>
      <c r="AE362" s="136"/>
      <c r="AG362" s="137"/>
    </row>
    <row r="363" spans="1:33" s="14" customFormat="1">
      <c r="A363" s="133">
        <f t="shared" si="34"/>
        <v>310</v>
      </c>
      <c r="B363" s="11" t="s">
        <v>34</v>
      </c>
      <c r="C363" s="133" t="s">
        <v>1103</v>
      </c>
      <c r="D363" s="133" t="s">
        <v>1248</v>
      </c>
      <c r="E363" s="133"/>
      <c r="F363" s="133" t="s">
        <v>37</v>
      </c>
      <c r="G363" s="134" t="s">
        <v>1249</v>
      </c>
      <c r="H363" s="133" t="s">
        <v>741</v>
      </c>
      <c r="I363" s="133" t="s">
        <v>741</v>
      </c>
      <c r="J363" s="135" t="s">
        <v>1250</v>
      </c>
      <c r="K363" s="133" t="s">
        <v>1098</v>
      </c>
      <c r="L363" s="133">
        <v>100</v>
      </c>
      <c r="M363" s="133"/>
      <c r="N363" s="133" t="s">
        <v>641</v>
      </c>
      <c r="O363" s="133">
        <v>1703169</v>
      </c>
      <c r="P363" s="133">
        <v>2017</v>
      </c>
      <c r="Q363" s="133">
        <v>1</v>
      </c>
      <c r="R363" s="133">
        <v>2</v>
      </c>
      <c r="S363" s="133"/>
      <c r="T363" s="133"/>
      <c r="U363" s="133"/>
      <c r="V363" s="133"/>
      <c r="W363" s="133"/>
      <c r="X363" s="133"/>
      <c r="Y363" s="133"/>
      <c r="Z363" s="133"/>
      <c r="AA363" s="133"/>
      <c r="AB363" s="133"/>
      <c r="AC363" s="133">
        <f t="shared" si="33"/>
        <v>0</v>
      </c>
      <c r="AD363" s="133"/>
      <c r="AE363" s="136"/>
      <c r="AG363" s="137"/>
    </row>
    <row r="364" spans="1:33" s="14" customFormat="1">
      <c r="A364" s="133">
        <f t="shared" si="34"/>
        <v>311</v>
      </c>
      <c r="B364" s="11" t="s">
        <v>34</v>
      </c>
      <c r="C364" s="133" t="s">
        <v>1103</v>
      </c>
      <c r="D364" s="133" t="s">
        <v>1251</v>
      </c>
      <c r="E364" s="133"/>
      <c r="F364" s="133" t="s">
        <v>37</v>
      </c>
      <c r="G364" s="134" t="s">
        <v>1252</v>
      </c>
      <c r="H364" s="133" t="s">
        <v>741</v>
      </c>
      <c r="I364" s="133" t="s">
        <v>741</v>
      </c>
      <c r="J364" s="135" t="s">
        <v>1253</v>
      </c>
      <c r="K364" s="133" t="s">
        <v>1098</v>
      </c>
      <c r="L364" s="133">
        <v>50</v>
      </c>
      <c r="M364" s="133"/>
      <c r="N364" s="133" t="s">
        <v>1254</v>
      </c>
      <c r="O364" s="133" t="s">
        <v>1255</v>
      </c>
      <c r="P364" s="133">
        <v>2001</v>
      </c>
      <c r="Q364" s="133">
        <v>1</v>
      </c>
      <c r="R364" s="133">
        <v>2</v>
      </c>
      <c r="S364" s="133">
        <v>0</v>
      </c>
      <c r="T364" s="133">
        <v>0</v>
      </c>
      <c r="U364" s="133">
        <v>0</v>
      </c>
      <c r="V364" s="133">
        <v>0</v>
      </c>
      <c r="W364" s="133">
        <v>0</v>
      </c>
      <c r="X364" s="133">
        <v>0</v>
      </c>
      <c r="Y364" s="133"/>
      <c r="Z364" s="133">
        <v>0</v>
      </c>
      <c r="AA364" s="133"/>
      <c r="AB364" s="133"/>
      <c r="AC364" s="133">
        <f t="shared" si="33"/>
        <v>0</v>
      </c>
      <c r="AD364" s="133"/>
      <c r="AE364" s="136"/>
      <c r="AG364" s="137"/>
    </row>
    <row r="365" spans="1:33" s="14" customFormat="1">
      <c r="A365" s="133">
        <f t="shared" si="34"/>
        <v>312</v>
      </c>
      <c r="B365" s="11" t="s">
        <v>34</v>
      </c>
      <c r="C365" s="133" t="s">
        <v>1103</v>
      </c>
      <c r="D365" s="133" t="s">
        <v>1256</v>
      </c>
      <c r="E365" s="133"/>
      <c r="F365" s="133" t="s">
        <v>37</v>
      </c>
      <c r="G365" s="134" t="s">
        <v>1257</v>
      </c>
      <c r="H365" s="133" t="s">
        <v>741</v>
      </c>
      <c r="I365" s="133" t="s">
        <v>741</v>
      </c>
      <c r="J365" s="135" t="s">
        <v>1258</v>
      </c>
      <c r="K365" s="133" t="s">
        <v>1098</v>
      </c>
      <c r="L365" s="133">
        <v>160</v>
      </c>
      <c r="M365" s="133"/>
      <c r="N365" s="133" t="s">
        <v>43</v>
      </c>
      <c r="O365" s="133">
        <v>77474</v>
      </c>
      <c r="P365" s="133">
        <v>2004</v>
      </c>
      <c r="Q365" s="133">
        <v>1</v>
      </c>
      <c r="R365" s="133">
        <v>2</v>
      </c>
      <c r="S365" s="133">
        <v>0</v>
      </c>
      <c r="T365" s="133">
        <v>0</v>
      </c>
      <c r="U365" s="133">
        <v>0</v>
      </c>
      <c r="V365" s="133">
        <v>0</v>
      </c>
      <c r="W365" s="133">
        <v>0</v>
      </c>
      <c r="X365" s="133">
        <v>0</v>
      </c>
      <c r="Y365" s="133"/>
      <c r="Z365" s="133">
        <v>0</v>
      </c>
      <c r="AA365" s="133"/>
      <c r="AB365" s="133"/>
      <c r="AC365" s="133">
        <f t="shared" si="33"/>
        <v>0</v>
      </c>
      <c r="AD365" s="133"/>
      <c r="AE365" s="136"/>
      <c r="AG365" s="137"/>
    </row>
    <row r="366" spans="1:33" s="14" customFormat="1">
      <c r="A366" s="133">
        <f t="shared" si="34"/>
        <v>313</v>
      </c>
      <c r="B366" s="11" t="s">
        <v>34</v>
      </c>
      <c r="C366" s="133" t="s">
        <v>1103</v>
      </c>
      <c r="D366" s="133" t="s">
        <v>1259</v>
      </c>
      <c r="E366" s="133"/>
      <c r="F366" s="133" t="s">
        <v>37</v>
      </c>
      <c r="G366" s="134" t="s">
        <v>1260</v>
      </c>
      <c r="H366" s="133" t="s">
        <v>741</v>
      </c>
      <c r="I366" s="133" t="s">
        <v>741</v>
      </c>
      <c r="J366" s="135" t="s">
        <v>1261</v>
      </c>
      <c r="K366" s="133" t="s">
        <v>1098</v>
      </c>
      <c r="L366" s="133" t="s">
        <v>974</v>
      </c>
      <c r="M366" s="133"/>
      <c r="N366" s="133" t="s">
        <v>641</v>
      </c>
      <c r="O366" s="133" t="s">
        <v>1262</v>
      </c>
      <c r="P366" s="133" t="s">
        <v>766</v>
      </c>
      <c r="Q366" s="133" t="s">
        <v>96</v>
      </c>
      <c r="R366" s="133" t="s">
        <v>482</v>
      </c>
      <c r="S366" s="133" t="s">
        <v>907</v>
      </c>
      <c r="T366" s="133" t="s">
        <v>907</v>
      </c>
      <c r="U366" s="133">
        <v>0</v>
      </c>
      <c r="V366" s="133">
        <v>0</v>
      </c>
      <c r="W366" s="133">
        <v>0</v>
      </c>
      <c r="X366" s="133">
        <v>0</v>
      </c>
      <c r="Y366" s="133"/>
      <c r="Z366" s="133">
        <v>0</v>
      </c>
      <c r="AA366" s="133"/>
      <c r="AB366" s="133"/>
      <c r="AC366" s="133">
        <f t="shared" si="33"/>
        <v>0</v>
      </c>
      <c r="AD366" s="133"/>
      <c r="AE366" s="136" t="s">
        <v>986</v>
      </c>
      <c r="AG366" s="137" t="s">
        <v>986</v>
      </c>
    </row>
    <row r="367" spans="1:33" s="14" customFormat="1">
      <c r="A367" s="133">
        <f t="shared" si="34"/>
        <v>314</v>
      </c>
      <c r="B367" s="11" t="s">
        <v>34</v>
      </c>
      <c r="C367" s="133" t="s">
        <v>1103</v>
      </c>
      <c r="D367" s="133" t="s">
        <v>1263</v>
      </c>
      <c r="E367" s="133"/>
      <c r="F367" s="133" t="s">
        <v>37</v>
      </c>
      <c r="G367" s="134" t="s">
        <v>1264</v>
      </c>
      <c r="H367" s="133" t="s">
        <v>246</v>
      </c>
      <c r="I367" s="133" t="s">
        <v>246</v>
      </c>
      <c r="J367" s="135" t="s">
        <v>1265</v>
      </c>
      <c r="K367" s="133" t="s">
        <v>1098</v>
      </c>
      <c r="L367" s="133">
        <v>200</v>
      </c>
      <c r="M367" s="133"/>
      <c r="N367" s="133" t="s">
        <v>424</v>
      </c>
      <c r="O367" s="133" t="s">
        <v>1266</v>
      </c>
      <c r="P367" s="133" t="s">
        <v>643</v>
      </c>
      <c r="Q367" s="133">
        <v>1</v>
      </c>
      <c r="R367" s="133">
        <v>3</v>
      </c>
      <c r="S367" s="133">
        <v>0</v>
      </c>
      <c r="T367" s="133">
        <v>0</v>
      </c>
      <c r="U367" s="133">
        <v>0</v>
      </c>
      <c r="V367" s="133">
        <v>0</v>
      </c>
      <c r="W367" s="133">
        <v>0</v>
      </c>
      <c r="X367" s="133">
        <v>0</v>
      </c>
      <c r="Y367" s="133"/>
      <c r="Z367" s="133">
        <v>0</v>
      </c>
      <c r="AA367" s="133"/>
      <c r="AB367" s="133"/>
      <c r="AC367" s="133">
        <f t="shared" si="33"/>
        <v>0</v>
      </c>
      <c r="AD367" s="133"/>
      <c r="AE367" s="136" t="s">
        <v>1267</v>
      </c>
      <c r="AG367" s="137"/>
    </row>
    <row r="368" spans="1:33" s="14" customFormat="1">
      <c r="A368" s="133">
        <f t="shared" si="34"/>
        <v>315</v>
      </c>
      <c r="B368" s="11" t="s">
        <v>34</v>
      </c>
      <c r="C368" s="133" t="s">
        <v>1103</v>
      </c>
      <c r="D368" s="133" t="s">
        <v>1268</v>
      </c>
      <c r="E368" s="133"/>
      <c r="F368" s="133" t="s">
        <v>37</v>
      </c>
      <c r="G368" s="134" t="s">
        <v>1269</v>
      </c>
      <c r="H368" s="133" t="s">
        <v>741</v>
      </c>
      <c r="I368" s="133" t="s">
        <v>741</v>
      </c>
      <c r="J368" s="135" t="s">
        <v>1270</v>
      </c>
      <c r="K368" s="133" t="s">
        <v>1098</v>
      </c>
      <c r="L368" s="133">
        <v>100</v>
      </c>
      <c r="M368" s="133"/>
      <c r="N368" s="133" t="s">
        <v>863</v>
      </c>
      <c r="O368" s="133" t="s">
        <v>1271</v>
      </c>
      <c r="P368" s="133">
        <v>2012</v>
      </c>
      <c r="Q368" s="133">
        <v>1</v>
      </c>
      <c r="R368" s="133" t="s">
        <v>482</v>
      </c>
      <c r="S368" s="133"/>
      <c r="T368" s="133"/>
      <c r="U368" s="133"/>
      <c r="V368" s="133"/>
      <c r="W368" s="133"/>
      <c r="X368" s="133"/>
      <c r="Y368" s="133"/>
      <c r="Z368" s="133"/>
      <c r="AA368" s="133"/>
      <c r="AB368" s="133"/>
      <c r="AC368" s="133">
        <f t="shared" si="33"/>
        <v>0</v>
      </c>
      <c r="AD368" s="133"/>
      <c r="AE368" s="136"/>
      <c r="AG368" s="137"/>
    </row>
    <row r="369" spans="1:33" s="14" customFormat="1">
      <c r="A369" s="133">
        <f t="shared" si="34"/>
        <v>316</v>
      </c>
      <c r="B369" s="11" t="s">
        <v>34</v>
      </c>
      <c r="C369" s="133" t="s">
        <v>1103</v>
      </c>
      <c r="D369" s="133" t="s">
        <v>1272</v>
      </c>
      <c r="E369" s="133"/>
      <c r="F369" s="133" t="s">
        <v>37</v>
      </c>
      <c r="G369" s="134" t="s">
        <v>1273</v>
      </c>
      <c r="H369" s="133" t="s">
        <v>741</v>
      </c>
      <c r="I369" s="133" t="s">
        <v>741</v>
      </c>
      <c r="J369" s="135" t="s">
        <v>1274</v>
      </c>
      <c r="K369" s="133" t="s">
        <v>1098</v>
      </c>
      <c r="L369" s="133">
        <v>100</v>
      </c>
      <c r="M369" s="133"/>
      <c r="N369" s="133" t="s">
        <v>93</v>
      </c>
      <c r="O369" s="138" t="s">
        <v>1275</v>
      </c>
      <c r="P369" s="133">
        <v>2021</v>
      </c>
      <c r="Q369" s="133">
        <v>1</v>
      </c>
      <c r="R369" s="133">
        <v>2</v>
      </c>
      <c r="S369" s="133">
        <v>0</v>
      </c>
      <c r="T369" s="133">
        <v>0</v>
      </c>
      <c r="U369" s="133">
        <v>0</v>
      </c>
      <c r="V369" s="133">
        <v>0</v>
      </c>
      <c r="W369" s="133">
        <v>0</v>
      </c>
      <c r="X369" s="133">
        <v>0</v>
      </c>
      <c r="Y369" s="133"/>
      <c r="Z369" s="133">
        <v>0</v>
      </c>
      <c r="AA369" s="133"/>
      <c r="AB369" s="133"/>
      <c r="AC369" s="133">
        <f t="shared" si="33"/>
        <v>0</v>
      </c>
      <c r="AD369" s="133"/>
      <c r="AE369" s="136"/>
      <c r="AG369" s="137"/>
    </row>
    <row r="370" spans="1:33" s="14" customFormat="1">
      <c r="A370" s="133">
        <f t="shared" si="34"/>
        <v>317</v>
      </c>
      <c r="B370" s="11" t="s">
        <v>34</v>
      </c>
      <c r="C370" s="133" t="s">
        <v>1103</v>
      </c>
      <c r="D370" s="133" t="s">
        <v>1276</v>
      </c>
      <c r="E370" s="133"/>
      <c r="F370" s="133" t="s">
        <v>37</v>
      </c>
      <c r="G370" s="134" t="s">
        <v>1277</v>
      </c>
      <c r="H370" s="133" t="s">
        <v>741</v>
      </c>
      <c r="I370" s="133" t="s">
        <v>741</v>
      </c>
      <c r="J370" s="135" t="s">
        <v>1278</v>
      </c>
      <c r="K370" s="133" t="s">
        <v>1098</v>
      </c>
      <c r="L370" s="133">
        <v>50</v>
      </c>
      <c r="M370" s="133"/>
      <c r="N370" s="133" t="s">
        <v>59</v>
      </c>
      <c r="O370" s="133" t="s">
        <v>1279</v>
      </c>
      <c r="P370" s="133">
        <v>2015</v>
      </c>
      <c r="Q370" s="133">
        <v>1</v>
      </c>
      <c r="R370" s="133">
        <v>2</v>
      </c>
      <c r="S370" s="133">
        <v>0</v>
      </c>
      <c r="T370" s="133">
        <v>0</v>
      </c>
      <c r="U370" s="133">
        <v>0</v>
      </c>
      <c r="V370" s="133">
        <v>0</v>
      </c>
      <c r="W370" s="133">
        <v>0</v>
      </c>
      <c r="X370" s="133">
        <v>0</v>
      </c>
      <c r="Y370" s="133"/>
      <c r="Z370" s="133">
        <v>0</v>
      </c>
      <c r="AA370" s="133"/>
      <c r="AB370" s="133"/>
      <c r="AC370" s="133">
        <f t="shared" si="33"/>
        <v>0</v>
      </c>
      <c r="AD370" s="133"/>
      <c r="AE370" s="136"/>
      <c r="AG370" s="137"/>
    </row>
    <row r="371" spans="1:33" s="14" customFormat="1">
      <c r="A371" s="133">
        <f t="shared" si="34"/>
        <v>318</v>
      </c>
      <c r="B371" s="11" t="s">
        <v>34</v>
      </c>
      <c r="C371" s="133" t="s">
        <v>1103</v>
      </c>
      <c r="D371" s="133" t="s">
        <v>1280</v>
      </c>
      <c r="E371" s="133"/>
      <c r="F371" s="133" t="s">
        <v>37</v>
      </c>
      <c r="G371" s="134" t="s">
        <v>1281</v>
      </c>
      <c r="H371" s="133" t="s">
        <v>741</v>
      </c>
      <c r="I371" s="133" t="s">
        <v>741</v>
      </c>
      <c r="J371" s="135" t="s">
        <v>1282</v>
      </c>
      <c r="K371" s="133" t="s">
        <v>1098</v>
      </c>
      <c r="L371" s="133">
        <v>100</v>
      </c>
      <c r="M371" s="133"/>
      <c r="N371" s="133" t="s">
        <v>863</v>
      </c>
      <c r="O371" s="133" t="s">
        <v>1283</v>
      </c>
      <c r="P371" s="133">
        <v>2007</v>
      </c>
      <c r="Q371" s="133">
        <v>1</v>
      </c>
      <c r="R371" s="133" t="s">
        <v>482</v>
      </c>
      <c r="S371" s="133">
        <v>0</v>
      </c>
      <c r="T371" s="133">
        <v>0</v>
      </c>
      <c r="U371" s="133">
        <v>0</v>
      </c>
      <c r="V371" s="133">
        <v>0</v>
      </c>
      <c r="W371" s="133">
        <v>0</v>
      </c>
      <c r="X371" s="133">
        <v>0</v>
      </c>
      <c r="Y371" s="133"/>
      <c r="Z371" s="133">
        <v>0</v>
      </c>
      <c r="AA371" s="133"/>
      <c r="AB371" s="133"/>
      <c r="AC371" s="133">
        <f t="shared" si="33"/>
        <v>0</v>
      </c>
      <c r="AD371" s="133"/>
      <c r="AE371" s="136"/>
      <c r="AG371" s="137"/>
    </row>
    <row r="372" spans="1:33" s="37" customFormat="1">
      <c r="A372" s="154">
        <f t="shared" si="34"/>
        <v>319</v>
      </c>
      <c r="B372" s="33" t="s">
        <v>34</v>
      </c>
      <c r="C372" s="154" t="s">
        <v>1103</v>
      </c>
      <c r="D372" s="154" t="s">
        <v>1284</v>
      </c>
      <c r="E372" s="154"/>
      <c r="F372" s="154" t="s">
        <v>63</v>
      </c>
      <c r="G372" s="155" t="s">
        <v>1285</v>
      </c>
      <c r="H372" s="154" t="s">
        <v>39</v>
      </c>
      <c r="I372" s="154" t="s">
        <v>40</v>
      </c>
      <c r="J372" s="156" t="s">
        <v>1286</v>
      </c>
      <c r="K372" s="154" t="s">
        <v>1098</v>
      </c>
      <c r="L372" s="154"/>
      <c r="M372" s="154" t="s">
        <v>1287</v>
      </c>
      <c r="N372" s="154"/>
      <c r="O372" s="154"/>
      <c r="P372" s="154"/>
      <c r="Q372" s="154"/>
      <c r="R372" s="154">
        <v>1</v>
      </c>
      <c r="S372" s="154" t="s">
        <v>88</v>
      </c>
      <c r="T372" s="154" t="s">
        <v>89</v>
      </c>
      <c r="U372" s="154">
        <v>1</v>
      </c>
      <c r="V372" s="154">
        <v>0</v>
      </c>
      <c r="W372" s="154">
        <v>0</v>
      </c>
      <c r="X372" s="154">
        <v>0</v>
      </c>
      <c r="Y372" s="154"/>
      <c r="Z372" s="154">
        <v>0</v>
      </c>
      <c r="AA372" s="154"/>
      <c r="AB372" s="154"/>
      <c r="AC372" s="154">
        <f t="shared" si="33"/>
        <v>1</v>
      </c>
      <c r="AD372" s="154"/>
      <c r="AE372" s="157"/>
      <c r="AG372" s="158"/>
    </row>
    <row r="373" spans="1:33" s="14" customFormat="1">
      <c r="A373" s="133">
        <f t="shared" si="34"/>
        <v>320</v>
      </c>
      <c r="B373" s="11" t="s">
        <v>34</v>
      </c>
      <c r="C373" s="133" t="s">
        <v>1103</v>
      </c>
      <c r="D373" s="133" t="s">
        <v>1288</v>
      </c>
      <c r="E373" s="133"/>
      <c r="F373" s="133" t="s">
        <v>37</v>
      </c>
      <c r="G373" s="134" t="s">
        <v>1289</v>
      </c>
      <c r="H373" s="133" t="s">
        <v>741</v>
      </c>
      <c r="I373" s="133" t="s">
        <v>741</v>
      </c>
      <c r="J373" s="135" t="s">
        <v>1290</v>
      </c>
      <c r="K373" s="133" t="s">
        <v>1098</v>
      </c>
      <c r="L373" s="133">
        <v>50</v>
      </c>
      <c r="M373" s="133"/>
      <c r="N373" s="133" t="s">
        <v>424</v>
      </c>
      <c r="O373" s="133" t="s">
        <v>1291</v>
      </c>
      <c r="P373" s="133">
        <v>2012</v>
      </c>
      <c r="Q373" s="133">
        <v>1</v>
      </c>
      <c r="R373" s="133" t="s">
        <v>482</v>
      </c>
      <c r="S373" s="133"/>
      <c r="T373" s="133"/>
      <c r="U373" s="133"/>
      <c r="V373" s="133"/>
      <c r="W373" s="133"/>
      <c r="X373" s="133"/>
      <c r="Y373" s="133"/>
      <c r="Z373" s="133"/>
      <c r="AA373" s="133"/>
      <c r="AB373" s="133"/>
      <c r="AC373" s="133">
        <f t="shared" si="33"/>
        <v>0</v>
      </c>
      <c r="AD373" s="133"/>
      <c r="AE373" s="136"/>
      <c r="AG373" s="137"/>
    </row>
    <row r="374" spans="1:33" s="14" customFormat="1">
      <c r="A374" s="133">
        <f t="shared" si="34"/>
        <v>321</v>
      </c>
      <c r="B374" s="11" t="s">
        <v>34</v>
      </c>
      <c r="C374" s="133" t="s">
        <v>1103</v>
      </c>
      <c r="D374" s="133" t="s">
        <v>1292</v>
      </c>
      <c r="E374" s="133"/>
      <c r="F374" s="133" t="s">
        <v>37</v>
      </c>
      <c r="G374" s="134" t="s">
        <v>1285</v>
      </c>
      <c r="H374" s="133" t="s">
        <v>246</v>
      </c>
      <c r="I374" s="133" t="s">
        <v>246</v>
      </c>
      <c r="J374" s="135" t="s">
        <v>1293</v>
      </c>
      <c r="K374" s="133" t="s">
        <v>1098</v>
      </c>
      <c r="L374" s="133">
        <v>100</v>
      </c>
      <c r="M374" s="133"/>
      <c r="N374" s="133" t="s">
        <v>641</v>
      </c>
      <c r="O374" s="133" t="s">
        <v>1294</v>
      </c>
      <c r="P374" s="133" t="s">
        <v>255</v>
      </c>
      <c r="Q374" s="133">
        <v>1</v>
      </c>
      <c r="R374" s="133">
        <v>2</v>
      </c>
      <c r="S374" s="133">
        <v>0</v>
      </c>
      <c r="T374" s="133">
        <v>0</v>
      </c>
      <c r="U374" s="133">
        <v>0</v>
      </c>
      <c r="V374" s="133">
        <v>0</v>
      </c>
      <c r="W374" s="133">
        <v>0</v>
      </c>
      <c r="X374" s="133">
        <v>0</v>
      </c>
      <c r="Y374" s="133"/>
      <c r="Z374" s="133">
        <v>0</v>
      </c>
      <c r="AA374" s="133"/>
      <c r="AB374" s="133"/>
      <c r="AC374" s="133">
        <f t="shared" si="33"/>
        <v>0</v>
      </c>
      <c r="AD374" s="133"/>
      <c r="AE374" s="136"/>
      <c r="AG374" s="137"/>
    </row>
    <row r="375" spans="1:33" s="14" customFormat="1">
      <c r="A375" s="133">
        <f t="shared" si="34"/>
        <v>322</v>
      </c>
      <c r="B375" s="11" t="s">
        <v>34</v>
      </c>
      <c r="C375" s="133" t="s">
        <v>1103</v>
      </c>
      <c r="D375" s="133" t="s">
        <v>1295</v>
      </c>
      <c r="E375" s="133"/>
      <c r="F375" s="133" t="s">
        <v>37</v>
      </c>
      <c r="G375" s="134" t="s">
        <v>1296</v>
      </c>
      <c r="H375" s="133" t="s">
        <v>741</v>
      </c>
      <c r="I375" s="133" t="s">
        <v>741</v>
      </c>
      <c r="J375" s="135" t="s">
        <v>1297</v>
      </c>
      <c r="K375" s="133" t="s">
        <v>1114</v>
      </c>
      <c r="L375" s="133">
        <v>100</v>
      </c>
      <c r="M375" s="133"/>
      <c r="N375" s="133" t="s">
        <v>59</v>
      </c>
      <c r="O375" s="133" t="s">
        <v>1298</v>
      </c>
      <c r="P375" s="133" t="s">
        <v>405</v>
      </c>
      <c r="Q375" s="133">
        <v>1</v>
      </c>
      <c r="R375" s="133">
        <v>2</v>
      </c>
      <c r="S375" s="133">
        <v>0</v>
      </c>
      <c r="T375" s="133">
        <v>0</v>
      </c>
      <c r="U375" s="133">
        <v>0</v>
      </c>
      <c r="V375" s="133">
        <v>0</v>
      </c>
      <c r="W375" s="133">
        <v>0</v>
      </c>
      <c r="X375" s="133">
        <v>0</v>
      </c>
      <c r="Y375" s="133"/>
      <c r="Z375" s="133">
        <v>0</v>
      </c>
      <c r="AA375" s="133"/>
      <c r="AB375" s="133"/>
      <c r="AC375" s="133">
        <f t="shared" si="33"/>
        <v>0</v>
      </c>
      <c r="AD375" s="133"/>
      <c r="AE375" s="136" t="s">
        <v>1299</v>
      </c>
      <c r="AG375" s="137"/>
    </row>
    <row r="376" spans="1:33" s="14" customFormat="1">
      <c r="A376" s="133">
        <f t="shared" si="34"/>
        <v>323</v>
      </c>
      <c r="B376" s="11" t="s">
        <v>34</v>
      </c>
      <c r="C376" s="133" t="s">
        <v>1103</v>
      </c>
      <c r="D376" s="133" t="s">
        <v>1300</v>
      </c>
      <c r="E376" s="133"/>
      <c r="F376" s="133" t="s">
        <v>63</v>
      </c>
      <c r="G376" s="134" t="s">
        <v>1301</v>
      </c>
      <c r="H376" s="133" t="s">
        <v>246</v>
      </c>
      <c r="I376" s="133" t="s">
        <v>246</v>
      </c>
      <c r="J376" s="133" t="s">
        <v>1302</v>
      </c>
      <c r="K376" s="133" t="s">
        <v>1098</v>
      </c>
      <c r="L376" s="133" t="s">
        <v>335</v>
      </c>
      <c r="M376" s="133"/>
      <c r="N376" s="159" t="s">
        <v>93</v>
      </c>
      <c r="O376" s="160" t="s">
        <v>1303</v>
      </c>
      <c r="P376" s="133" t="s">
        <v>1304</v>
      </c>
      <c r="Q376" s="133" t="s">
        <v>96</v>
      </c>
      <c r="R376" s="133" t="s">
        <v>96</v>
      </c>
      <c r="S376" s="133" t="s">
        <v>907</v>
      </c>
      <c r="T376" s="133" t="s">
        <v>907</v>
      </c>
      <c r="U376" s="133" t="s">
        <v>907</v>
      </c>
      <c r="V376" s="133" t="s">
        <v>907</v>
      </c>
      <c r="W376" s="133" t="s">
        <v>907</v>
      </c>
      <c r="X376" s="133" t="s">
        <v>907</v>
      </c>
      <c r="Y376" s="133"/>
      <c r="Z376" s="133" t="s">
        <v>907</v>
      </c>
      <c r="AA376" s="133"/>
      <c r="AB376" s="133"/>
      <c r="AC376" s="133" t="s">
        <v>907</v>
      </c>
      <c r="AD376" s="133"/>
      <c r="AE376" s="136"/>
      <c r="AG376" s="137"/>
    </row>
    <row r="377" spans="1:33" s="164" customFormat="1">
      <c r="A377" s="220">
        <f t="shared" si="34"/>
        <v>324</v>
      </c>
      <c r="B377" s="11" t="s">
        <v>34</v>
      </c>
      <c r="C377" s="161" t="s">
        <v>1103</v>
      </c>
      <c r="D377" s="161" t="s">
        <v>1305</v>
      </c>
      <c r="E377" s="161"/>
      <c r="F377" s="161" t="s">
        <v>37</v>
      </c>
      <c r="G377" s="162" t="s">
        <v>1306</v>
      </c>
      <c r="H377" s="161" t="s">
        <v>741</v>
      </c>
      <c r="I377" s="133" t="s">
        <v>741</v>
      </c>
      <c r="J377" s="163" t="s">
        <v>1307</v>
      </c>
      <c r="K377" s="161" t="s">
        <v>1114</v>
      </c>
      <c r="L377" s="133">
        <v>25</v>
      </c>
      <c r="M377" s="133"/>
      <c r="N377" s="133" t="s">
        <v>664</v>
      </c>
      <c r="O377" s="133">
        <v>9206135</v>
      </c>
      <c r="P377" s="133"/>
      <c r="Q377" s="133"/>
      <c r="R377" s="133">
        <v>1</v>
      </c>
      <c r="S377" s="133">
        <v>0</v>
      </c>
      <c r="T377" s="133">
        <v>0</v>
      </c>
      <c r="U377" s="133">
        <v>0</v>
      </c>
      <c r="V377" s="133">
        <v>0</v>
      </c>
      <c r="W377" s="133">
        <v>0</v>
      </c>
      <c r="X377" s="133">
        <v>0</v>
      </c>
      <c r="Y377" s="133"/>
      <c r="Z377" s="133">
        <v>0</v>
      </c>
      <c r="AA377" s="133"/>
      <c r="AB377" s="133"/>
      <c r="AC377" s="133">
        <f t="shared" si="33"/>
        <v>0</v>
      </c>
      <c r="AD377" s="133"/>
      <c r="AE377" s="136"/>
      <c r="AG377" s="137"/>
    </row>
    <row r="378" spans="1:33" s="14" customFormat="1">
      <c r="A378" s="221"/>
      <c r="B378" s="11" t="s">
        <v>34</v>
      </c>
      <c r="C378" s="165"/>
      <c r="D378" s="165"/>
      <c r="E378" s="165"/>
      <c r="F378" s="165"/>
      <c r="G378" s="166"/>
      <c r="H378" s="165"/>
      <c r="I378" s="165"/>
      <c r="J378" s="165"/>
      <c r="K378" s="165"/>
      <c r="L378" s="133">
        <v>25</v>
      </c>
      <c r="M378" s="133"/>
      <c r="N378" s="133" t="s">
        <v>1254</v>
      </c>
      <c r="O378" s="133" t="s">
        <v>1308</v>
      </c>
      <c r="P378" s="133">
        <v>1984</v>
      </c>
      <c r="Q378" s="133"/>
      <c r="R378" s="133">
        <v>1</v>
      </c>
      <c r="S378" s="133"/>
      <c r="T378" s="133"/>
      <c r="U378" s="133"/>
      <c r="V378" s="133"/>
      <c r="W378" s="133"/>
      <c r="X378" s="133"/>
      <c r="Y378" s="133"/>
      <c r="Z378" s="133"/>
      <c r="AA378" s="133"/>
      <c r="AB378" s="133"/>
      <c r="AC378" s="133">
        <f t="shared" si="33"/>
        <v>0</v>
      </c>
      <c r="AD378" s="133"/>
      <c r="AE378" s="136"/>
      <c r="AG378" s="137"/>
    </row>
    <row r="379" spans="1:33" s="164" customFormat="1">
      <c r="A379" s="167">
        <f>A377+1</f>
        <v>325</v>
      </c>
      <c r="B379" s="11" t="s">
        <v>34</v>
      </c>
      <c r="C379" s="161" t="s">
        <v>1103</v>
      </c>
      <c r="D379" s="161" t="s">
        <v>1309</v>
      </c>
      <c r="E379" s="161"/>
      <c r="F379" s="161" t="s">
        <v>37</v>
      </c>
      <c r="G379" s="162" t="s">
        <v>1310</v>
      </c>
      <c r="H379" s="161" t="s">
        <v>741</v>
      </c>
      <c r="I379" s="133" t="s">
        <v>741</v>
      </c>
      <c r="J379" s="161" t="s">
        <v>1311</v>
      </c>
      <c r="K379" s="161" t="s">
        <v>1114</v>
      </c>
      <c r="L379" s="133">
        <v>100</v>
      </c>
      <c r="M379" s="133"/>
      <c r="N379" s="133" t="s">
        <v>664</v>
      </c>
      <c r="O379" s="133" t="s">
        <v>1312</v>
      </c>
      <c r="P379" s="133" t="s">
        <v>95</v>
      </c>
      <c r="Q379" s="133" t="s">
        <v>96</v>
      </c>
      <c r="R379" s="133" t="s">
        <v>482</v>
      </c>
      <c r="S379" s="133">
        <v>0</v>
      </c>
      <c r="T379" s="133">
        <v>0</v>
      </c>
      <c r="U379" s="133">
        <v>0</v>
      </c>
      <c r="V379" s="133">
        <v>0</v>
      </c>
      <c r="W379" s="133">
        <v>0</v>
      </c>
      <c r="X379" s="133">
        <v>0</v>
      </c>
      <c r="Y379" s="133"/>
      <c r="Z379" s="133">
        <v>0</v>
      </c>
      <c r="AA379" s="133"/>
      <c r="AB379" s="133"/>
      <c r="AC379" s="133">
        <f t="shared" si="33"/>
        <v>0</v>
      </c>
      <c r="AD379" s="133"/>
      <c r="AE379" s="136"/>
      <c r="AG379" s="137"/>
    </row>
    <row r="380" spans="1:33" s="14" customFormat="1">
      <c r="A380" s="133">
        <f>A379+1</f>
        <v>326</v>
      </c>
      <c r="B380" s="11" t="s">
        <v>34</v>
      </c>
      <c r="C380" s="133" t="s">
        <v>1103</v>
      </c>
      <c r="D380" s="133" t="s">
        <v>1313</v>
      </c>
      <c r="E380" s="133"/>
      <c r="F380" s="133" t="s">
        <v>37</v>
      </c>
      <c r="G380" s="134" t="s">
        <v>1314</v>
      </c>
      <c r="H380" s="133" t="s">
        <v>246</v>
      </c>
      <c r="I380" s="133" t="s">
        <v>246</v>
      </c>
      <c r="J380" s="135" t="s">
        <v>1315</v>
      </c>
      <c r="K380" s="133" t="s">
        <v>1114</v>
      </c>
      <c r="L380" s="133">
        <v>250</v>
      </c>
      <c r="M380" s="133"/>
      <c r="N380" s="133" t="s">
        <v>424</v>
      </c>
      <c r="O380" s="133" t="s">
        <v>1316</v>
      </c>
      <c r="P380" s="133" t="s">
        <v>95</v>
      </c>
      <c r="Q380" s="133">
        <v>1</v>
      </c>
      <c r="R380" s="133">
        <v>2</v>
      </c>
      <c r="S380" s="133">
        <v>0</v>
      </c>
      <c r="T380" s="133">
        <v>0</v>
      </c>
      <c r="U380" s="133">
        <v>0</v>
      </c>
      <c r="V380" s="133">
        <v>0</v>
      </c>
      <c r="W380" s="133">
        <v>0</v>
      </c>
      <c r="X380" s="133">
        <v>0</v>
      </c>
      <c r="Y380" s="133"/>
      <c r="Z380" s="133">
        <v>0</v>
      </c>
      <c r="AA380" s="133"/>
      <c r="AB380" s="133"/>
      <c r="AC380" s="133">
        <f t="shared" si="33"/>
        <v>0</v>
      </c>
      <c r="AD380" s="133"/>
      <c r="AE380" s="136" t="s">
        <v>1317</v>
      </c>
      <c r="AG380" s="137"/>
    </row>
    <row r="381" spans="1:33" s="14" customFormat="1">
      <c r="A381" s="133">
        <f t="shared" ref="A381:A444" si="35">A380+1</f>
        <v>327</v>
      </c>
      <c r="B381" s="11" t="s">
        <v>34</v>
      </c>
      <c r="C381" s="133" t="s">
        <v>1103</v>
      </c>
      <c r="D381" s="133" t="s">
        <v>1318</v>
      </c>
      <c r="E381" s="133"/>
      <c r="F381" s="133" t="s">
        <v>37</v>
      </c>
      <c r="G381" s="134" t="s">
        <v>1319</v>
      </c>
      <c r="H381" s="133" t="s">
        <v>246</v>
      </c>
      <c r="I381" s="133" t="s">
        <v>246</v>
      </c>
      <c r="J381" s="135" t="s">
        <v>1320</v>
      </c>
      <c r="K381" s="133" t="s">
        <v>1114</v>
      </c>
      <c r="L381" s="133">
        <v>250</v>
      </c>
      <c r="M381" s="133"/>
      <c r="N381" s="133" t="s">
        <v>753</v>
      </c>
      <c r="O381" s="133" t="s">
        <v>1321</v>
      </c>
      <c r="P381" s="133">
        <v>1981</v>
      </c>
      <c r="Q381" s="133">
        <v>1</v>
      </c>
      <c r="R381" s="133">
        <v>2</v>
      </c>
      <c r="S381" s="133">
        <v>0</v>
      </c>
      <c r="T381" s="133">
        <v>0</v>
      </c>
      <c r="U381" s="133">
        <v>0</v>
      </c>
      <c r="V381" s="133">
        <v>0</v>
      </c>
      <c r="W381" s="133">
        <v>0</v>
      </c>
      <c r="X381" s="133">
        <v>0</v>
      </c>
      <c r="Y381" s="133"/>
      <c r="Z381" s="133">
        <v>0</v>
      </c>
      <c r="AA381" s="133"/>
      <c r="AB381" s="133"/>
      <c r="AC381" s="133">
        <f t="shared" si="33"/>
        <v>0</v>
      </c>
      <c r="AD381" s="133"/>
      <c r="AE381" s="136"/>
      <c r="AG381" s="137"/>
    </row>
    <row r="382" spans="1:33" s="14" customFormat="1">
      <c r="A382" s="133">
        <f t="shared" si="35"/>
        <v>328</v>
      </c>
      <c r="B382" s="11" t="s">
        <v>34</v>
      </c>
      <c r="C382" s="133" t="s">
        <v>1103</v>
      </c>
      <c r="D382" s="133" t="s">
        <v>1322</v>
      </c>
      <c r="E382" s="133"/>
      <c r="F382" s="133" t="s">
        <v>37</v>
      </c>
      <c r="G382" s="134" t="s">
        <v>1323</v>
      </c>
      <c r="H382" s="133" t="s">
        <v>246</v>
      </c>
      <c r="I382" s="133" t="s">
        <v>246</v>
      </c>
      <c r="J382" s="133"/>
      <c r="K382" s="133" t="s">
        <v>1114</v>
      </c>
      <c r="L382" s="133">
        <v>250</v>
      </c>
      <c r="M382" s="133"/>
      <c r="N382" s="168" t="s">
        <v>59</v>
      </c>
      <c r="O382" s="138" t="s">
        <v>1324</v>
      </c>
      <c r="P382" s="133">
        <v>2013</v>
      </c>
      <c r="Q382" s="133">
        <v>1</v>
      </c>
      <c r="R382" s="133">
        <v>2</v>
      </c>
      <c r="S382" s="133"/>
      <c r="T382" s="133"/>
      <c r="U382" s="133"/>
      <c r="V382" s="133"/>
      <c r="W382" s="133"/>
      <c r="X382" s="133"/>
      <c r="Y382" s="133"/>
      <c r="Z382" s="133"/>
      <c r="AA382" s="133"/>
      <c r="AB382" s="133"/>
      <c r="AC382" s="133"/>
      <c r="AD382" s="133"/>
      <c r="AE382" s="136"/>
      <c r="AG382" s="137"/>
    </row>
    <row r="383" spans="1:33" s="14" customFormat="1">
      <c r="A383" s="133">
        <f t="shared" si="35"/>
        <v>329</v>
      </c>
      <c r="B383" s="11" t="s">
        <v>34</v>
      </c>
      <c r="C383" s="133" t="s">
        <v>1103</v>
      </c>
      <c r="D383" s="133" t="s">
        <v>1325</v>
      </c>
      <c r="E383" s="133"/>
      <c r="F383" s="133" t="s">
        <v>37</v>
      </c>
      <c r="G383" s="134" t="s">
        <v>1326</v>
      </c>
      <c r="H383" s="133" t="s">
        <v>741</v>
      </c>
      <c r="I383" s="133" t="s">
        <v>741</v>
      </c>
      <c r="J383" s="135" t="s">
        <v>1327</v>
      </c>
      <c r="K383" s="133" t="s">
        <v>1114</v>
      </c>
      <c r="L383" s="133">
        <v>100</v>
      </c>
      <c r="M383" s="133"/>
      <c r="N383" s="133" t="s">
        <v>43</v>
      </c>
      <c r="O383" s="133" t="s">
        <v>1328</v>
      </c>
      <c r="P383" s="133">
        <v>1986</v>
      </c>
      <c r="Q383" s="133">
        <v>1</v>
      </c>
      <c r="R383" s="133">
        <v>2</v>
      </c>
      <c r="S383" s="133">
        <v>0</v>
      </c>
      <c r="T383" s="133">
        <v>0</v>
      </c>
      <c r="U383" s="133">
        <v>0</v>
      </c>
      <c r="V383" s="133">
        <v>0</v>
      </c>
      <c r="W383" s="133">
        <v>0</v>
      </c>
      <c r="X383" s="133">
        <v>0</v>
      </c>
      <c r="Y383" s="133"/>
      <c r="Z383" s="133">
        <v>0</v>
      </c>
      <c r="AA383" s="133"/>
      <c r="AB383" s="133"/>
      <c r="AC383" s="133">
        <f t="shared" si="33"/>
        <v>0</v>
      </c>
      <c r="AD383" s="133"/>
      <c r="AE383" s="136"/>
      <c r="AG383" s="137"/>
    </row>
    <row r="384" spans="1:33" s="99" customFormat="1">
      <c r="A384" s="130">
        <f>A382+1</f>
        <v>329</v>
      </c>
      <c r="B384" s="96" t="s">
        <v>34</v>
      </c>
      <c r="C384" s="130" t="s">
        <v>1103</v>
      </c>
      <c r="D384" s="130" t="s">
        <v>1329</v>
      </c>
      <c r="E384" s="130"/>
      <c r="F384" s="130" t="s">
        <v>37</v>
      </c>
      <c r="G384" s="139" t="s">
        <v>1330</v>
      </c>
      <c r="H384" s="130" t="s">
        <v>246</v>
      </c>
      <c r="I384" s="130" t="s">
        <v>741</v>
      </c>
      <c r="J384" s="140"/>
      <c r="K384" s="130" t="s">
        <v>1114</v>
      </c>
      <c r="L384" s="130">
        <v>100</v>
      </c>
      <c r="M384" s="130"/>
      <c r="N384" s="130" t="s">
        <v>424</v>
      </c>
      <c r="O384" s="130">
        <v>250311845</v>
      </c>
      <c r="P384" s="130">
        <v>2025</v>
      </c>
      <c r="Q384" s="130">
        <v>1</v>
      </c>
      <c r="R384" s="130">
        <v>4</v>
      </c>
      <c r="S384" s="130">
        <v>0</v>
      </c>
      <c r="T384" s="130">
        <v>0</v>
      </c>
      <c r="U384" s="130">
        <v>0</v>
      </c>
      <c r="V384" s="130">
        <v>0</v>
      </c>
      <c r="W384" s="130">
        <v>0</v>
      </c>
      <c r="X384" s="130">
        <v>0</v>
      </c>
      <c r="Y384" s="130"/>
      <c r="Z384" s="130">
        <v>0</v>
      </c>
      <c r="AA384" s="130"/>
      <c r="AB384" s="130"/>
      <c r="AC384" s="130">
        <f t="shared" si="33"/>
        <v>0</v>
      </c>
      <c r="AD384" s="130"/>
      <c r="AE384" s="131"/>
      <c r="AG384" s="132"/>
    </row>
    <row r="385" spans="1:33" s="14" customFormat="1">
      <c r="A385" s="133">
        <f>A383+1</f>
        <v>330</v>
      </c>
      <c r="B385" s="11" t="s">
        <v>34</v>
      </c>
      <c r="C385" s="133" t="s">
        <v>1103</v>
      </c>
      <c r="D385" s="133" t="s">
        <v>1331</v>
      </c>
      <c r="E385" s="133"/>
      <c r="F385" s="133" t="s">
        <v>37</v>
      </c>
      <c r="G385" s="134" t="s">
        <v>1332</v>
      </c>
      <c r="H385" s="133" t="s">
        <v>246</v>
      </c>
      <c r="I385" s="133" t="s">
        <v>246</v>
      </c>
      <c r="J385" s="135" t="s">
        <v>1333</v>
      </c>
      <c r="K385" s="133" t="s">
        <v>1114</v>
      </c>
      <c r="L385" s="133">
        <v>400</v>
      </c>
      <c r="M385" s="133"/>
      <c r="N385" s="133" t="s">
        <v>1334</v>
      </c>
      <c r="O385" s="133" t="s">
        <v>1335</v>
      </c>
      <c r="P385" s="133">
        <v>2015</v>
      </c>
      <c r="Q385" s="133">
        <v>1</v>
      </c>
      <c r="R385" s="133">
        <v>4</v>
      </c>
      <c r="S385" s="133">
        <v>0</v>
      </c>
      <c r="T385" s="133">
        <v>0</v>
      </c>
      <c r="U385" s="133">
        <v>0</v>
      </c>
      <c r="V385" s="133">
        <v>0</v>
      </c>
      <c r="W385" s="133">
        <v>0</v>
      </c>
      <c r="X385" s="133">
        <v>0</v>
      </c>
      <c r="Y385" s="133"/>
      <c r="Z385" s="133">
        <v>0</v>
      </c>
      <c r="AA385" s="133"/>
      <c r="AB385" s="133"/>
      <c r="AC385" s="133">
        <f t="shared" si="33"/>
        <v>0</v>
      </c>
      <c r="AD385" s="133"/>
      <c r="AE385" s="136"/>
      <c r="AG385" s="137"/>
    </row>
    <row r="386" spans="1:33" s="14" customFormat="1">
      <c r="A386" s="133">
        <f t="shared" si="35"/>
        <v>331</v>
      </c>
      <c r="B386" s="11" t="s">
        <v>34</v>
      </c>
      <c r="C386" s="133" t="s">
        <v>1103</v>
      </c>
      <c r="D386" s="133" t="s">
        <v>1336</v>
      </c>
      <c r="E386" s="133"/>
      <c r="F386" s="133" t="s">
        <v>37</v>
      </c>
      <c r="G386" s="134" t="s">
        <v>1337</v>
      </c>
      <c r="H386" s="133" t="s">
        <v>246</v>
      </c>
      <c r="I386" s="133" t="s">
        <v>246</v>
      </c>
      <c r="J386" s="135" t="s">
        <v>1338</v>
      </c>
      <c r="K386" s="133" t="s">
        <v>1114</v>
      </c>
      <c r="L386" s="133">
        <v>250</v>
      </c>
      <c r="M386" s="133"/>
      <c r="N386" s="133" t="s">
        <v>59</v>
      </c>
      <c r="O386" s="153" t="s">
        <v>1339</v>
      </c>
      <c r="P386" s="133" t="s">
        <v>766</v>
      </c>
      <c r="Q386" s="133">
        <v>1</v>
      </c>
      <c r="R386" s="133" t="s">
        <v>84</v>
      </c>
      <c r="S386" s="133">
        <v>0</v>
      </c>
      <c r="T386" s="133">
        <v>0</v>
      </c>
      <c r="U386" s="133">
        <v>0</v>
      </c>
      <c r="V386" s="133">
        <v>0</v>
      </c>
      <c r="W386" s="133">
        <v>0</v>
      </c>
      <c r="X386" s="133">
        <v>0</v>
      </c>
      <c r="Y386" s="133"/>
      <c r="Z386" s="133">
        <v>0</v>
      </c>
      <c r="AA386" s="133"/>
      <c r="AB386" s="133"/>
      <c r="AC386" s="133">
        <f t="shared" si="33"/>
        <v>0</v>
      </c>
      <c r="AD386" s="133"/>
      <c r="AE386" s="136" t="s">
        <v>1340</v>
      </c>
      <c r="AG386" s="137" t="s">
        <v>1340</v>
      </c>
    </row>
    <row r="387" spans="1:33" s="14" customFormat="1">
      <c r="A387" s="133">
        <f t="shared" si="35"/>
        <v>332</v>
      </c>
      <c r="B387" s="11" t="s">
        <v>34</v>
      </c>
      <c r="C387" s="133" t="s">
        <v>1103</v>
      </c>
      <c r="D387" s="133" t="s">
        <v>1341</v>
      </c>
      <c r="E387" s="133"/>
      <c r="F387" s="133" t="s">
        <v>37</v>
      </c>
      <c r="G387" s="134" t="s">
        <v>1342</v>
      </c>
      <c r="H387" s="133" t="s">
        <v>741</v>
      </c>
      <c r="I387" s="133" t="s">
        <v>741</v>
      </c>
      <c r="J387" s="133">
        <v>1052</v>
      </c>
      <c r="K387" s="133" t="s">
        <v>1114</v>
      </c>
      <c r="L387" s="133">
        <v>100</v>
      </c>
      <c r="M387" s="133"/>
      <c r="N387" s="133" t="s">
        <v>424</v>
      </c>
      <c r="O387" s="133" t="s">
        <v>1343</v>
      </c>
      <c r="P387" s="133">
        <v>2011</v>
      </c>
      <c r="Q387" s="133">
        <v>1</v>
      </c>
      <c r="R387" s="133" t="s">
        <v>84</v>
      </c>
      <c r="S387" s="133"/>
      <c r="T387" s="133"/>
      <c r="U387" s="133"/>
      <c r="V387" s="133"/>
      <c r="W387" s="133"/>
      <c r="X387" s="133"/>
      <c r="Y387" s="133"/>
      <c r="Z387" s="133"/>
      <c r="AA387" s="133"/>
      <c r="AB387" s="133"/>
      <c r="AC387" s="133">
        <f t="shared" si="33"/>
        <v>0</v>
      </c>
      <c r="AD387" s="133"/>
      <c r="AE387" s="136"/>
      <c r="AG387" s="137"/>
    </row>
    <row r="388" spans="1:33" s="99" customFormat="1">
      <c r="A388" s="130">
        <f t="shared" si="35"/>
        <v>333</v>
      </c>
      <c r="B388" s="96" t="s">
        <v>34</v>
      </c>
      <c r="C388" s="130" t="s">
        <v>1103</v>
      </c>
      <c r="D388" s="130" t="s">
        <v>1344</v>
      </c>
      <c r="E388" s="130"/>
      <c r="F388" s="130" t="s">
        <v>37</v>
      </c>
      <c r="G388" s="139" t="s">
        <v>1345</v>
      </c>
      <c r="H388" s="130" t="s">
        <v>246</v>
      </c>
      <c r="I388" s="130" t="s">
        <v>246</v>
      </c>
      <c r="J388" s="130">
        <v>1186</v>
      </c>
      <c r="K388" s="130" t="s">
        <v>1114</v>
      </c>
      <c r="L388" s="130">
        <v>200</v>
      </c>
      <c r="M388" s="130"/>
      <c r="N388" s="130" t="s">
        <v>82</v>
      </c>
      <c r="O388" s="130">
        <v>3312170030</v>
      </c>
      <c r="P388" s="130">
        <v>2014</v>
      </c>
      <c r="Q388" s="130">
        <v>1</v>
      </c>
      <c r="R388" s="130" t="s">
        <v>482</v>
      </c>
      <c r="S388" s="130" t="s">
        <v>907</v>
      </c>
      <c r="T388" s="130" t="s">
        <v>907</v>
      </c>
      <c r="U388" s="130" t="s">
        <v>907</v>
      </c>
      <c r="V388" s="130" t="s">
        <v>907</v>
      </c>
      <c r="W388" s="130" t="s">
        <v>907</v>
      </c>
      <c r="X388" s="130" t="s">
        <v>907</v>
      </c>
      <c r="Y388" s="130"/>
      <c r="Z388" s="130" t="s">
        <v>907</v>
      </c>
      <c r="AA388" s="130"/>
      <c r="AB388" s="130"/>
      <c r="AC388" s="130">
        <f t="shared" si="33"/>
        <v>0</v>
      </c>
      <c r="AD388" s="130"/>
      <c r="AE388" s="131"/>
      <c r="AG388" s="132"/>
    </row>
    <row r="389" spans="1:33" s="99" customFormat="1">
      <c r="A389" s="130">
        <f t="shared" si="35"/>
        <v>334</v>
      </c>
      <c r="B389" s="96" t="s">
        <v>34</v>
      </c>
      <c r="C389" s="130" t="s">
        <v>1103</v>
      </c>
      <c r="D389" s="130" t="s">
        <v>1346</v>
      </c>
      <c r="E389" s="130"/>
      <c r="F389" s="130" t="s">
        <v>37</v>
      </c>
      <c r="G389" s="139" t="s">
        <v>1347</v>
      </c>
      <c r="H389" s="130" t="s">
        <v>741</v>
      </c>
      <c r="I389" s="130" t="s">
        <v>741</v>
      </c>
      <c r="J389" s="130"/>
      <c r="K389" s="130" t="s">
        <v>1114</v>
      </c>
      <c r="L389" s="130">
        <v>160</v>
      </c>
      <c r="M389" s="130"/>
      <c r="N389" s="130"/>
      <c r="O389" s="130"/>
      <c r="P389" s="130">
        <v>2024</v>
      </c>
      <c r="Q389" s="130">
        <v>1</v>
      </c>
      <c r="R389" s="130" t="s">
        <v>482</v>
      </c>
      <c r="S389" s="130" t="s">
        <v>907</v>
      </c>
      <c r="T389" s="130" t="s">
        <v>907</v>
      </c>
      <c r="U389" s="130" t="s">
        <v>907</v>
      </c>
      <c r="V389" s="130" t="s">
        <v>907</v>
      </c>
      <c r="W389" s="130" t="s">
        <v>907</v>
      </c>
      <c r="X389" s="130" t="s">
        <v>907</v>
      </c>
      <c r="Y389" s="130"/>
      <c r="Z389" s="130" t="s">
        <v>907</v>
      </c>
      <c r="AA389" s="130"/>
      <c r="AB389" s="130"/>
      <c r="AC389" s="130">
        <f t="shared" si="33"/>
        <v>0</v>
      </c>
      <c r="AD389" s="130"/>
      <c r="AE389" s="131"/>
      <c r="AG389" s="132"/>
    </row>
    <row r="390" spans="1:33" s="14" customFormat="1">
      <c r="A390" s="133">
        <f t="shared" si="35"/>
        <v>335</v>
      </c>
      <c r="B390" s="11" t="s">
        <v>34</v>
      </c>
      <c r="C390" s="133" t="s">
        <v>1103</v>
      </c>
      <c r="D390" s="133" t="s">
        <v>1348</v>
      </c>
      <c r="E390" s="133"/>
      <c r="F390" s="133" t="s">
        <v>37</v>
      </c>
      <c r="G390" s="134" t="s">
        <v>1349</v>
      </c>
      <c r="H390" s="133" t="s">
        <v>246</v>
      </c>
      <c r="I390" s="133" t="s">
        <v>246</v>
      </c>
      <c r="J390" s="133"/>
      <c r="K390" s="133" t="s">
        <v>1114</v>
      </c>
      <c r="L390" s="133">
        <v>250</v>
      </c>
      <c r="M390" s="133"/>
      <c r="N390" s="133" t="s">
        <v>82</v>
      </c>
      <c r="O390" s="133" t="s">
        <v>1350</v>
      </c>
      <c r="P390" s="133" t="s">
        <v>766</v>
      </c>
      <c r="Q390" s="133">
        <v>1</v>
      </c>
      <c r="R390" s="133" t="s">
        <v>96</v>
      </c>
      <c r="S390" s="133" t="s">
        <v>907</v>
      </c>
      <c r="T390" s="133" t="s">
        <v>907</v>
      </c>
      <c r="U390" s="133" t="s">
        <v>907</v>
      </c>
      <c r="V390" s="133" t="s">
        <v>907</v>
      </c>
      <c r="W390" s="133" t="s">
        <v>907</v>
      </c>
      <c r="X390" s="133" t="s">
        <v>907</v>
      </c>
      <c r="Y390" s="133"/>
      <c r="Z390" s="133" t="s">
        <v>907</v>
      </c>
      <c r="AA390" s="133"/>
      <c r="AB390" s="133"/>
      <c r="AC390" s="133">
        <f t="shared" si="33"/>
        <v>0</v>
      </c>
      <c r="AD390" s="133"/>
      <c r="AE390" s="136" t="s">
        <v>1351</v>
      </c>
      <c r="AG390" s="137"/>
    </row>
    <row r="391" spans="1:33" s="14" customFormat="1">
      <c r="A391" s="133">
        <f t="shared" si="35"/>
        <v>336</v>
      </c>
      <c r="B391" s="11" t="s">
        <v>34</v>
      </c>
      <c r="C391" s="133" t="s">
        <v>1103</v>
      </c>
      <c r="D391" s="133" t="s">
        <v>1352</v>
      </c>
      <c r="E391" s="133"/>
      <c r="F391" s="133" t="s">
        <v>37</v>
      </c>
      <c r="G391" s="134" t="s">
        <v>1353</v>
      </c>
      <c r="H391" s="133" t="s">
        <v>246</v>
      </c>
      <c r="I391" s="133" t="s">
        <v>246</v>
      </c>
      <c r="J391" s="135" t="s">
        <v>1354</v>
      </c>
      <c r="K391" s="133" t="s">
        <v>1114</v>
      </c>
      <c r="L391" s="133">
        <v>250</v>
      </c>
      <c r="M391" s="133"/>
      <c r="N391" s="133" t="s">
        <v>797</v>
      </c>
      <c r="O391" s="133">
        <v>24060166</v>
      </c>
      <c r="P391" s="133">
        <v>2024</v>
      </c>
      <c r="Q391" s="133">
        <v>1</v>
      </c>
      <c r="R391" s="133">
        <v>3</v>
      </c>
      <c r="S391" s="133">
        <v>0</v>
      </c>
      <c r="T391" s="133">
        <v>0</v>
      </c>
      <c r="U391" s="133">
        <v>0</v>
      </c>
      <c r="V391" s="133">
        <v>0</v>
      </c>
      <c r="W391" s="133">
        <v>0</v>
      </c>
      <c r="X391" s="133">
        <v>0</v>
      </c>
      <c r="Y391" s="133"/>
      <c r="Z391" s="133">
        <v>0</v>
      </c>
      <c r="AA391" s="133"/>
      <c r="AB391" s="133"/>
      <c r="AC391" s="133">
        <f t="shared" si="33"/>
        <v>0</v>
      </c>
      <c r="AD391" s="133"/>
      <c r="AE391" s="136"/>
      <c r="AG391" s="137"/>
    </row>
    <row r="392" spans="1:33" s="37" customFormat="1">
      <c r="A392" s="154">
        <f t="shared" si="35"/>
        <v>337</v>
      </c>
      <c r="B392" s="33" t="s">
        <v>34</v>
      </c>
      <c r="C392" s="154" t="s">
        <v>1103</v>
      </c>
      <c r="D392" s="154" t="s">
        <v>1355</v>
      </c>
      <c r="E392" s="154"/>
      <c r="F392" s="154" t="s">
        <v>63</v>
      </c>
      <c r="G392" s="155" t="s">
        <v>1356</v>
      </c>
      <c r="H392" s="154" t="s">
        <v>39</v>
      </c>
      <c r="I392" s="154" t="s">
        <v>50</v>
      </c>
      <c r="J392" s="156" t="s">
        <v>1357</v>
      </c>
      <c r="K392" s="154" t="s">
        <v>1114</v>
      </c>
      <c r="L392" s="154"/>
      <c r="M392" s="154">
        <v>800</v>
      </c>
      <c r="N392" s="154" t="s">
        <v>43</v>
      </c>
      <c r="O392" s="154"/>
      <c r="P392" s="154"/>
      <c r="Q392" s="154"/>
      <c r="R392" s="154"/>
      <c r="S392" s="154" t="s">
        <v>45</v>
      </c>
      <c r="T392" s="154" t="s">
        <v>46</v>
      </c>
      <c r="U392" s="154">
        <v>1</v>
      </c>
      <c r="V392" s="154">
        <v>0</v>
      </c>
      <c r="W392" s="154">
        <v>1</v>
      </c>
      <c r="X392" s="154">
        <v>0</v>
      </c>
      <c r="Y392" s="154"/>
      <c r="Z392" s="154">
        <v>0</v>
      </c>
      <c r="AA392" s="154"/>
      <c r="AB392" s="154"/>
      <c r="AC392" s="154">
        <f t="shared" si="33"/>
        <v>2</v>
      </c>
      <c r="AD392" s="154"/>
      <c r="AE392" s="157"/>
      <c r="AG392" s="158"/>
    </row>
    <row r="393" spans="1:33" s="14" customFormat="1">
      <c r="A393" s="133">
        <f t="shared" si="35"/>
        <v>338</v>
      </c>
      <c r="B393" s="11" t="s">
        <v>34</v>
      </c>
      <c r="C393" s="133" t="s">
        <v>1103</v>
      </c>
      <c r="D393" s="133" t="s">
        <v>1358</v>
      </c>
      <c r="E393" s="133"/>
      <c r="F393" s="133" t="s">
        <v>37</v>
      </c>
      <c r="G393" s="134" t="s">
        <v>1356</v>
      </c>
      <c r="H393" s="133" t="s">
        <v>741</v>
      </c>
      <c r="I393" s="133" t="s">
        <v>741</v>
      </c>
      <c r="J393" s="133" t="s">
        <v>1359</v>
      </c>
      <c r="K393" s="133" t="s">
        <v>1114</v>
      </c>
      <c r="L393" s="133">
        <v>100</v>
      </c>
      <c r="M393" s="133"/>
      <c r="N393" s="133" t="s">
        <v>664</v>
      </c>
      <c r="O393" s="133" t="s">
        <v>1360</v>
      </c>
      <c r="P393" s="133">
        <v>2012</v>
      </c>
      <c r="Q393" s="133">
        <v>1</v>
      </c>
      <c r="R393" s="133">
        <v>2</v>
      </c>
      <c r="S393" s="133"/>
      <c r="T393" s="133"/>
      <c r="U393" s="133"/>
      <c r="V393" s="133"/>
      <c r="W393" s="133"/>
      <c r="X393" s="133"/>
      <c r="Y393" s="133"/>
      <c r="Z393" s="133"/>
      <c r="AA393" s="133"/>
      <c r="AB393" s="133"/>
      <c r="AC393" s="133">
        <f t="shared" si="33"/>
        <v>0</v>
      </c>
      <c r="AD393" s="133"/>
      <c r="AE393" s="136"/>
      <c r="AG393" s="137"/>
    </row>
    <row r="394" spans="1:33" s="14" customFormat="1">
      <c r="A394" s="133">
        <f t="shared" si="35"/>
        <v>339</v>
      </c>
      <c r="B394" s="11" t="s">
        <v>34</v>
      </c>
      <c r="C394" s="133" t="s">
        <v>1103</v>
      </c>
      <c r="D394" s="133" t="s">
        <v>1361</v>
      </c>
      <c r="E394" s="133"/>
      <c r="F394" s="133" t="s">
        <v>37</v>
      </c>
      <c r="G394" s="134" t="s">
        <v>1356</v>
      </c>
      <c r="H394" s="133" t="s">
        <v>741</v>
      </c>
      <c r="I394" s="133" t="s">
        <v>741</v>
      </c>
      <c r="J394" s="136">
        <v>1101</v>
      </c>
      <c r="K394" s="133" t="s">
        <v>1114</v>
      </c>
      <c r="L394" s="133">
        <v>100</v>
      </c>
      <c r="M394" s="133"/>
      <c r="N394" s="133" t="s">
        <v>664</v>
      </c>
      <c r="O394" s="133" t="s">
        <v>1362</v>
      </c>
      <c r="P394" s="133">
        <v>2012</v>
      </c>
      <c r="Q394" s="133">
        <v>1</v>
      </c>
      <c r="R394" s="133" t="s">
        <v>482</v>
      </c>
      <c r="S394" s="133"/>
      <c r="T394" s="133"/>
      <c r="U394" s="133"/>
      <c r="V394" s="133"/>
      <c r="W394" s="133"/>
      <c r="X394" s="133"/>
      <c r="Y394" s="133"/>
      <c r="Z394" s="133"/>
      <c r="AA394" s="133"/>
      <c r="AB394" s="133"/>
      <c r="AC394" s="133">
        <f t="shared" si="33"/>
        <v>0</v>
      </c>
      <c r="AD394" s="133"/>
      <c r="AE394" s="136"/>
      <c r="AG394" s="137"/>
    </row>
    <row r="395" spans="1:33" s="14" customFormat="1">
      <c r="A395" s="133">
        <f t="shared" si="35"/>
        <v>340</v>
      </c>
      <c r="B395" s="11" t="s">
        <v>34</v>
      </c>
      <c r="C395" s="133" t="s">
        <v>1103</v>
      </c>
      <c r="D395" s="133" t="s">
        <v>1363</v>
      </c>
      <c r="E395" s="133"/>
      <c r="F395" s="133" t="s">
        <v>37</v>
      </c>
      <c r="G395" s="134" t="s">
        <v>1356</v>
      </c>
      <c r="H395" s="133" t="s">
        <v>741</v>
      </c>
      <c r="I395" s="133" t="s">
        <v>741</v>
      </c>
      <c r="J395" s="133" t="s">
        <v>1364</v>
      </c>
      <c r="K395" s="133" t="s">
        <v>1114</v>
      </c>
      <c r="L395" s="133">
        <v>100</v>
      </c>
      <c r="M395" s="133"/>
      <c r="N395" s="133" t="s">
        <v>664</v>
      </c>
      <c r="O395" s="133" t="s">
        <v>1365</v>
      </c>
      <c r="P395" s="133">
        <v>2012</v>
      </c>
      <c r="Q395" s="133">
        <v>1</v>
      </c>
      <c r="R395" s="133">
        <v>2</v>
      </c>
      <c r="S395" s="133"/>
      <c r="T395" s="133"/>
      <c r="U395" s="133"/>
      <c r="V395" s="133"/>
      <c r="W395" s="133"/>
      <c r="X395" s="133"/>
      <c r="Y395" s="133"/>
      <c r="Z395" s="133"/>
      <c r="AA395" s="133"/>
      <c r="AB395" s="133"/>
      <c r="AC395" s="133">
        <f t="shared" si="33"/>
        <v>0</v>
      </c>
      <c r="AD395" s="133"/>
      <c r="AE395" s="136"/>
      <c r="AG395" s="137"/>
    </row>
    <row r="396" spans="1:33" s="14" customFormat="1">
      <c r="A396" s="133">
        <f t="shared" si="35"/>
        <v>341</v>
      </c>
      <c r="B396" s="11" t="s">
        <v>34</v>
      </c>
      <c r="C396" s="133" t="s">
        <v>1103</v>
      </c>
      <c r="D396" s="133" t="s">
        <v>1366</v>
      </c>
      <c r="E396" s="133"/>
      <c r="F396" s="133" t="s">
        <v>37</v>
      </c>
      <c r="G396" s="134" t="s">
        <v>1367</v>
      </c>
      <c r="H396" s="133" t="s">
        <v>741</v>
      </c>
      <c r="I396" s="133" t="s">
        <v>741</v>
      </c>
      <c r="J396" s="135" t="s">
        <v>1368</v>
      </c>
      <c r="K396" s="133" t="s">
        <v>42</v>
      </c>
      <c r="L396" s="133">
        <v>100</v>
      </c>
      <c r="M396" s="133"/>
      <c r="N396" s="133" t="s">
        <v>863</v>
      </c>
      <c r="O396" s="133" t="s">
        <v>1369</v>
      </c>
      <c r="P396" s="133">
        <v>2007</v>
      </c>
      <c r="Q396" s="133">
        <v>1</v>
      </c>
      <c r="R396" s="133">
        <v>2</v>
      </c>
      <c r="S396" s="133">
        <v>0</v>
      </c>
      <c r="T396" s="133">
        <v>0</v>
      </c>
      <c r="U396" s="133">
        <v>0</v>
      </c>
      <c r="V396" s="133">
        <v>0</v>
      </c>
      <c r="W396" s="133">
        <v>0</v>
      </c>
      <c r="X396" s="133">
        <v>0</v>
      </c>
      <c r="Y396" s="133"/>
      <c r="Z396" s="133">
        <v>0</v>
      </c>
      <c r="AA396" s="133"/>
      <c r="AB396" s="133"/>
      <c r="AC396" s="133">
        <f t="shared" si="33"/>
        <v>0</v>
      </c>
      <c r="AD396" s="133"/>
      <c r="AE396" s="136"/>
      <c r="AG396" s="137"/>
    </row>
    <row r="397" spans="1:33" s="14" customFormat="1">
      <c r="A397" s="133">
        <f t="shared" si="35"/>
        <v>342</v>
      </c>
      <c r="B397" s="11" t="s">
        <v>34</v>
      </c>
      <c r="C397" s="133" t="s">
        <v>1103</v>
      </c>
      <c r="D397" s="133" t="s">
        <v>1370</v>
      </c>
      <c r="E397" s="133"/>
      <c r="F397" s="133" t="s">
        <v>37</v>
      </c>
      <c r="G397" s="134" t="s">
        <v>1371</v>
      </c>
      <c r="H397" s="133" t="s">
        <v>246</v>
      </c>
      <c r="I397" s="133" t="s">
        <v>246</v>
      </c>
      <c r="J397" s="135" t="s">
        <v>1372</v>
      </c>
      <c r="K397" s="133" t="s">
        <v>1114</v>
      </c>
      <c r="L397" s="133">
        <v>100</v>
      </c>
      <c r="M397" s="133"/>
      <c r="N397" s="133" t="s">
        <v>1143</v>
      </c>
      <c r="O397" s="133" t="s">
        <v>1373</v>
      </c>
      <c r="P397" s="133"/>
      <c r="Q397" s="133">
        <v>1</v>
      </c>
      <c r="R397" s="133">
        <v>2</v>
      </c>
      <c r="S397" s="133">
        <v>0</v>
      </c>
      <c r="T397" s="133">
        <v>0</v>
      </c>
      <c r="U397" s="133">
        <v>0</v>
      </c>
      <c r="V397" s="133">
        <v>0</v>
      </c>
      <c r="W397" s="133">
        <v>0</v>
      </c>
      <c r="X397" s="133">
        <v>0</v>
      </c>
      <c r="Y397" s="133"/>
      <c r="Z397" s="133">
        <v>0</v>
      </c>
      <c r="AA397" s="133"/>
      <c r="AB397" s="133"/>
      <c r="AC397" s="133">
        <f t="shared" si="33"/>
        <v>0</v>
      </c>
      <c r="AD397" s="133"/>
      <c r="AE397" s="136"/>
      <c r="AG397" s="137"/>
    </row>
    <row r="398" spans="1:33" s="14" customFormat="1">
      <c r="A398" s="133">
        <f t="shared" si="35"/>
        <v>343</v>
      </c>
      <c r="B398" s="11" t="s">
        <v>34</v>
      </c>
      <c r="C398" s="133" t="s">
        <v>1103</v>
      </c>
      <c r="D398" s="133" t="s">
        <v>1374</v>
      </c>
      <c r="E398" s="133"/>
      <c r="F398" s="133" t="s">
        <v>37</v>
      </c>
      <c r="G398" s="134" t="s">
        <v>1375</v>
      </c>
      <c r="H398" s="133" t="s">
        <v>741</v>
      </c>
      <c r="I398" s="133" t="s">
        <v>741</v>
      </c>
      <c r="J398" s="135" t="s">
        <v>1376</v>
      </c>
      <c r="K398" s="133" t="s">
        <v>1114</v>
      </c>
      <c r="L398" s="133">
        <v>100</v>
      </c>
      <c r="M398" s="133"/>
      <c r="N398" s="133" t="s">
        <v>424</v>
      </c>
      <c r="O398" s="133">
        <v>7009194</v>
      </c>
      <c r="P398" s="133">
        <v>2007</v>
      </c>
      <c r="Q398" s="133">
        <v>1</v>
      </c>
      <c r="R398" s="133">
        <v>2</v>
      </c>
      <c r="S398" s="133">
        <v>0</v>
      </c>
      <c r="T398" s="133">
        <v>0</v>
      </c>
      <c r="U398" s="133">
        <v>0</v>
      </c>
      <c r="V398" s="133">
        <v>0</v>
      </c>
      <c r="W398" s="133">
        <v>0</v>
      </c>
      <c r="X398" s="133">
        <v>0</v>
      </c>
      <c r="Y398" s="133"/>
      <c r="Z398" s="133">
        <v>0</v>
      </c>
      <c r="AA398" s="133"/>
      <c r="AB398" s="133"/>
      <c r="AC398" s="133">
        <f t="shared" si="33"/>
        <v>0</v>
      </c>
      <c r="AD398" s="133"/>
      <c r="AE398" s="136"/>
      <c r="AG398" s="137"/>
    </row>
    <row r="399" spans="1:33" s="14" customFormat="1">
      <c r="A399" s="133">
        <f t="shared" si="35"/>
        <v>344</v>
      </c>
      <c r="B399" s="11" t="s">
        <v>34</v>
      </c>
      <c r="C399" s="133" t="s">
        <v>1103</v>
      </c>
      <c r="D399" s="133" t="s">
        <v>1377</v>
      </c>
      <c r="E399" s="133"/>
      <c r="F399" s="133" t="s">
        <v>37</v>
      </c>
      <c r="G399" s="134" t="s">
        <v>1378</v>
      </c>
      <c r="H399" s="133" t="s">
        <v>741</v>
      </c>
      <c r="I399" s="133" t="s">
        <v>741</v>
      </c>
      <c r="J399" s="135" t="s">
        <v>1379</v>
      </c>
      <c r="K399" s="133" t="s">
        <v>1114</v>
      </c>
      <c r="L399" s="133">
        <v>50</v>
      </c>
      <c r="M399" s="133"/>
      <c r="N399" s="133" t="s">
        <v>424</v>
      </c>
      <c r="O399" s="133" t="s">
        <v>1380</v>
      </c>
      <c r="P399" s="133">
        <v>2010</v>
      </c>
      <c r="Q399" s="133">
        <v>1</v>
      </c>
      <c r="R399" s="133">
        <v>1</v>
      </c>
      <c r="S399" s="133">
        <v>0</v>
      </c>
      <c r="T399" s="133">
        <v>0</v>
      </c>
      <c r="U399" s="133">
        <v>0</v>
      </c>
      <c r="V399" s="133">
        <v>0</v>
      </c>
      <c r="W399" s="133">
        <v>0</v>
      </c>
      <c r="X399" s="133">
        <v>0</v>
      </c>
      <c r="Y399" s="133"/>
      <c r="Z399" s="133">
        <v>0</v>
      </c>
      <c r="AA399" s="133"/>
      <c r="AB399" s="133"/>
      <c r="AC399" s="133">
        <f t="shared" si="33"/>
        <v>0</v>
      </c>
      <c r="AD399" s="133"/>
      <c r="AE399" s="136"/>
      <c r="AG399" s="137"/>
    </row>
    <row r="400" spans="1:33" s="14" customFormat="1">
      <c r="A400" s="133">
        <f t="shared" si="35"/>
        <v>345</v>
      </c>
      <c r="B400" s="11" t="s">
        <v>34</v>
      </c>
      <c r="C400" s="133" t="s">
        <v>1103</v>
      </c>
      <c r="D400" s="133" t="s">
        <v>1381</v>
      </c>
      <c r="E400" s="133"/>
      <c r="F400" s="133" t="s">
        <v>37</v>
      </c>
      <c r="G400" s="134" t="s">
        <v>1382</v>
      </c>
      <c r="H400" s="133" t="s">
        <v>741</v>
      </c>
      <c r="I400" s="133" t="s">
        <v>741</v>
      </c>
      <c r="J400" s="135" t="s">
        <v>1383</v>
      </c>
      <c r="K400" s="133" t="s">
        <v>1114</v>
      </c>
      <c r="L400" s="133">
        <v>100</v>
      </c>
      <c r="M400" s="133"/>
      <c r="N400" s="133" t="s">
        <v>863</v>
      </c>
      <c r="O400" s="133" t="s">
        <v>1384</v>
      </c>
      <c r="P400" s="133" t="s">
        <v>405</v>
      </c>
      <c r="Q400" s="133">
        <v>1</v>
      </c>
      <c r="R400" s="133">
        <v>2</v>
      </c>
      <c r="S400" s="133">
        <v>0</v>
      </c>
      <c r="T400" s="133">
        <v>0</v>
      </c>
      <c r="U400" s="133">
        <v>0</v>
      </c>
      <c r="V400" s="133">
        <v>0</v>
      </c>
      <c r="W400" s="133">
        <v>0</v>
      </c>
      <c r="X400" s="133">
        <v>0</v>
      </c>
      <c r="Y400" s="133"/>
      <c r="Z400" s="133">
        <v>0</v>
      </c>
      <c r="AA400" s="133"/>
      <c r="AB400" s="133"/>
      <c r="AC400" s="133">
        <f t="shared" si="33"/>
        <v>0</v>
      </c>
      <c r="AD400" s="133"/>
      <c r="AE400" s="136"/>
      <c r="AG400" s="137"/>
    </row>
    <row r="401" spans="1:33" s="14" customFormat="1">
      <c r="A401" s="133">
        <f t="shared" si="35"/>
        <v>346</v>
      </c>
      <c r="B401" s="11" t="s">
        <v>34</v>
      </c>
      <c r="C401" s="133" t="s">
        <v>1103</v>
      </c>
      <c r="D401" s="133" t="s">
        <v>1385</v>
      </c>
      <c r="E401" s="133"/>
      <c r="F401" s="133" t="s">
        <v>37</v>
      </c>
      <c r="G401" s="134" t="s">
        <v>1382</v>
      </c>
      <c r="H401" s="133" t="s">
        <v>246</v>
      </c>
      <c r="I401" s="133" t="s">
        <v>246</v>
      </c>
      <c r="J401" s="135" t="s">
        <v>1386</v>
      </c>
      <c r="K401" s="133" t="s">
        <v>1114</v>
      </c>
      <c r="L401" s="133">
        <v>160</v>
      </c>
      <c r="M401" s="133"/>
      <c r="N401" s="133" t="s">
        <v>673</v>
      </c>
      <c r="O401" s="133" t="s">
        <v>1387</v>
      </c>
      <c r="P401" s="133">
        <v>2007</v>
      </c>
      <c r="Q401" s="133">
        <v>1</v>
      </c>
      <c r="R401" s="133">
        <v>3</v>
      </c>
      <c r="S401" s="133">
        <v>0</v>
      </c>
      <c r="T401" s="133">
        <v>0</v>
      </c>
      <c r="U401" s="133">
        <v>0</v>
      </c>
      <c r="V401" s="133">
        <v>0</v>
      </c>
      <c r="W401" s="133">
        <v>0</v>
      </c>
      <c r="X401" s="133">
        <v>0</v>
      </c>
      <c r="Y401" s="133"/>
      <c r="Z401" s="133">
        <v>0</v>
      </c>
      <c r="AA401" s="133"/>
      <c r="AB401" s="133"/>
      <c r="AC401" s="133">
        <f t="shared" si="33"/>
        <v>0</v>
      </c>
      <c r="AD401" s="133"/>
      <c r="AE401" s="136"/>
      <c r="AG401" s="137"/>
    </row>
    <row r="402" spans="1:33" s="14" customFormat="1">
      <c r="A402" s="133">
        <f t="shared" si="35"/>
        <v>347</v>
      </c>
      <c r="B402" s="11" t="s">
        <v>34</v>
      </c>
      <c r="C402" s="133" t="s">
        <v>1103</v>
      </c>
      <c r="D402" s="133" t="s">
        <v>1388</v>
      </c>
      <c r="E402" s="133"/>
      <c r="F402" s="133" t="s">
        <v>37</v>
      </c>
      <c r="G402" s="134" t="s">
        <v>1389</v>
      </c>
      <c r="H402" s="133" t="s">
        <v>741</v>
      </c>
      <c r="I402" s="133" t="s">
        <v>741</v>
      </c>
      <c r="J402" s="133">
        <v>1069</v>
      </c>
      <c r="K402" s="133" t="s">
        <v>1114</v>
      </c>
      <c r="L402" s="133" t="s">
        <v>974</v>
      </c>
      <c r="M402" s="133"/>
      <c r="N402" s="133" t="s">
        <v>863</v>
      </c>
      <c r="O402" s="133" t="s">
        <v>1390</v>
      </c>
      <c r="P402" s="133" t="s">
        <v>1391</v>
      </c>
      <c r="Q402" s="133">
        <v>1</v>
      </c>
      <c r="R402" s="133">
        <v>2</v>
      </c>
      <c r="S402" s="133"/>
      <c r="T402" s="133"/>
      <c r="U402" s="133"/>
      <c r="V402" s="133"/>
      <c r="W402" s="133"/>
      <c r="X402" s="133"/>
      <c r="Y402" s="133"/>
      <c r="Z402" s="133"/>
      <c r="AA402" s="133"/>
      <c r="AB402" s="133"/>
      <c r="AC402" s="133">
        <f t="shared" si="33"/>
        <v>0</v>
      </c>
      <c r="AD402" s="133"/>
      <c r="AE402" s="136"/>
      <c r="AG402" s="137"/>
    </row>
    <row r="403" spans="1:33" s="14" customFormat="1">
      <c r="A403" s="133">
        <f t="shared" si="35"/>
        <v>348</v>
      </c>
      <c r="B403" s="11" t="s">
        <v>34</v>
      </c>
      <c r="C403" s="133" t="s">
        <v>1103</v>
      </c>
      <c r="D403" s="133" t="s">
        <v>1392</v>
      </c>
      <c r="E403" s="133"/>
      <c r="F403" s="133" t="s">
        <v>37</v>
      </c>
      <c r="G403" s="134" t="s">
        <v>1393</v>
      </c>
      <c r="H403" s="133" t="s">
        <v>741</v>
      </c>
      <c r="I403" s="133" t="s">
        <v>741</v>
      </c>
      <c r="J403" s="133" t="s">
        <v>1394</v>
      </c>
      <c r="K403" s="133" t="s">
        <v>1114</v>
      </c>
      <c r="L403" s="133" t="s">
        <v>974</v>
      </c>
      <c r="M403" s="133"/>
      <c r="N403" s="133" t="s">
        <v>863</v>
      </c>
      <c r="O403" s="133" t="s">
        <v>1395</v>
      </c>
      <c r="P403" s="133" t="s">
        <v>1391</v>
      </c>
      <c r="Q403" s="133">
        <v>1</v>
      </c>
      <c r="R403" s="133" t="s">
        <v>482</v>
      </c>
      <c r="S403" s="133"/>
      <c r="T403" s="133"/>
      <c r="U403" s="133"/>
      <c r="V403" s="133"/>
      <c r="W403" s="133"/>
      <c r="X403" s="133"/>
      <c r="Y403" s="133"/>
      <c r="Z403" s="133"/>
      <c r="AA403" s="133"/>
      <c r="AB403" s="133"/>
      <c r="AC403" s="133">
        <f t="shared" si="33"/>
        <v>0</v>
      </c>
      <c r="AD403" s="133"/>
      <c r="AE403" s="136"/>
      <c r="AG403" s="137"/>
    </row>
    <row r="404" spans="1:33" s="14" customFormat="1">
      <c r="A404" s="133">
        <f t="shared" si="35"/>
        <v>349</v>
      </c>
      <c r="B404" s="11" t="s">
        <v>34</v>
      </c>
      <c r="C404" s="133" t="s">
        <v>1103</v>
      </c>
      <c r="D404" s="133" t="s">
        <v>1396</v>
      </c>
      <c r="E404" s="133"/>
      <c r="F404" s="133" t="s">
        <v>37</v>
      </c>
      <c r="G404" s="134" t="s">
        <v>1397</v>
      </c>
      <c r="H404" s="133" t="s">
        <v>741</v>
      </c>
      <c r="I404" s="133" t="s">
        <v>741</v>
      </c>
      <c r="J404" s="133"/>
      <c r="K404" s="133" t="s">
        <v>1114</v>
      </c>
      <c r="L404" s="133" t="s">
        <v>974</v>
      </c>
      <c r="M404" s="133"/>
      <c r="N404" s="133" t="s">
        <v>424</v>
      </c>
      <c r="O404" s="133">
        <v>22067299</v>
      </c>
      <c r="P404" s="133">
        <v>2022</v>
      </c>
      <c r="Q404" s="133">
        <v>1</v>
      </c>
      <c r="R404" s="133" t="s">
        <v>482</v>
      </c>
      <c r="S404" s="133"/>
      <c r="T404" s="133"/>
      <c r="U404" s="133"/>
      <c r="V404" s="133"/>
      <c r="W404" s="133"/>
      <c r="X404" s="133"/>
      <c r="Y404" s="133"/>
      <c r="Z404" s="133"/>
      <c r="AA404" s="133"/>
      <c r="AB404" s="133"/>
      <c r="AC404" s="133">
        <f t="shared" si="33"/>
        <v>0</v>
      </c>
      <c r="AD404" s="133"/>
      <c r="AE404" s="136" t="s">
        <v>1398</v>
      </c>
      <c r="AG404" s="137"/>
    </row>
    <row r="405" spans="1:33" s="14" customFormat="1">
      <c r="A405" s="133">
        <f t="shared" si="35"/>
        <v>350</v>
      </c>
      <c r="B405" s="11" t="s">
        <v>34</v>
      </c>
      <c r="C405" s="133" t="s">
        <v>1103</v>
      </c>
      <c r="D405" s="133" t="s">
        <v>1399</v>
      </c>
      <c r="E405" s="133"/>
      <c r="F405" s="133" t="s">
        <v>48</v>
      </c>
      <c r="G405" s="134" t="s">
        <v>1400</v>
      </c>
      <c r="H405" s="133" t="s">
        <v>246</v>
      </c>
      <c r="I405" s="133" t="s">
        <v>246</v>
      </c>
      <c r="J405" s="133" t="s">
        <v>1401</v>
      </c>
      <c r="K405" s="133" t="s">
        <v>1114</v>
      </c>
      <c r="L405" s="133" t="s">
        <v>69</v>
      </c>
      <c r="M405" s="133"/>
      <c r="N405" s="133" t="s">
        <v>59</v>
      </c>
      <c r="O405" s="133" t="s">
        <v>1402</v>
      </c>
      <c r="P405" s="133" t="s">
        <v>255</v>
      </c>
      <c r="Q405" s="133">
        <v>1</v>
      </c>
      <c r="R405" s="133" t="s">
        <v>482</v>
      </c>
      <c r="S405" s="133"/>
      <c r="T405" s="133"/>
      <c r="U405" s="133"/>
      <c r="V405" s="133"/>
      <c r="W405" s="133"/>
      <c r="X405" s="133"/>
      <c r="Y405" s="133"/>
      <c r="Z405" s="133"/>
      <c r="AA405" s="133"/>
      <c r="AB405" s="133"/>
      <c r="AC405" s="133">
        <f t="shared" si="33"/>
        <v>0</v>
      </c>
      <c r="AD405" s="133"/>
      <c r="AE405" s="136"/>
      <c r="AG405" s="137"/>
    </row>
    <row r="406" spans="1:33" s="14" customFormat="1">
      <c r="A406" s="133">
        <f t="shared" si="35"/>
        <v>351</v>
      </c>
      <c r="B406" s="11" t="s">
        <v>34</v>
      </c>
      <c r="C406" s="133" t="s">
        <v>1103</v>
      </c>
      <c r="D406" s="133" t="s">
        <v>1403</v>
      </c>
      <c r="E406" s="133"/>
      <c r="F406" s="133" t="s">
        <v>37</v>
      </c>
      <c r="G406" s="134" t="s">
        <v>1404</v>
      </c>
      <c r="H406" s="133" t="s">
        <v>246</v>
      </c>
      <c r="I406" s="133" t="s">
        <v>246</v>
      </c>
      <c r="J406" s="135" t="s">
        <v>1405</v>
      </c>
      <c r="K406" s="133" t="s">
        <v>1114</v>
      </c>
      <c r="L406" s="133">
        <v>160</v>
      </c>
      <c r="M406" s="133"/>
      <c r="N406" s="133" t="s">
        <v>59</v>
      </c>
      <c r="O406" s="133" t="s">
        <v>1406</v>
      </c>
      <c r="P406" s="133" t="s">
        <v>95</v>
      </c>
      <c r="Q406" s="133">
        <v>1</v>
      </c>
      <c r="R406" s="133">
        <v>3</v>
      </c>
      <c r="S406" s="133">
        <v>0</v>
      </c>
      <c r="T406" s="133">
        <v>0</v>
      </c>
      <c r="U406" s="133">
        <v>0</v>
      </c>
      <c r="V406" s="133">
        <v>0</v>
      </c>
      <c r="W406" s="133">
        <v>0</v>
      </c>
      <c r="X406" s="133">
        <v>0</v>
      </c>
      <c r="Y406" s="133"/>
      <c r="Z406" s="133">
        <v>0</v>
      </c>
      <c r="AA406" s="133"/>
      <c r="AB406" s="133"/>
      <c r="AC406" s="133">
        <f t="shared" si="33"/>
        <v>0</v>
      </c>
      <c r="AD406" s="133"/>
      <c r="AE406" s="136" t="s">
        <v>1407</v>
      </c>
      <c r="AG406" s="137"/>
    </row>
    <row r="407" spans="1:33" s="14" customFormat="1">
      <c r="A407" s="133">
        <f t="shared" si="35"/>
        <v>352</v>
      </c>
      <c r="B407" s="11" t="s">
        <v>34</v>
      </c>
      <c r="C407" s="133" t="s">
        <v>1103</v>
      </c>
      <c r="D407" s="133" t="s">
        <v>1408</v>
      </c>
      <c r="E407" s="133"/>
      <c r="F407" s="133" t="s">
        <v>37</v>
      </c>
      <c r="G407" s="134" t="s">
        <v>1409</v>
      </c>
      <c r="H407" s="133" t="s">
        <v>741</v>
      </c>
      <c r="I407" s="133" t="s">
        <v>741</v>
      </c>
      <c r="J407" s="135" t="s">
        <v>1410</v>
      </c>
      <c r="K407" s="133" t="s">
        <v>1114</v>
      </c>
      <c r="L407" s="133">
        <v>50</v>
      </c>
      <c r="M407" s="133"/>
      <c r="N407" s="133" t="s">
        <v>424</v>
      </c>
      <c r="O407" s="133">
        <v>9058019</v>
      </c>
      <c r="P407" s="133">
        <v>2009</v>
      </c>
      <c r="Q407" s="133">
        <v>1</v>
      </c>
      <c r="R407" s="133">
        <v>1</v>
      </c>
      <c r="S407" s="133">
        <v>0</v>
      </c>
      <c r="T407" s="133">
        <v>0</v>
      </c>
      <c r="U407" s="133">
        <v>0</v>
      </c>
      <c r="V407" s="133">
        <v>0</v>
      </c>
      <c r="W407" s="133">
        <v>0</v>
      </c>
      <c r="X407" s="133">
        <v>0</v>
      </c>
      <c r="Y407" s="133"/>
      <c r="Z407" s="133">
        <v>0</v>
      </c>
      <c r="AA407" s="133"/>
      <c r="AB407" s="133"/>
      <c r="AC407" s="133">
        <f t="shared" si="33"/>
        <v>0</v>
      </c>
      <c r="AD407" s="133"/>
      <c r="AE407" s="136"/>
      <c r="AG407" s="137"/>
    </row>
    <row r="408" spans="1:33" s="14" customFormat="1">
      <c r="A408" s="133">
        <f t="shared" si="35"/>
        <v>353</v>
      </c>
      <c r="B408" s="11" t="s">
        <v>34</v>
      </c>
      <c r="C408" s="133" t="s">
        <v>1103</v>
      </c>
      <c r="D408" s="133" t="s">
        <v>1411</v>
      </c>
      <c r="E408" s="133"/>
      <c r="F408" s="133" t="s">
        <v>37</v>
      </c>
      <c r="G408" s="134" t="s">
        <v>1412</v>
      </c>
      <c r="H408" s="133" t="s">
        <v>741</v>
      </c>
      <c r="I408" s="133" t="s">
        <v>741</v>
      </c>
      <c r="J408" s="133" t="s">
        <v>1413</v>
      </c>
      <c r="K408" s="133" t="s">
        <v>1114</v>
      </c>
      <c r="L408" s="133">
        <v>100</v>
      </c>
      <c r="M408" s="133"/>
      <c r="N408" s="133" t="s">
        <v>424</v>
      </c>
      <c r="O408" s="133" t="s">
        <v>1414</v>
      </c>
      <c r="P408" s="133">
        <v>2007</v>
      </c>
      <c r="Q408" s="133">
        <v>1</v>
      </c>
      <c r="R408" s="133">
        <v>1</v>
      </c>
      <c r="S408" s="133">
        <v>0</v>
      </c>
      <c r="T408" s="133">
        <v>0</v>
      </c>
      <c r="U408" s="133">
        <v>0</v>
      </c>
      <c r="V408" s="133">
        <v>0</v>
      </c>
      <c r="W408" s="133">
        <v>0</v>
      </c>
      <c r="X408" s="133">
        <v>0</v>
      </c>
      <c r="Y408" s="133"/>
      <c r="Z408" s="133">
        <v>0</v>
      </c>
      <c r="AA408" s="133"/>
      <c r="AB408" s="133"/>
      <c r="AC408" s="133">
        <f t="shared" si="33"/>
        <v>0</v>
      </c>
      <c r="AD408" s="133"/>
      <c r="AE408" s="136"/>
      <c r="AG408" s="137"/>
    </row>
    <row r="409" spans="1:33" s="14" customFormat="1">
      <c r="A409" s="133">
        <f t="shared" si="35"/>
        <v>354</v>
      </c>
      <c r="B409" s="11" t="s">
        <v>34</v>
      </c>
      <c r="C409" s="133" t="s">
        <v>1103</v>
      </c>
      <c r="D409" s="133" t="s">
        <v>1415</v>
      </c>
      <c r="E409" s="133"/>
      <c r="F409" s="133" t="s">
        <v>37</v>
      </c>
      <c r="G409" s="134" t="s">
        <v>1416</v>
      </c>
      <c r="H409" s="133" t="s">
        <v>741</v>
      </c>
      <c r="I409" s="133" t="s">
        <v>741</v>
      </c>
      <c r="J409" s="133" t="s">
        <v>1417</v>
      </c>
      <c r="K409" s="133" t="s">
        <v>1114</v>
      </c>
      <c r="L409" s="133">
        <v>100</v>
      </c>
      <c r="M409" s="133"/>
      <c r="N409" s="133" t="s">
        <v>93</v>
      </c>
      <c r="O409" s="133" t="s">
        <v>1418</v>
      </c>
      <c r="P409" s="133">
        <v>2011</v>
      </c>
      <c r="Q409" s="133">
        <v>1</v>
      </c>
      <c r="R409" s="133" t="s">
        <v>482</v>
      </c>
      <c r="S409" s="133">
        <v>0</v>
      </c>
      <c r="T409" s="133">
        <v>0</v>
      </c>
      <c r="U409" s="133">
        <v>0</v>
      </c>
      <c r="V409" s="133">
        <v>0</v>
      </c>
      <c r="W409" s="133">
        <v>0</v>
      </c>
      <c r="X409" s="133">
        <v>0</v>
      </c>
      <c r="Y409" s="133"/>
      <c r="Z409" s="133">
        <v>0</v>
      </c>
      <c r="AA409" s="133"/>
      <c r="AB409" s="133"/>
      <c r="AC409" s="133">
        <f t="shared" ref="AC409:AC476" si="36">SUM(U409:AB409)</f>
        <v>0</v>
      </c>
      <c r="AD409" s="133"/>
      <c r="AE409" s="136"/>
      <c r="AG409" s="137"/>
    </row>
    <row r="410" spans="1:33" s="14" customFormat="1">
      <c r="A410" s="133">
        <f t="shared" si="35"/>
        <v>355</v>
      </c>
      <c r="B410" s="11" t="s">
        <v>34</v>
      </c>
      <c r="C410" s="133" t="s">
        <v>1419</v>
      </c>
      <c r="D410" s="133" t="s">
        <v>1420</v>
      </c>
      <c r="E410" s="133"/>
      <c r="F410" s="133" t="s">
        <v>37</v>
      </c>
      <c r="G410" s="134" t="s">
        <v>1421</v>
      </c>
      <c r="H410" s="133" t="s">
        <v>741</v>
      </c>
      <c r="I410" s="133" t="s">
        <v>741</v>
      </c>
      <c r="J410" s="135" t="s">
        <v>1422</v>
      </c>
      <c r="K410" s="133" t="s">
        <v>42</v>
      </c>
      <c r="L410" s="133">
        <v>50</v>
      </c>
      <c r="M410" s="133"/>
      <c r="N410" s="133" t="s">
        <v>573</v>
      </c>
      <c r="O410" s="133" t="s">
        <v>1423</v>
      </c>
      <c r="P410" s="133"/>
      <c r="Q410" s="133">
        <v>1</v>
      </c>
      <c r="R410" s="133">
        <f>IF(H410="CANTOL",2,4)</f>
        <v>2</v>
      </c>
      <c r="S410" s="133">
        <v>0</v>
      </c>
      <c r="T410" s="133">
        <v>0</v>
      </c>
      <c r="U410" s="133">
        <v>0</v>
      </c>
      <c r="V410" s="133">
        <v>0</v>
      </c>
      <c r="W410" s="133">
        <v>0</v>
      </c>
      <c r="X410" s="133">
        <v>0</v>
      </c>
      <c r="Y410" s="133"/>
      <c r="Z410" s="133">
        <v>0</v>
      </c>
      <c r="AA410" s="133"/>
      <c r="AB410" s="133"/>
      <c r="AC410" s="133">
        <f t="shared" si="36"/>
        <v>0</v>
      </c>
      <c r="AD410" s="133"/>
      <c r="AE410" s="136"/>
      <c r="AG410" s="137"/>
    </row>
    <row r="411" spans="1:33" s="14" customFormat="1">
      <c r="A411" s="133">
        <f t="shared" si="35"/>
        <v>356</v>
      </c>
      <c r="B411" s="11" t="s">
        <v>34</v>
      </c>
      <c r="C411" s="133" t="s">
        <v>1419</v>
      </c>
      <c r="D411" s="133" t="s">
        <v>1424</v>
      </c>
      <c r="E411" s="133"/>
      <c r="F411" s="133" t="s">
        <v>37</v>
      </c>
      <c r="G411" s="134" t="s">
        <v>1100</v>
      </c>
      <c r="H411" s="133" t="s">
        <v>741</v>
      </c>
      <c r="I411" s="133" t="s">
        <v>741</v>
      </c>
      <c r="J411" s="135" t="s">
        <v>1425</v>
      </c>
      <c r="K411" s="133" t="s">
        <v>42</v>
      </c>
      <c r="L411" s="133">
        <v>50</v>
      </c>
      <c r="M411" s="133"/>
      <c r="N411" s="133" t="s">
        <v>59</v>
      </c>
      <c r="O411" s="133" t="s">
        <v>1426</v>
      </c>
      <c r="P411" s="133">
        <v>2015</v>
      </c>
      <c r="Q411" s="133">
        <v>1</v>
      </c>
      <c r="R411" s="133">
        <v>2</v>
      </c>
      <c r="S411" s="133">
        <v>0</v>
      </c>
      <c r="T411" s="133">
        <v>0</v>
      </c>
      <c r="U411" s="133">
        <v>0</v>
      </c>
      <c r="V411" s="133">
        <v>0</v>
      </c>
      <c r="W411" s="133">
        <v>0</v>
      </c>
      <c r="X411" s="133">
        <v>0</v>
      </c>
      <c r="Y411" s="133"/>
      <c r="Z411" s="133">
        <v>0</v>
      </c>
      <c r="AA411" s="133"/>
      <c r="AB411" s="133"/>
      <c r="AC411" s="133">
        <f t="shared" si="36"/>
        <v>0</v>
      </c>
      <c r="AD411" s="133"/>
      <c r="AE411" s="136"/>
      <c r="AG411" s="137"/>
    </row>
    <row r="412" spans="1:33" s="14" customFormat="1">
      <c r="A412" s="133">
        <f t="shared" si="35"/>
        <v>357</v>
      </c>
      <c r="B412" s="11" t="s">
        <v>34</v>
      </c>
      <c r="C412" s="133" t="s">
        <v>1419</v>
      </c>
      <c r="D412" s="133" t="s">
        <v>1427</v>
      </c>
      <c r="E412" s="133"/>
      <c r="F412" s="133" t="s">
        <v>37</v>
      </c>
      <c r="G412" s="134" t="s">
        <v>1100</v>
      </c>
      <c r="H412" s="133" t="s">
        <v>741</v>
      </c>
      <c r="I412" s="133" t="s">
        <v>741</v>
      </c>
      <c r="J412" s="135" t="s">
        <v>1428</v>
      </c>
      <c r="K412" s="133" t="s">
        <v>1429</v>
      </c>
      <c r="L412" s="133">
        <v>100</v>
      </c>
      <c r="M412" s="133"/>
      <c r="N412" s="133" t="s">
        <v>43</v>
      </c>
      <c r="O412" s="138" t="s">
        <v>1430</v>
      </c>
      <c r="P412" s="133">
        <v>1997</v>
      </c>
      <c r="Q412" s="133">
        <v>1</v>
      </c>
      <c r="R412" s="133" t="s">
        <v>482</v>
      </c>
      <c r="S412" s="133">
        <v>0</v>
      </c>
      <c r="T412" s="133">
        <v>0</v>
      </c>
      <c r="U412" s="133">
        <v>0</v>
      </c>
      <c r="V412" s="133">
        <v>0</v>
      </c>
      <c r="W412" s="133">
        <v>0</v>
      </c>
      <c r="X412" s="133">
        <v>0</v>
      </c>
      <c r="Y412" s="133"/>
      <c r="Z412" s="133">
        <v>0</v>
      </c>
      <c r="AA412" s="133"/>
      <c r="AB412" s="133"/>
      <c r="AC412" s="133">
        <f t="shared" si="36"/>
        <v>0</v>
      </c>
      <c r="AD412" s="133"/>
      <c r="AE412" s="136"/>
      <c r="AG412" s="137"/>
    </row>
    <row r="413" spans="1:33" s="14" customFormat="1">
      <c r="A413" s="133">
        <f t="shared" si="35"/>
        <v>358</v>
      </c>
      <c r="B413" s="11" t="s">
        <v>34</v>
      </c>
      <c r="C413" s="133" t="s">
        <v>1419</v>
      </c>
      <c r="D413" s="133" t="s">
        <v>1431</v>
      </c>
      <c r="E413" s="133"/>
      <c r="F413" s="133" t="s">
        <v>37</v>
      </c>
      <c r="G413" s="134" t="s">
        <v>1432</v>
      </c>
      <c r="H413" s="133" t="s">
        <v>741</v>
      </c>
      <c r="I413" s="133" t="s">
        <v>741</v>
      </c>
      <c r="J413" s="135" t="s">
        <v>1433</v>
      </c>
      <c r="K413" s="133" t="s">
        <v>42</v>
      </c>
      <c r="L413" s="133">
        <v>25</v>
      </c>
      <c r="M413" s="133"/>
      <c r="N413" s="133" t="s">
        <v>664</v>
      </c>
      <c r="O413" s="133"/>
      <c r="P413" s="133"/>
      <c r="Q413" s="133">
        <v>1</v>
      </c>
      <c r="R413" s="133">
        <f t="shared" ref="R413:R414" si="37">IF(H413="CANTOL",2,4)</f>
        <v>2</v>
      </c>
      <c r="S413" s="133">
        <v>0</v>
      </c>
      <c r="T413" s="133">
        <v>0</v>
      </c>
      <c r="U413" s="133">
        <v>0</v>
      </c>
      <c r="V413" s="133">
        <v>0</v>
      </c>
      <c r="W413" s="133">
        <v>0</v>
      </c>
      <c r="X413" s="133">
        <v>0</v>
      </c>
      <c r="Y413" s="133"/>
      <c r="Z413" s="133">
        <v>0</v>
      </c>
      <c r="AA413" s="133"/>
      <c r="AB413" s="133"/>
      <c r="AC413" s="133">
        <f t="shared" si="36"/>
        <v>0</v>
      </c>
      <c r="AD413" s="133"/>
      <c r="AE413" s="136"/>
      <c r="AG413" s="137"/>
    </row>
    <row r="414" spans="1:33" s="99" customFormat="1">
      <c r="A414" s="130">
        <f t="shared" si="35"/>
        <v>359</v>
      </c>
      <c r="B414" s="96" t="s">
        <v>34</v>
      </c>
      <c r="C414" s="130" t="s">
        <v>1419</v>
      </c>
      <c r="D414" s="130" t="s">
        <v>1434</v>
      </c>
      <c r="E414" s="130"/>
      <c r="F414" s="130" t="s">
        <v>37</v>
      </c>
      <c r="G414" s="139" t="s">
        <v>1432</v>
      </c>
      <c r="H414" s="130" t="s">
        <v>741</v>
      </c>
      <c r="I414" s="130" t="s">
        <v>741</v>
      </c>
      <c r="J414" s="140" t="s">
        <v>1435</v>
      </c>
      <c r="K414" s="130" t="s">
        <v>42</v>
      </c>
      <c r="L414" s="130">
        <v>100</v>
      </c>
      <c r="M414" s="130"/>
      <c r="N414" s="130"/>
      <c r="O414" s="130"/>
      <c r="P414" s="130"/>
      <c r="Q414" s="130">
        <v>1</v>
      </c>
      <c r="R414" s="130">
        <f t="shared" si="37"/>
        <v>2</v>
      </c>
      <c r="S414" s="130">
        <v>0</v>
      </c>
      <c r="T414" s="130">
        <v>0</v>
      </c>
      <c r="U414" s="130">
        <v>0</v>
      </c>
      <c r="V414" s="130">
        <v>0</v>
      </c>
      <c r="W414" s="130">
        <v>0</v>
      </c>
      <c r="X414" s="130">
        <v>0</v>
      </c>
      <c r="Y414" s="130"/>
      <c r="Z414" s="130">
        <v>0</v>
      </c>
      <c r="AA414" s="130"/>
      <c r="AB414" s="130"/>
      <c r="AC414" s="130">
        <f t="shared" si="36"/>
        <v>0</v>
      </c>
      <c r="AD414" s="130"/>
      <c r="AE414" s="131"/>
      <c r="AG414" s="132"/>
    </row>
    <row r="415" spans="1:33" s="14" customFormat="1">
      <c r="A415" s="133">
        <f t="shared" si="35"/>
        <v>360</v>
      </c>
      <c r="B415" s="11" t="s">
        <v>34</v>
      </c>
      <c r="C415" s="133" t="s">
        <v>1419</v>
      </c>
      <c r="D415" s="133" t="s">
        <v>1436</v>
      </c>
      <c r="E415" s="133"/>
      <c r="F415" s="133" t="s">
        <v>37</v>
      </c>
      <c r="G415" s="134" t="s">
        <v>1437</v>
      </c>
      <c r="H415" s="133" t="s">
        <v>39</v>
      </c>
      <c r="I415" s="133" t="s">
        <v>50</v>
      </c>
      <c r="J415" s="135" t="s">
        <v>1438</v>
      </c>
      <c r="K415" s="133" t="s">
        <v>1114</v>
      </c>
      <c r="L415" s="133">
        <v>400</v>
      </c>
      <c r="M415" s="133"/>
      <c r="N415" s="133" t="s">
        <v>82</v>
      </c>
      <c r="O415" s="133" t="s">
        <v>1439</v>
      </c>
      <c r="P415" s="133">
        <v>2013</v>
      </c>
      <c r="Q415" s="133"/>
      <c r="R415" s="133">
        <v>4</v>
      </c>
      <c r="S415" s="133">
        <v>0</v>
      </c>
      <c r="T415" s="133">
        <v>0</v>
      </c>
      <c r="U415" s="133">
        <v>0</v>
      </c>
      <c r="V415" s="133">
        <v>0</v>
      </c>
      <c r="W415" s="133">
        <v>0</v>
      </c>
      <c r="X415" s="133">
        <v>0</v>
      </c>
      <c r="Y415" s="133"/>
      <c r="Z415" s="133">
        <v>0</v>
      </c>
      <c r="AA415" s="133"/>
      <c r="AB415" s="133"/>
      <c r="AC415" s="133">
        <f t="shared" si="36"/>
        <v>0</v>
      </c>
      <c r="AD415" s="133"/>
      <c r="AE415" s="136"/>
      <c r="AG415" s="137"/>
    </row>
    <row r="416" spans="1:33" s="14" customFormat="1">
      <c r="A416" s="133">
        <f t="shared" si="35"/>
        <v>361</v>
      </c>
      <c r="B416" s="11" t="s">
        <v>34</v>
      </c>
      <c r="C416" s="133" t="s">
        <v>1419</v>
      </c>
      <c r="D416" s="133" t="s">
        <v>1440</v>
      </c>
      <c r="E416" s="133"/>
      <c r="F416" s="133" t="s">
        <v>37</v>
      </c>
      <c r="G416" s="134" t="s">
        <v>1441</v>
      </c>
      <c r="H416" s="133" t="s">
        <v>741</v>
      </c>
      <c r="I416" s="133" t="s">
        <v>741</v>
      </c>
      <c r="J416" s="135" t="s">
        <v>1442</v>
      </c>
      <c r="K416" s="133" t="s">
        <v>1114</v>
      </c>
      <c r="L416" s="133">
        <v>100</v>
      </c>
      <c r="M416" s="133"/>
      <c r="N416" s="133" t="s">
        <v>927</v>
      </c>
      <c r="O416" s="133" t="s">
        <v>1443</v>
      </c>
      <c r="P416" s="133"/>
      <c r="Q416" s="133">
        <v>1</v>
      </c>
      <c r="R416" s="133">
        <v>2</v>
      </c>
      <c r="S416" s="133">
        <v>0</v>
      </c>
      <c r="T416" s="133">
        <v>0</v>
      </c>
      <c r="U416" s="133">
        <v>0</v>
      </c>
      <c r="V416" s="133">
        <v>0</v>
      </c>
      <c r="W416" s="133">
        <v>0</v>
      </c>
      <c r="X416" s="133">
        <v>0</v>
      </c>
      <c r="Y416" s="133"/>
      <c r="Z416" s="133">
        <v>0</v>
      </c>
      <c r="AA416" s="133"/>
      <c r="AB416" s="133"/>
      <c r="AC416" s="133">
        <f t="shared" si="36"/>
        <v>0</v>
      </c>
      <c r="AD416" s="133"/>
      <c r="AE416" s="136"/>
      <c r="AG416" s="137"/>
    </row>
    <row r="417" spans="1:33" s="14" customFormat="1">
      <c r="A417" s="133">
        <f t="shared" si="35"/>
        <v>362</v>
      </c>
      <c r="B417" s="11" t="s">
        <v>34</v>
      </c>
      <c r="C417" s="133" t="s">
        <v>1419</v>
      </c>
      <c r="D417" s="133" t="s">
        <v>1444</v>
      </c>
      <c r="E417" s="133"/>
      <c r="F417" s="133" t="s">
        <v>37</v>
      </c>
      <c r="G417" s="134" t="s">
        <v>1445</v>
      </c>
      <c r="H417" s="133" t="s">
        <v>246</v>
      </c>
      <c r="I417" s="133" t="s">
        <v>246</v>
      </c>
      <c r="J417" s="135" t="s">
        <v>1446</v>
      </c>
      <c r="K417" s="133" t="s">
        <v>1114</v>
      </c>
      <c r="L417" s="133">
        <v>100</v>
      </c>
      <c r="M417" s="133"/>
      <c r="N417" s="133" t="s">
        <v>59</v>
      </c>
      <c r="O417" s="133" t="s">
        <v>1447</v>
      </c>
      <c r="P417" s="133">
        <v>1987</v>
      </c>
      <c r="Q417" s="133">
        <v>1</v>
      </c>
      <c r="R417" s="133">
        <v>2</v>
      </c>
      <c r="S417" s="133">
        <v>0</v>
      </c>
      <c r="T417" s="133">
        <v>0</v>
      </c>
      <c r="U417" s="133">
        <v>0</v>
      </c>
      <c r="V417" s="133">
        <v>0</v>
      </c>
      <c r="W417" s="133">
        <v>0</v>
      </c>
      <c r="X417" s="133">
        <v>0</v>
      </c>
      <c r="Y417" s="133"/>
      <c r="Z417" s="133">
        <v>0</v>
      </c>
      <c r="AA417" s="133"/>
      <c r="AB417" s="133"/>
      <c r="AC417" s="133">
        <f t="shared" si="36"/>
        <v>0</v>
      </c>
      <c r="AD417" s="133"/>
      <c r="AE417" s="136"/>
      <c r="AG417" s="137"/>
    </row>
    <row r="418" spans="1:33" s="14" customFormat="1">
      <c r="A418" s="133">
        <f t="shared" si="35"/>
        <v>363</v>
      </c>
      <c r="B418" s="11" t="s">
        <v>34</v>
      </c>
      <c r="C418" s="133" t="s">
        <v>1419</v>
      </c>
      <c r="D418" s="133" t="s">
        <v>1448</v>
      </c>
      <c r="E418" s="133"/>
      <c r="F418" s="133" t="s">
        <v>37</v>
      </c>
      <c r="G418" s="134" t="s">
        <v>1449</v>
      </c>
      <c r="H418" s="133" t="s">
        <v>246</v>
      </c>
      <c r="I418" s="133" t="s">
        <v>246</v>
      </c>
      <c r="J418" s="135" t="s">
        <v>1450</v>
      </c>
      <c r="K418" s="133" t="s">
        <v>1114</v>
      </c>
      <c r="L418" s="133">
        <v>100</v>
      </c>
      <c r="M418" s="133"/>
      <c r="N418" s="133" t="s">
        <v>797</v>
      </c>
      <c r="O418" s="133">
        <v>2504010429</v>
      </c>
      <c r="P418" s="133">
        <v>2024</v>
      </c>
      <c r="Q418" s="133">
        <v>1</v>
      </c>
      <c r="R418" s="133">
        <v>3</v>
      </c>
      <c r="S418" s="133">
        <v>0</v>
      </c>
      <c r="T418" s="133">
        <v>0</v>
      </c>
      <c r="U418" s="133">
        <v>0</v>
      </c>
      <c r="V418" s="133">
        <v>0</v>
      </c>
      <c r="W418" s="133">
        <v>0</v>
      </c>
      <c r="X418" s="133">
        <v>0</v>
      </c>
      <c r="Y418" s="133"/>
      <c r="Z418" s="133">
        <v>0</v>
      </c>
      <c r="AA418" s="133"/>
      <c r="AB418" s="133"/>
      <c r="AC418" s="133">
        <f t="shared" si="36"/>
        <v>0</v>
      </c>
      <c r="AD418" s="133"/>
      <c r="AE418" s="136"/>
      <c r="AG418" s="137"/>
    </row>
    <row r="419" spans="1:33" s="14" customFormat="1">
      <c r="A419" s="133">
        <f t="shared" si="35"/>
        <v>364</v>
      </c>
      <c r="B419" s="11" t="s">
        <v>34</v>
      </c>
      <c r="C419" s="133" t="s">
        <v>1419</v>
      </c>
      <c r="D419" s="133" t="s">
        <v>1451</v>
      </c>
      <c r="E419" s="133"/>
      <c r="F419" s="133" t="s">
        <v>37</v>
      </c>
      <c r="G419" s="134" t="s">
        <v>1452</v>
      </c>
      <c r="H419" s="133" t="s">
        <v>741</v>
      </c>
      <c r="I419" s="133" t="s">
        <v>741</v>
      </c>
      <c r="J419" s="135" t="s">
        <v>1453</v>
      </c>
      <c r="K419" s="133" t="s">
        <v>1114</v>
      </c>
      <c r="L419" s="133">
        <v>25</v>
      </c>
      <c r="M419" s="133"/>
      <c r="N419" s="133" t="s">
        <v>927</v>
      </c>
      <c r="O419" s="133"/>
      <c r="P419" s="133"/>
      <c r="Q419" s="133">
        <v>1</v>
      </c>
      <c r="R419" s="133">
        <v>1</v>
      </c>
      <c r="S419" s="133">
        <v>0</v>
      </c>
      <c r="T419" s="133">
        <v>0</v>
      </c>
      <c r="U419" s="133">
        <v>0</v>
      </c>
      <c r="V419" s="133">
        <v>0</v>
      </c>
      <c r="W419" s="133">
        <v>0</v>
      </c>
      <c r="X419" s="133">
        <v>0</v>
      </c>
      <c r="Y419" s="133"/>
      <c r="Z419" s="133">
        <v>0</v>
      </c>
      <c r="AA419" s="133"/>
      <c r="AB419" s="133"/>
      <c r="AC419" s="133">
        <f t="shared" si="36"/>
        <v>0</v>
      </c>
      <c r="AD419" s="133"/>
      <c r="AE419" s="136"/>
      <c r="AG419" s="137"/>
    </row>
    <row r="420" spans="1:33" s="14" customFormat="1">
      <c r="A420" s="133">
        <f t="shared" si="35"/>
        <v>365</v>
      </c>
      <c r="B420" s="11" t="s">
        <v>34</v>
      </c>
      <c r="C420" s="133" t="s">
        <v>1419</v>
      </c>
      <c r="D420" s="133" t="s">
        <v>1454</v>
      </c>
      <c r="E420" s="133"/>
      <c r="F420" s="133" t="s">
        <v>37</v>
      </c>
      <c r="G420" s="134" t="s">
        <v>1455</v>
      </c>
      <c r="H420" s="133" t="s">
        <v>741</v>
      </c>
      <c r="I420" s="133" t="s">
        <v>741</v>
      </c>
      <c r="J420" s="135" t="s">
        <v>1456</v>
      </c>
      <c r="K420" s="133" t="s">
        <v>1114</v>
      </c>
      <c r="L420" s="133" t="s">
        <v>974</v>
      </c>
      <c r="M420" s="133"/>
      <c r="N420" s="133" t="s">
        <v>424</v>
      </c>
      <c r="O420" s="133" t="s">
        <v>1457</v>
      </c>
      <c r="P420" s="133" t="s">
        <v>737</v>
      </c>
      <c r="Q420" s="133">
        <v>1</v>
      </c>
      <c r="R420" s="133">
        <v>2</v>
      </c>
      <c r="S420" s="133">
        <v>0</v>
      </c>
      <c r="T420" s="133">
        <v>0</v>
      </c>
      <c r="U420" s="133">
        <v>0</v>
      </c>
      <c r="V420" s="133">
        <v>0</v>
      </c>
      <c r="W420" s="133">
        <v>0</v>
      </c>
      <c r="X420" s="133">
        <v>0</v>
      </c>
      <c r="Y420" s="133"/>
      <c r="Z420" s="133">
        <v>0</v>
      </c>
      <c r="AA420" s="133"/>
      <c r="AB420" s="133"/>
      <c r="AC420" s="133">
        <f t="shared" si="36"/>
        <v>0</v>
      </c>
      <c r="AD420" s="133"/>
      <c r="AE420" s="136"/>
      <c r="AG420" s="137"/>
    </row>
    <row r="421" spans="1:33" s="14" customFormat="1">
      <c r="A421" s="133">
        <f t="shared" si="35"/>
        <v>366</v>
      </c>
      <c r="B421" s="11" t="s">
        <v>34</v>
      </c>
      <c r="C421" s="133" t="s">
        <v>1419</v>
      </c>
      <c r="D421" s="133" t="s">
        <v>1458</v>
      </c>
      <c r="E421" s="133"/>
      <c r="F421" s="133" t="s">
        <v>37</v>
      </c>
      <c r="G421" s="134" t="s">
        <v>1459</v>
      </c>
      <c r="H421" s="133" t="s">
        <v>741</v>
      </c>
      <c r="I421" s="133" t="s">
        <v>741</v>
      </c>
      <c r="J421" s="135" t="s">
        <v>1460</v>
      </c>
      <c r="K421" s="133" t="s">
        <v>1114</v>
      </c>
      <c r="L421" s="133">
        <v>50</v>
      </c>
      <c r="M421" s="133"/>
      <c r="N421" s="133" t="s">
        <v>903</v>
      </c>
      <c r="O421" s="133" t="s">
        <v>1461</v>
      </c>
      <c r="P421" s="133" t="s">
        <v>255</v>
      </c>
      <c r="Q421" s="133">
        <v>1</v>
      </c>
      <c r="R421" s="133">
        <v>1</v>
      </c>
      <c r="S421" s="133">
        <v>0</v>
      </c>
      <c r="T421" s="133">
        <v>0</v>
      </c>
      <c r="U421" s="133">
        <v>0</v>
      </c>
      <c r="V421" s="133">
        <v>0</v>
      </c>
      <c r="W421" s="133">
        <v>0</v>
      </c>
      <c r="X421" s="133">
        <v>0</v>
      </c>
      <c r="Y421" s="133"/>
      <c r="Z421" s="133">
        <v>0</v>
      </c>
      <c r="AA421" s="133"/>
      <c r="AB421" s="133"/>
      <c r="AC421" s="133">
        <f t="shared" si="36"/>
        <v>0</v>
      </c>
      <c r="AD421" s="133"/>
      <c r="AE421" s="136" t="s">
        <v>1462</v>
      </c>
      <c r="AG421" s="137"/>
    </row>
    <row r="422" spans="1:33" s="99" customFormat="1">
      <c r="A422" s="130">
        <f t="shared" si="35"/>
        <v>367</v>
      </c>
      <c r="B422" s="96" t="s">
        <v>34</v>
      </c>
      <c r="C422" s="130" t="s">
        <v>1419</v>
      </c>
      <c r="D422" s="130" t="s">
        <v>1463</v>
      </c>
      <c r="E422" s="130"/>
      <c r="F422" s="130" t="s">
        <v>37</v>
      </c>
      <c r="G422" s="139" t="s">
        <v>1464</v>
      </c>
      <c r="H422" s="130" t="s">
        <v>741</v>
      </c>
      <c r="I422" s="130" t="s">
        <v>741</v>
      </c>
      <c r="J422" s="140" t="s">
        <v>1465</v>
      </c>
      <c r="K422" s="130" t="s">
        <v>1114</v>
      </c>
      <c r="L422" s="130">
        <v>100</v>
      </c>
      <c r="M422" s="130"/>
      <c r="N422" s="130" t="s">
        <v>119</v>
      </c>
      <c r="O422" s="130" t="s">
        <v>1466</v>
      </c>
      <c r="P422" s="130">
        <v>2024</v>
      </c>
      <c r="Q422" s="130">
        <v>1</v>
      </c>
      <c r="R422" s="130">
        <v>1</v>
      </c>
      <c r="S422" s="130">
        <v>0</v>
      </c>
      <c r="T422" s="130">
        <v>0</v>
      </c>
      <c r="U422" s="130">
        <v>0</v>
      </c>
      <c r="V422" s="130">
        <v>0</v>
      </c>
      <c r="W422" s="130">
        <v>0</v>
      </c>
      <c r="X422" s="130">
        <v>0</v>
      </c>
      <c r="Y422" s="130"/>
      <c r="Z422" s="130">
        <v>0</v>
      </c>
      <c r="AA422" s="130"/>
      <c r="AB422" s="130"/>
      <c r="AC422" s="130">
        <f t="shared" si="36"/>
        <v>0</v>
      </c>
      <c r="AD422" s="130"/>
      <c r="AE422" s="131"/>
      <c r="AG422" s="132"/>
    </row>
    <row r="423" spans="1:33" s="14" customFormat="1">
      <c r="A423" s="133">
        <f t="shared" si="35"/>
        <v>368</v>
      </c>
      <c r="B423" s="11" t="s">
        <v>34</v>
      </c>
      <c r="C423" s="133" t="s">
        <v>1419</v>
      </c>
      <c r="D423" s="133" t="s">
        <v>1467</v>
      </c>
      <c r="E423" s="133"/>
      <c r="F423" s="133" t="s">
        <v>37</v>
      </c>
      <c r="G423" s="134" t="s">
        <v>1464</v>
      </c>
      <c r="H423" s="133" t="s">
        <v>741</v>
      </c>
      <c r="I423" s="133" t="s">
        <v>741</v>
      </c>
      <c r="J423" s="135" t="s">
        <v>1468</v>
      </c>
      <c r="K423" s="133" t="s">
        <v>1114</v>
      </c>
      <c r="L423" s="133">
        <v>50</v>
      </c>
      <c r="M423" s="133"/>
      <c r="N423" s="133" t="s">
        <v>93</v>
      </c>
      <c r="O423" s="133">
        <v>4111</v>
      </c>
      <c r="P423" s="133"/>
      <c r="Q423" s="133">
        <v>1</v>
      </c>
      <c r="R423" s="133">
        <v>2</v>
      </c>
      <c r="S423" s="133">
        <v>0</v>
      </c>
      <c r="T423" s="133">
        <v>0</v>
      </c>
      <c r="U423" s="133">
        <v>0</v>
      </c>
      <c r="V423" s="133">
        <v>0</v>
      </c>
      <c r="W423" s="133">
        <v>0</v>
      </c>
      <c r="X423" s="133">
        <v>0</v>
      </c>
      <c r="Y423" s="133"/>
      <c r="Z423" s="133">
        <v>0</v>
      </c>
      <c r="AA423" s="133"/>
      <c r="AB423" s="133"/>
      <c r="AC423" s="133">
        <f t="shared" si="36"/>
        <v>0</v>
      </c>
      <c r="AD423" s="133"/>
      <c r="AE423" s="136"/>
      <c r="AG423" s="137"/>
    </row>
    <row r="424" spans="1:33" s="14" customFormat="1">
      <c r="A424" s="133">
        <f t="shared" si="35"/>
        <v>369</v>
      </c>
      <c r="B424" s="11" t="s">
        <v>34</v>
      </c>
      <c r="C424" s="133" t="s">
        <v>1419</v>
      </c>
      <c r="D424" s="133" t="s">
        <v>1469</v>
      </c>
      <c r="E424" s="133"/>
      <c r="F424" s="133" t="s">
        <v>63</v>
      </c>
      <c r="G424" s="134" t="s">
        <v>1470</v>
      </c>
      <c r="H424" s="133" t="s">
        <v>741</v>
      </c>
      <c r="I424" s="133" t="s">
        <v>741</v>
      </c>
      <c r="J424" s="135" t="s">
        <v>1471</v>
      </c>
      <c r="K424" s="133" t="s">
        <v>1114</v>
      </c>
      <c r="L424" s="133">
        <v>100</v>
      </c>
      <c r="M424" s="133"/>
      <c r="N424" s="133" t="s">
        <v>93</v>
      </c>
      <c r="O424" s="133" t="s">
        <v>1472</v>
      </c>
      <c r="P424" s="133">
        <v>2012</v>
      </c>
      <c r="Q424" s="133">
        <v>1</v>
      </c>
      <c r="R424" s="133">
        <v>1</v>
      </c>
      <c r="S424" s="133">
        <v>0</v>
      </c>
      <c r="T424" s="133">
        <v>0</v>
      </c>
      <c r="U424" s="133">
        <v>0</v>
      </c>
      <c r="V424" s="133">
        <v>0</v>
      </c>
      <c r="W424" s="133">
        <v>0</v>
      </c>
      <c r="X424" s="133">
        <v>0</v>
      </c>
      <c r="Y424" s="133"/>
      <c r="Z424" s="133">
        <v>0</v>
      </c>
      <c r="AA424" s="133"/>
      <c r="AB424" s="133"/>
      <c r="AC424" s="133">
        <f t="shared" si="36"/>
        <v>0</v>
      </c>
      <c r="AD424" s="133"/>
      <c r="AE424" s="136"/>
      <c r="AG424" s="137"/>
    </row>
    <row r="425" spans="1:33" s="14" customFormat="1">
      <c r="A425" s="133">
        <f t="shared" si="35"/>
        <v>370</v>
      </c>
      <c r="B425" s="11" t="s">
        <v>34</v>
      </c>
      <c r="C425" s="133" t="s">
        <v>1419</v>
      </c>
      <c r="D425" s="133" t="s">
        <v>1473</v>
      </c>
      <c r="E425" s="133"/>
      <c r="F425" s="133" t="s">
        <v>37</v>
      </c>
      <c r="G425" s="134" t="s">
        <v>1474</v>
      </c>
      <c r="H425" s="133" t="s">
        <v>246</v>
      </c>
      <c r="I425" s="133" t="s">
        <v>246</v>
      </c>
      <c r="J425" s="135" t="s">
        <v>1475</v>
      </c>
      <c r="K425" s="133" t="s">
        <v>1429</v>
      </c>
      <c r="L425" s="133">
        <v>160</v>
      </c>
      <c r="M425" s="133"/>
      <c r="N425" s="133" t="s">
        <v>93</v>
      </c>
      <c r="O425" s="133" t="s">
        <v>1476</v>
      </c>
      <c r="P425" s="133">
        <v>2024</v>
      </c>
      <c r="Q425" s="133">
        <v>1</v>
      </c>
      <c r="R425" s="133">
        <v>3</v>
      </c>
      <c r="S425" s="133">
        <v>0</v>
      </c>
      <c r="T425" s="133">
        <v>0</v>
      </c>
      <c r="U425" s="133">
        <v>0</v>
      </c>
      <c r="V425" s="133">
        <v>0</v>
      </c>
      <c r="W425" s="133">
        <v>0</v>
      </c>
      <c r="X425" s="133">
        <v>0</v>
      </c>
      <c r="Y425" s="133"/>
      <c r="Z425" s="133">
        <v>0</v>
      </c>
      <c r="AA425" s="133"/>
      <c r="AB425" s="133"/>
      <c r="AC425" s="133">
        <f t="shared" si="36"/>
        <v>0</v>
      </c>
      <c r="AD425" s="133"/>
      <c r="AE425" s="136"/>
      <c r="AG425" s="137"/>
    </row>
    <row r="426" spans="1:33" s="14" customFormat="1">
      <c r="A426" s="133">
        <f t="shared" si="35"/>
        <v>371</v>
      </c>
      <c r="B426" s="11" t="s">
        <v>34</v>
      </c>
      <c r="C426" s="133" t="s">
        <v>1419</v>
      </c>
      <c r="D426" s="133" t="s">
        <v>1477</v>
      </c>
      <c r="E426" s="133"/>
      <c r="F426" s="133" t="s">
        <v>37</v>
      </c>
      <c r="G426" s="134" t="s">
        <v>1478</v>
      </c>
      <c r="H426" s="133" t="s">
        <v>246</v>
      </c>
      <c r="I426" s="133" t="s">
        <v>246</v>
      </c>
      <c r="J426" s="135" t="s">
        <v>1479</v>
      </c>
      <c r="K426" s="133" t="s">
        <v>1429</v>
      </c>
      <c r="L426" s="133">
        <v>250</v>
      </c>
      <c r="M426" s="133"/>
      <c r="N426" s="133" t="s">
        <v>59</v>
      </c>
      <c r="O426" s="133">
        <v>213301969</v>
      </c>
      <c r="P426" s="133">
        <v>2021</v>
      </c>
      <c r="Q426" s="133">
        <v>1</v>
      </c>
      <c r="R426" s="133">
        <v>3</v>
      </c>
      <c r="S426" s="133">
        <v>0</v>
      </c>
      <c r="T426" s="133">
        <v>0</v>
      </c>
      <c r="U426" s="133">
        <v>0</v>
      </c>
      <c r="V426" s="133">
        <v>0</v>
      </c>
      <c r="W426" s="133">
        <v>0</v>
      </c>
      <c r="X426" s="133">
        <v>0</v>
      </c>
      <c r="Y426" s="133"/>
      <c r="Z426" s="133">
        <v>0</v>
      </c>
      <c r="AA426" s="133"/>
      <c r="AB426" s="133"/>
      <c r="AC426" s="133">
        <f t="shared" si="36"/>
        <v>0</v>
      </c>
      <c r="AD426" s="133"/>
      <c r="AE426" s="136"/>
      <c r="AG426" s="137"/>
    </row>
    <row r="427" spans="1:33" s="14" customFormat="1">
      <c r="A427" s="133">
        <f t="shared" si="35"/>
        <v>372</v>
      </c>
      <c r="B427" s="11" t="s">
        <v>34</v>
      </c>
      <c r="C427" s="133" t="s">
        <v>1419</v>
      </c>
      <c r="D427" s="133" t="s">
        <v>1480</v>
      </c>
      <c r="E427" s="133"/>
      <c r="F427" s="133" t="s">
        <v>37</v>
      </c>
      <c r="G427" s="134" t="s">
        <v>1481</v>
      </c>
      <c r="H427" s="133" t="s">
        <v>741</v>
      </c>
      <c r="I427" s="133" t="s">
        <v>741</v>
      </c>
      <c r="J427" s="135" t="s">
        <v>1482</v>
      </c>
      <c r="K427" s="133" t="s">
        <v>1429</v>
      </c>
      <c r="L427" s="133">
        <v>100</v>
      </c>
      <c r="M427" s="133"/>
      <c r="N427" s="133" t="s">
        <v>863</v>
      </c>
      <c r="O427" s="133" t="s">
        <v>1483</v>
      </c>
      <c r="P427" s="133"/>
      <c r="Q427" s="133">
        <v>1</v>
      </c>
      <c r="R427" s="133">
        <v>2</v>
      </c>
      <c r="S427" s="133">
        <v>0</v>
      </c>
      <c r="T427" s="133">
        <v>0</v>
      </c>
      <c r="U427" s="133">
        <v>0</v>
      </c>
      <c r="V427" s="133">
        <v>0</v>
      </c>
      <c r="W427" s="133">
        <v>0</v>
      </c>
      <c r="X427" s="133">
        <v>0</v>
      </c>
      <c r="Y427" s="133"/>
      <c r="Z427" s="133">
        <v>0</v>
      </c>
      <c r="AA427" s="133"/>
      <c r="AB427" s="133"/>
      <c r="AC427" s="133">
        <f t="shared" si="36"/>
        <v>0</v>
      </c>
      <c r="AD427" s="133"/>
      <c r="AE427" s="136" t="s">
        <v>1484</v>
      </c>
      <c r="AG427" s="137" t="s">
        <v>1484</v>
      </c>
    </row>
    <row r="428" spans="1:33" s="14" customFormat="1">
      <c r="A428" s="133">
        <f t="shared" si="35"/>
        <v>373</v>
      </c>
      <c r="B428" s="11" t="s">
        <v>34</v>
      </c>
      <c r="C428" s="133" t="s">
        <v>1419</v>
      </c>
      <c r="D428" s="133" t="s">
        <v>1485</v>
      </c>
      <c r="E428" s="133"/>
      <c r="F428" s="133" t="s">
        <v>37</v>
      </c>
      <c r="G428" s="134" t="s">
        <v>1486</v>
      </c>
      <c r="H428" s="133" t="s">
        <v>246</v>
      </c>
      <c r="I428" s="133" t="s">
        <v>246</v>
      </c>
      <c r="J428" s="135" t="s">
        <v>1487</v>
      </c>
      <c r="K428" s="133" t="s">
        <v>1429</v>
      </c>
      <c r="L428" s="133">
        <v>100</v>
      </c>
      <c r="M428" s="133"/>
      <c r="N428" s="133" t="s">
        <v>424</v>
      </c>
      <c r="O428" s="133" t="s">
        <v>1488</v>
      </c>
      <c r="P428" s="133">
        <v>2010</v>
      </c>
      <c r="Q428" s="133">
        <v>1</v>
      </c>
      <c r="R428" s="133">
        <v>2</v>
      </c>
      <c r="S428" s="133"/>
      <c r="T428" s="133"/>
      <c r="U428" s="133"/>
      <c r="V428" s="133"/>
      <c r="W428" s="133"/>
      <c r="X428" s="133"/>
      <c r="Y428" s="133"/>
      <c r="Z428" s="133"/>
      <c r="AA428" s="133"/>
      <c r="AB428" s="133"/>
      <c r="AC428" s="133">
        <f t="shared" si="36"/>
        <v>0</v>
      </c>
      <c r="AD428" s="133"/>
      <c r="AE428" s="136"/>
      <c r="AG428" s="137"/>
    </row>
    <row r="429" spans="1:33" s="69" customFormat="1">
      <c r="A429" s="169">
        <f t="shared" si="35"/>
        <v>374</v>
      </c>
      <c r="B429" s="64" t="s">
        <v>34</v>
      </c>
      <c r="C429" s="169" t="s">
        <v>1419</v>
      </c>
      <c r="D429" s="169" t="s">
        <v>1489</v>
      </c>
      <c r="E429" s="169"/>
      <c r="F429" s="169" t="s">
        <v>37</v>
      </c>
      <c r="G429" s="170" t="s">
        <v>1490</v>
      </c>
      <c r="H429" s="169" t="s">
        <v>741</v>
      </c>
      <c r="I429" s="169" t="s">
        <v>741</v>
      </c>
      <c r="J429" s="171" t="s">
        <v>1491</v>
      </c>
      <c r="K429" s="169" t="s">
        <v>1429</v>
      </c>
      <c r="L429" s="169">
        <v>160</v>
      </c>
      <c r="M429" s="169"/>
      <c r="N429" s="169" t="s">
        <v>424</v>
      </c>
      <c r="O429" s="169">
        <v>240310091</v>
      </c>
      <c r="P429" s="169">
        <v>2024</v>
      </c>
      <c r="Q429" s="169">
        <v>1</v>
      </c>
      <c r="R429" s="169">
        <v>2</v>
      </c>
      <c r="S429" s="169">
        <v>0</v>
      </c>
      <c r="T429" s="169">
        <v>0</v>
      </c>
      <c r="U429" s="169">
        <v>0</v>
      </c>
      <c r="V429" s="169">
        <v>0</v>
      </c>
      <c r="W429" s="169">
        <v>0</v>
      </c>
      <c r="X429" s="169">
        <v>0</v>
      </c>
      <c r="Y429" s="169"/>
      <c r="Z429" s="169">
        <v>0</v>
      </c>
      <c r="AA429" s="169"/>
      <c r="AB429" s="169"/>
      <c r="AC429" s="169">
        <f t="shared" si="36"/>
        <v>0</v>
      </c>
      <c r="AD429" s="169"/>
      <c r="AE429" s="172"/>
      <c r="AG429" s="173"/>
    </row>
    <row r="430" spans="1:33" s="14" customFormat="1">
      <c r="A430" s="133">
        <f t="shared" si="35"/>
        <v>375</v>
      </c>
      <c r="B430" s="11" t="s">
        <v>34</v>
      </c>
      <c r="C430" s="133" t="s">
        <v>1419</v>
      </c>
      <c r="D430" s="133" t="s">
        <v>1492</v>
      </c>
      <c r="E430" s="133"/>
      <c r="F430" s="133" t="s">
        <v>37</v>
      </c>
      <c r="G430" s="134" t="s">
        <v>1493</v>
      </c>
      <c r="H430" s="133" t="s">
        <v>741</v>
      </c>
      <c r="I430" s="133" t="s">
        <v>741</v>
      </c>
      <c r="J430" s="135" t="s">
        <v>1494</v>
      </c>
      <c r="K430" s="133" t="s">
        <v>1429</v>
      </c>
      <c r="L430" s="133">
        <v>160</v>
      </c>
      <c r="M430" s="133"/>
      <c r="N430" s="133" t="s">
        <v>43</v>
      </c>
      <c r="O430" s="133" t="s">
        <v>1495</v>
      </c>
      <c r="P430" s="133">
        <v>1983</v>
      </c>
      <c r="Q430" s="133">
        <v>1</v>
      </c>
      <c r="R430" s="133">
        <v>3</v>
      </c>
      <c r="S430" s="133">
        <v>0</v>
      </c>
      <c r="T430" s="133">
        <v>0</v>
      </c>
      <c r="U430" s="133">
        <v>0</v>
      </c>
      <c r="V430" s="133">
        <v>0</v>
      </c>
      <c r="W430" s="133">
        <v>0</v>
      </c>
      <c r="X430" s="133">
        <v>0</v>
      </c>
      <c r="Y430" s="133"/>
      <c r="Z430" s="133">
        <v>0</v>
      </c>
      <c r="AA430" s="133"/>
      <c r="AB430" s="133"/>
      <c r="AC430" s="133">
        <f t="shared" si="36"/>
        <v>0</v>
      </c>
      <c r="AD430" s="133"/>
      <c r="AE430" s="136"/>
      <c r="AG430" s="137"/>
    </row>
    <row r="431" spans="1:33" s="14" customFormat="1">
      <c r="A431" s="133">
        <f t="shared" si="35"/>
        <v>376</v>
      </c>
      <c r="B431" s="11" t="s">
        <v>34</v>
      </c>
      <c r="C431" s="133" t="s">
        <v>1419</v>
      </c>
      <c r="D431" s="133" t="s">
        <v>1496</v>
      </c>
      <c r="E431" s="133"/>
      <c r="F431" s="133" t="s">
        <v>37</v>
      </c>
      <c r="G431" s="134" t="s">
        <v>1497</v>
      </c>
      <c r="H431" s="133" t="s">
        <v>741</v>
      </c>
      <c r="I431" s="133" t="s">
        <v>741</v>
      </c>
      <c r="J431" s="135" t="s">
        <v>1498</v>
      </c>
      <c r="K431" s="133" t="s">
        <v>1429</v>
      </c>
      <c r="L431" s="133">
        <v>160</v>
      </c>
      <c r="M431" s="133"/>
      <c r="N431" s="133" t="s">
        <v>664</v>
      </c>
      <c r="O431" s="133" t="s">
        <v>1499</v>
      </c>
      <c r="P431" s="133">
        <v>1992</v>
      </c>
      <c r="Q431" s="133">
        <v>1</v>
      </c>
      <c r="R431" s="133">
        <v>2</v>
      </c>
      <c r="S431" s="133">
        <v>0</v>
      </c>
      <c r="T431" s="133">
        <v>0</v>
      </c>
      <c r="U431" s="133">
        <v>0</v>
      </c>
      <c r="V431" s="133">
        <v>0</v>
      </c>
      <c r="W431" s="133">
        <v>0</v>
      </c>
      <c r="X431" s="133">
        <v>0</v>
      </c>
      <c r="Y431" s="133"/>
      <c r="Z431" s="133">
        <v>0</v>
      </c>
      <c r="AA431" s="133"/>
      <c r="AB431" s="133"/>
      <c r="AC431" s="133">
        <f t="shared" si="36"/>
        <v>0</v>
      </c>
      <c r="AD431" s="133"/>
      <c r="AE431" s="136"/>
      <c r="AG431" s="137"/>
    </row>
    <row r="432" spans="1:33" s="174" customFormat="1">
      <c r="A432" s="133">
        <f t="shared" si="35"/>
        <v>377</v>
      </c>
      <c r="B432" s="11" t="s">
        <v>34</v>
      </c>
      <c r="C432" s="133" t="s">
        <v>1419</v>
      </c>
      <c r="D432" s="133" t="s">
        <v>1500</v>
      </c>
      <c r="E432" s="133"/>
      <c r="F432" s="133" t="s">
        <v>37</v>
      </c>
      <c r="G432" s="134" t="s">
        <v>1501</v>
      </c>
      <c r="H432" s="133" t="s">
        <v>741</v>
      </c>
      <c r="I432" s="133" t="s">
        <v>741</v>
      </c>
      <c r="J432" s="133" t="s">
        <v>1502</v>
      </c>
      <c r="K432" s="133" t="s">
        <v>1429</v>
      </c>
      <c r="L432" s="133">
        <v>100</v>
      </c>
      <c r="M432" s="133"/>
      <c r="N432" s="133" t="s">
        <v>664</v>
      </c>
      <c r="O432" s="133" t="s">
        <v>1503</v>
      </c>
      <c r="P432" s="133" t="s">
        <v>95</v>
      </c>
      <c r="Q432" s="133" t="s">
        <v>96</v>
      </c>
      <c r="R432" s="133" t="s">
        <v>482</v>
      </c>
      <c r="S432" s="133" t="s">
        <v>907</v>
      </c>
      <c r="T432" s="133" t="s">
        <v>907</v>
      </c>
      <c r="U432" s="133">
        <v>0</v>
      </c>
      <c r="V432" s="133">
        <v>0</v>
      </c>
      <c r="W432" s="133"/>
      <c r="X432" s="133"/>
      <c r="Y432" s="133"/>
      <c r="Z432" s="133"/>
      <c r="AA432" s="133"/>
      <c r="AB432" s="133"/>
      <c r="AC432" s="133"/>
      <c r="AD432" s="133"/>
      <c r="AE432" s="136" t="s">
        <v>1504</v>
      </c>
      <c r="AF432" s="14"/>
      <c r="AG432" s="137"/>
    </row>
    <row r="433" spans="1:33" s="174" customFormat="1">
      <c r="A433" s="133">
        <f t="shared" si="35"/>
        <v>378</v>
      </c>
      <c r="B433" s="11" t="s">
        <v>34</v>
      </c>
      <c r="C433" s="133" t="s">
        <v>1419</v>
      </c>
      <c r="D433" s="133" t="s">
        <v>1505</v>
      </c>
      <c r="E433" s="133"/>
      <c r="F433" s="133" t="s">
        <v>37</v>
      </c>
      <c r="G433" s="134" t="s">
        <v>1506</v>
      </c>
      <c r="H433" s="133" t="s">
        <v>741</v>
      </c>
      <c r="I433" s="133" t="s">
        <v>741</v>
      </c>
      <c r="J433" s="133"/>
      <c r="K433" s="133" t="s">
        <v>1429</v>
      </c>
      <c r="L433" s="133">
        <v>100</v>
      </c>
      <c r="M433" s="133"/>
      <c r="N433" s="133" t="s">
        <v>59</v>
      </c>
      <c r="O433" s="133" t="s">
        <v>1507</v>
      </c>
      <c r="P433" s="133" t="s">
        <v>95</v>
      </c>
      <c r="Q433" s="133" t="s">
        <v>96</v>
      </c>
      <c r="R433" s="133" t="s">
        <v>482</v>
      </c>
      <c r="S433" s="133" t="s">
        <v>907</v>
      </c>
      <c r="T433" s="133" t="s">
        <v>907</v>
      </c>
      <c r="U433" s="133">
        <v>0</v>
      </c>
      <c r="V433" s="133">
        <v>0</v>
      </c>
      <c r="W433" s="133"/>
      <c r="X433" s="133"/>
      <c r="Y433" s="133"/>
      <c r="Z433" s="133"/>
      <c r="AA433" s="133"/>
      <c r="AB433" s="133"/>
      <c r="AC433" s="133"/>
      <c r="AD433" s="133"/>
      <c r="AE433" s="136" t="s">
        <v>1508</v>
      </c>
      <c r="AF433" s="14"/>
      <c r="AG433" s="137"/>
    </row>
    <row r="434" spans="1:33" s="14" customFormat="1">
      <c r="A434" s="133">
        <f t="shared" si="35"/>
        <v>379</v>
      </c>
      <c r="B434" s="11" t="s">
        <v>34</v>
      </c>
      <c r="C434" s="133" t="s">
        <v>1419</v>
      </c>
      <c r="D434" s="133" t="s">
        <v>1509</v>
      </c>
      <c r="E434" s="133"/>
      <c r="F434" s="133" t="s">
        <v>37</v>
      </c>
      <c r="G434" s="134" t="s">
        <v>1510</v>
      </c>
      <c r="H434" s="133" t="s">
        <v>741</v>
      </c>
      <c r="I434" s="133" t="s">
        <v>741</v>
      </c>
      <c r="J434" s="135" t="s">
        <v>1511</v>
      </c>
      <c r="K434" s="133" t="s">
        <v>1429</v>
      </c>
      <c r="L434" s="133">
        <v>25</v>
      </c>
      <c r="M434" s="133"/>
      <c r="N434" s="133" t="s">
        <v>1512</v>
      </c>
      <c r="O434" s="133" t="s">
        <v>1513</v>
      </c>
      <c r="P434" s="133"/>
      <c r="Q434" s="133">
        <v>1</v>
      </c>
      <c r="R434" s="133">
        <v>2</v>
      </c>
      <c r="S434" s="133">
        <v>0</v>
      </c>
      <c r="T434" s="133">
        <v>0</v>
      </c>
      <c r="U434" s="133">
        <v>0</v>
      </c>
      <c r="V434" s="133">
        <v>0</v>
      </c>
      <c r="W434" s="133">
        <v>0</v>
      </c>
      <c r="X434" s="133">
        <v>0</v>
      </c>
      <c r="Y434" s="133"/>
      <c r="Z434" s="133">
        <v>0</v>
      </c>
      <c r="AA434" s="133"/>
      <c r="AB434" s="133"/>
      <c r="AC434" s="133">
        <f t="shared" si="36"/>
        <v>0</v>
      </c>
      <c r="AD434" s="133"/>
      <c r="AE434" s="136"/>
      <c r="AG434" s="137"/>
    </row>
    <row r="435" spans="1:33" s="14" customFormat="1">
      <c r="A435" s="133">
        <f t="shared" si="35"/>
        <v>380</v>
      </c>
      <c r="B435" s="11" t="s">
        <v>34</v>
      </c>
      <c r="C435" s="133" t="s">
        <v>1419</v>
      </c>
      <c r="D435" s="133" t="s">
        <v>1514</v>
      </c>
      <c r="E435" s="133"/>
      <c r="F435" s="133" t="s">
        <v>37</v>
      </c>
      <c r="G435" s="134" t="s">
        <v>1515</v>
      </c>
      <c r="H435" s="133" t="s">
        <v>741</v>
      </c>
      <c r="I435" s="133" t="s">
        <v>741</v>
      </c>
      <c r="J435" s="135" t="s">
        <v>1516</v>
      </c>
      <c r="K435" s="133" t="s">
        <v>1429</v>
      </c>
      <c r="L435" s="133">
        <v>100</v>
      </c>
      <c r="M435" s="133"/>
      <c r="N435" s="133" t="s">
        <v>424</v>
      </c>
      <c r="O435" s="133">
        <v>7009200</v>
      </c>
      <c r="P435" s="133">
        <v>2007</v>
      </c>
      <c r="Q435" s="133">
        <v>1</v>
      </c>
      <c r="R435" s="133">
        <v>2</v>
      </c>
      <c r="S435" s="133">
        <v>0</v>
      </c>
      <c r="T435" s="133">
        <v>0</v>
      </c>
      <c r="U435" s="133">
        <v>0</v>
      </c>
      <c r="V435" s="133">
        <v>0</v>
      </c>
      <c r="W435" s="133">
        <v>0</v>
      </c>
      <c r="X435" s="133">
        <v>0</v>
      </c>
      <c r="Y435" s="133"/>
      <c r="Z435" s="133">
        <v>0</v>
      </c>
      <c r="AA435" s="133"/>
      <c r="AB435" s="133"/>
      <c r="AC435" s="133">
        <f t="shared" si="36"/>
        <v>0</v>
      </c>
      <c r="AD435" s="133"/>
      <c r="AE435" s="136"/>
      <c r="AG435" s="137"/>
    </row>
    <row r="436" spans="1:33" s="14" customFormat="1">
      <c r="A436" s="133">
        <f t="shared" si="35"/>
        <v>381</v>
      </c>
      <c r="B436" s="11" t="s">
        <v>34</v>
      </c>
      <c r="C436" s="133" t="s">
        <v>1419</v>
      </c>
      <c r="D436" s="133" t="s">
        <v>1517</v>
      </c>
      <c r="E436" s="133"/>
      <c r="F436" s="133" t="s">
        <v>37</v>
      </c>
      <c r="G436" s="134" t="s">
        <v>1518</v>
      </c>
      <c r="H436" s="133" t="s">
        <v>741</v>
      </c>
      <c r="I436" s="133" t="s">
        <v>741</v>
      </c>
      <c r="J436" s="135" t="s">
        <v>1519</v>
      </c>
      <c r="K436" s="133" t="s">
        <v>1429</v>
      </c>
      <c r="L436" s="133">
        <v>100</v>
      </c>
      <c r="M436" s="133"/>
      <c r="N436" s="133" t="s">
        <v>424</v>
      </c>
      <c r="O436" s="133" t="s">
        <v>1520</v>
      </c>
      <c r="P436" s="133">
        <v>2014</v>
      </c>
      <c r="Q436" s="133">
        <v>1</v>
      </c>
      <c r="R436" s="133">
        <v>2</v>
      </c>
      <c r="S436" s="133">
        <v>0</v>
      </c>
      <c r="T436" s="133">
        <v>0</v>
      </c>
      <c r="U436" s="133">
        <v>0</v>
      </c>
      <c r="V436" s="133">
        <v>0</v>
      </c>
      <c r="W436" s="133">
        <v>0</v>
      </c>
      <c r="X436" s="133">
        <v>0</v>
      </c>
      <c r="Y436" s="133"/>
      <c r="Z436" s="133">
        <v>0</v>
      </c>
      <c r="AA436" s="133"/>
      <c r="AB436" s="133"/>
      <c r="AC436" s="133">
        <f t="shared" si="36"/>
        <v>0</v>
      </c>
      <c r="AD436" s="133"/>
      <c r="AE436" s="136"/>
      <c r="AG436" s="137"/>
    </row>
    <row r="437" spans="1:33" s="14" customFormat="1">
      <c r="A437" s="133">
        <f t="shared" si="35"/>
        <v>382</v>
      </c>
      <c r="B437" s="11" t="s">
        <v>34</v>
      </c>
      <c r="C437" s="133" t="s">
        <v>1419</v>
      </c>
      <c r="D437" s="175" t="s">
        <v>1521</v>
      </c>
      <c r="E437" s="175"/>
      <c r="F437" s="133" t="s">
        <v>37</v>
      </c>
      <c r="G437" s="134" t="s">
        <v>1522</v>
      </c>
      <c r="H437" s="133" t="s">
        <v>741</v>
      </c>
      <c r="I437" s="133" t="s">
        <v>741</v>
      </c>
      <c r="J437" s="133" t="s">
        <v>1523</v>
      </c>
      <c r="K437" s="133" t="s">
        <v>1429</v>
      </c>
      <c r="L437" s="133">
        <v>50</v>
      </c>
      <c r="M437" s="133"/>
      <c r="N437" s="133" t="s">
        <v>59</v>
      </c>
      <c r="O437" s="133" t="s">
        <v>1524</v>
      </c>
      <c r="P437" s="133" t="s">
        <v>766</v>
      </c>
      <c r="Q437" s="133">
        <v>1</v>
      </c>
      <c r="R437" s="133">
        <v>2</v>
      </c>
      <c r="S437" s="133">
        <v>0</v>
      </c>
      <c r="T437" s="133">
        <v>0</v>
      </c>
      <c r="U437" s="133">
        <v>0</v>
      </c>
      <c r="V437" s="133">
        <v>0</v>
      </c>
      <c r="W437" s="133">
        <v>0</v>
      </c>
      <c r="X437" s="133">
        <v>0</v>
      </c>
      <c r="Y437" s="133"/>
      <c r="Z437" s="133">
        <v>0</v>
      </c>
      <c r="AA437" s="133"/>
      <c r="AB437" s="133"/>
      <c r="AC437" s="133">
        <f t="shared" ref="AC437" si="38">SUM(U437:AB437)</f>
        <v>0</v>
      </c>
      <c r="AD437" s="133"/>
      <c r="AE437" s="136"/>
      <c r="AG437" s="137"/>
    </row>
    <row r="438" spans="1:33" s="14" customFormat="1">
      <c r="A438" s="133">
        <f t="shared" si="35"/>
        <v>383</v>
      </c>
      <c r="B438" s="11" t="s">
        <v>34</v>
      </c>
      <c r="C438" s="133" t="s">
        <v>1419</v>
      </c>
      <c r="D438" s="133" t="s">
        <v>1525</v>
      </c>
      <c r="E438" s="133"/>
      <c r="F438" s="133" t="s">
        <v>37</v>
      </c>
      <c r="G438" s="134" t="s">
        <v>1526</v>
      </c>
      <c r="H438" s="133" t="s">
        <v>246</v>
      </c>
      <c r="I438" s="133" t="s">
        <v>246</v>
      </c>
      <c r="J438" s="135" t="s">
        <v>1527</v>
      </c>
      <c r="K438" s="133" t="s">
        <v>1429</v>
      </c>
      <c r="L438" s="133">
        <v>160</v>
      </c>
      <c r="M438" s="133"/>
      <c r="N438" s="133" t="s">
        <v>59</v>
      </c>
      <c r="O438" s="133" t="s">
        <v>1528</v>
      </c>
      <c r="P438" s="133" t="s">
        <v>95</v>
      </c>
      <c r="Q438" s="133">
        <v>1</v>
      </c>
      <c r="R438" s="133">
        <v>2</v>
      </c>
      <c r="S438" s="133">
        <v>0</v>
      </c>
      <c r="T438" s="133">
        <v>0</v>
      </c>
      <c r="U438" s="133">
        <v>0</v>
      </c>
      <c r="V438" s="133">
        <v>0</v>
      </c>
      <c r="W438" s="133">
        <v>0</v>
      </c>
      <c r="X438" s="133">
        <v>0</v>
      </c>
      <c r="Y438" s="133"/>
      <c r="Z438" s="133">
        <v>0</v>
      </c>
      <c r="AA438" s="133"/>
      <c r="AB438" s="133"/>
      <c r="AC438" s="133">
        <f t="shared" si="36"/>
        <v>0</v>
      </c>
      <c r="AD438" s="133"/>
      <c r="AE438" s="136" t="s">
        <v>1529</v>
      </c>
      <c r="AG438" s="137"/>
    </row>
    <row r="439" spans="1:33" s="14" customFormat="1">
      <c r="A439" s="133">
        <f t="shared" si="35"/>
        <v>384</v>
      </c>
      <c r="B439" s="11" t="s">
        <v>34</v>
      </c>
      <c r="C439" s="133" t="s">
        <v>1419</v>
      </c>
      <c r="D439" s="133" t="s">
        <v>1530</v>
      </c>
      <c r="E439" s="133"/>
      <c r="F439" s="133" t="s">
        <v>63</v>
      </c>
      <c r="G439" s="134" t="s">
        <v>1531</v>
      </c>
      <c r="H439" s="133" t="s">
        <v>246</v>
      </c>
      <c r="I439" s="133" t="s">
        <v>246</v>
      </c>
      <c r="J439" s="135" t="s">
        <v>1532</v>
      </c>
      <c r="K439" s="133" t="s">
        <v>1429</v>
      </c>
      <c r="L439" s="133" t="s">
        <v>837</v>
      </c>
      <c r="M439" s="133"/>
      <c r="N439" s="133" t="s">
        <v>93</v>
      </c>
      <c r="O439" s="133" t="s">
        <v>1533</v>
      </c>
      <c r="P439" s="133" t="s">
        <v>766</v>
      </c>
      <c r="Q439" s="133">
        <v>1</v>
      </c>
      <c r="R439" s="133">
        <v>1</v>
      </c>
      <c r="S439" s="133">
        <v>0</v>
      </c>
      <c r="T439" s="133">
        <v>0</v>
      </c>
      <c r="U439" s="133">
        <v>0</v>
      </c>
      <c r="V439" s="133">
        <v>0</v>
      </c>
      <c r="W439" s="133">
        <v>0</v>
      </c>
      <c r="X439" s="133">
        <v>0</v>
      </c>
      <c r="Y439" s="133"/>
      <c r="Z439" s="133">
        <v>0</v>
      </c>
      <c r="AA439" s="133"/>
      <c r="AB439" s="133"/>
      <c r="AC439" s="133">
        <f t="shared" si="36"/>
        <v>0</v>
      </c>
      <c r="AD439" s="133"/>
      <c r="AE439" s="136" t="s">
        <v>1534</v>
      </c>
      <c r="AG439" s="137" t="s">
        <v>1534</v>
      </c>
    </row>
    <row r="440" spans="1:33" s="14" customFormat="1">
      <c r="A440" s="133">
        <f t="shared" si="35"/>
        <v>385</v>
      </c>
      <c r="B440" s="11" t="s">
        <v>34</v>
      </c>
      <c r="C440" s="133" t="s">
        <v>1419</v>
      </c>
      <c r="D440" s="133" t="s">
        <v>1535</v>
      </c>
      <c r="E440" s="133"/>
      <c r="F440" s="133" t="s">
        <v>37</v>
      </c>
      <c r="G440" s="134" t="s">
        <v>1536</v>
      </c>
      <c r="H440" s="133" t="s">
        <v>246</v>
      </c>
      <c r="I440" s="133" t="s">
        <v>246</v>
      </c>
      <c r="J440" s="135" t="s">
        <v>1537</v>
      </c>
      <c r="K440" s="133" t="s">
        <v>1429</v>
      </c>
      <c r="L440" s="133">
        <v>250</v>
      </c>
      <c r="M440" s="133"/>
      <c r="N440" s="133" t="s">
        <v>93</v>
      </c>
      <c r="O440" s="133" t="s">
        <v>932</v>
      </c>
      <c r="P440" s="133">
        <v>2010</v>
      </c>
      <c r="Q440" s="133">
        <v>1</v>
      </c>
      <c r="R440" s="133">
        <v>4</v>
      </c>
      <c r="S440" s="133">
        <v>0</v>
      </c>
      <c r="T440" s="133">
        <v>0</v>
      </c>
      <c r="U440" s="133">
        <v>0</v>
      </c>
      <c r="V440" s="133">
        <v>0</v>
      </c>
      <c r="W440" s="133">
        <v>0</v>
      </c>
      <c r="X440" s="133">
        <v>0</v>
      </c>
      <c r="Y440" s="133"/>
      <c r="Z440" s="133">
        <v>0</v>
      </c>
      <c r="AA440" s="133"/>
      <c r="AB440" s="133"/>
      <c r="AC440" s="133">
        <f t="shared" si="36"/>
        <v>0</v>
      </c>
      <c r="AD440" s="133"/>
      <c r="AE440" s="136"/>
      <c r="AG440" s="137"/>
    </row>
    <row r="441" spans="1:33" s="176" customFormat="1">
      <c r="A441" s="130">
        <f t="shared" si="35"/>
        <v>386</v>
      </c>
      <c r="B441" s="96" t="s">
        <v>34</v>
      </c>
      <c r="C441" s="130" t="s">
        <v>1419</v>
      </c>
      <c r="D441" s="130" t="s">
        <v>1538</v>
      </c>
      <c r="E441" s="130"/>
      <c r="F441" s="130" t="s">
        <v>37</v>
      </c>
      <c r="G441" s="139" t="s">
        <v>1539</v>
      </c>
      <c r="H441" s="130" t="s">
        <v>741</v>
      </c>
      <c r="I441" s="130" t="s">
        <v>741</v>
      </c>
      <c r="J441" s="130" t="s">
        <v>1540</v>
      </c>
      <c r="K441" s="130" t="s">
        <v>1429</v>
      </c>
      <c r="L441" s="130">
        <v>160</v>
      </c>
      <c r="M441" s="130"/>
      <c r="N441" s="130" t="s">
        <v>324</v>
      </c>
      <c r="O441" s="130" t="s">
        <v>1541</v>
      </c>
      <c r="P441" s="130">
        <v>2020</v>
      </c>
      <c r="Q441" s="130">
        <v>1</v>
      </c>
      <c r="R441" s="130" t="s">
        <v>482</v>
      </c>
      <c r="S441" s="130" t="s">
        <v>907</v>
      </c>
      <c r="T441" s="130" t="s">
        <v>907</v>
      </c>
      <c r="U441" s="130">
        <v>0</v>
      </c>
      <c r="V441" s="130"/>
      <c r="W441" s="130">
        <v>0</v>
      </c>
      <c r="X441" s="130"/>
      <c r="Y441" s="130"/>
      <c r="Z441" s="130"/>
      <c r="AA441" s="130"/>
      <c r="AB441" s="130"/>
      <c r="AC441" s="130"/>
      <c r="AD441" s="130"/>
      <c r="AE441" s="131" t="s">
        <v>1504</v>
      </c>
      <c r="AF441" s="99"/>
      <c r="AG441" s="132"/>
    </row>
    <row r="442" spans="1:33" s="14" customFormat="1">
      <c r="A442" s="133">
        <f t="shared" si="35"/>
        <v>387</v>
      </c>
      <c r="B442" s="11" t="s">
        <v>34</v>
      </c>
      <c r="C442" s="133" t="s">
        <v>1419</v>
      </c>
      <c r="D442" s="133" t="s">
        <v>1542</v>
      </c>
      <c r="E442" s="133"/>
      <c r="F442" s="133" t="s">
        <v>37</v>
      </c>
      <c r="G442" s="134" t="s">
        <v>1043</v>
      </c>
      <c r="H442" s="133" t="s">
        <v>741</v>
      </c>
      <c r="I442" s="133" t="s">
        <v>741</v>
      </c>
      <c r="J442" s="135" t="s">
        <v>1543</v>
      </c>
      <c r="K442" s="133" t="s">
        <v>1429</v>
      </c>
      <c r="L442" s="133">
        <v>100</v>
      </c>
      <c r="M442" s="133"/>
      <c r="N442" s="133" t="s">
        <v>424</v>
      </c>
      <c r="O442" s="133" t="s">
        <v>1544</v>
      </c>
      <c r="P442" s="133" t="s">
        <v>737</v>
      </c>
      <c r="Q442" s="133">
        <v>1</v>
      </c>
      <c r="R442" s="133">
        <v>2</v>
      </c>
      <c r="S442" s="133">
        <v>0</v>
      </c>
      <c r="T442" s="133">
        <v>0</v>
      </c>
      <c r="U442" s="133">
        <v>0</v>
      </c>
      <c r="V442" s="133">
        <v>0</v>
      </c>
      <c r="W442" s="133">
        <v>0</v>
      </c>
      <c r="X442" s="133">
        <v>0</v>
      </c>
      <c r="Y442" s="133"/>
      <c r="Z442" s="133">
        <v>0</v>
      </c>
      <c r="AA442" s="133"/>
      <c r="AB442" s="133"/>
      <c r="AC442" s="133">
        <f t="shared" si="36"/>
        <v>0</v>
      </c>
      <c r="AD442" s="133"/>
      <c r="AE442" s="136"/>
      <c r="AG442" s="137"/>
    </row>
    <row r="443" spans="1:33" s="14" customFormat="1">
      <c r="A443" s="133">
        <f t="shared" si="35"/>
        <v>388</v>
      </c>
      <c r="B443" s="11" t="s">
        <v>34</v>
      </c>
      <c r="C443" s="133" t="s">
        <v>1419</v>
      </c>
      <c r="D443" s="133" t="s">
        <v>1545</v>
      </c>
      <c r="E443" s="133"/>
      <c r="F443" s="133" t="s">
        <v>37</v>
      </c>
      <c r="G443" s="134" t="s">
        <v>1043</v>
      </c>
      <c r="H443" s="133" t="s">
        <v>741</v>
      </c>
      <c r="I443" s="133" t="s">
        <v>741</v>
      </c>
      <c r="J443" s="135" t="s">
        <v>1546</v>
      </c>
      <c r="K443" s="133" t="s">
        <v>1429</v>
      </c>
      <c r="L443" s="133">
        <v>100</v>
      </c>
      <c r="M443" s="133"/>
      <c r="N443" s="133" t="s">
        <v>424</v>
      </c>
      <c r="O443" s="133" t="s">
        <v>1547</v>
      </c>
      <c r="P443" s="133">
        <v>2007</v>
      </c>
      <c r="Q443" s="133">
        <v>1</v>
      </c>
      <c r="R443" s="133">
        <v>2</v>
      </c>
      <c r="S443" s="133">
        <v>0</v>
      </c>
      <c r="T443" s="133">
        <v>0</v>
      </c>
      <c r="U443" s="133">
        <v>0</v>
      </c>
      <c r="V443" s="133">
        <v>0</v>
      </c>
      <c r="W443" s="133">
        <v>0</v>
      </c>
      <c r="X443" s="133">
        <v>0</v>
      </c>
      <c r="Y443" s="133"/>
      <c r="Z443" s="133">
        <v>0</v>
      </c>
      <c r="AA443" s="133"/>
      <c r="AB443" s="133"/>
      <c r="AC443" s="133">
        <f t="shared" si="36"/>
        <v>0</v>
      </c>
      <c r="AD443" s="133"/>
      <c r="AE443" s="136"/>
      <c r="AG443" s="137"/>
    </row>
    <row r="444" spans="1:33" s="14" customFormat="1">
      <c r="A444" s="133">
        <f t="shared" si="35"/>
        <v>389</v>
      </c>
      <c r="B444" s="11" t="s">
        <v>34</v>
      </c>
      <c r="C444" s="133" t="s">
        <v>1419</v>
      </c>
      <c r="D444" s="133" t="s">
        <v>1548</v>
      </c>
      <c r="E444" s="133"/>
      <c r="F444" s="133" t="s">
        <v>37</v>
      </c>
      <c r="G444" s="134" t="s">
        <v>1549</v>
      </c>
      <c r="H444" s="133" t="s">
        <v>741</v>
      </c>
      <c r="I444" s="133" t="s">
        <v>741</v>
      </c>
      <c r="J444" s="135" t="s">
        <v>1550</v>
      </c>
      <c r="K444" s="133" t="s">
        <v>1429</v>
      </c>
      <c r="L444" s="133">
        <v>100</v>
      </c>
      <c r="M444" s="133"/>
      <c r="N444" s="133" t="s">
        <v>43</v>
      </c>
      <c r="O444" s="133">
        <v>32302</v>
      </c>
      <c r="P444" s="133">
        <v>1986</v>
      </c>
      <c r="Q444" s="133">
        <v>1</v>
      </c>
      <c r="R444" s="133">
        <v>2</v>
      </c>
      <c r="S444" s="133">
        <v>0</v>
      </c>
      <c r="T444" s="133">
        <v>0</v>
      </c>
      <c r="U444" s="133">
        <v>0</v>
      </c>
      <c r="V444" s="133">
        <v>0</v>
      </c>
      <c r="W444" s="133">
        <v>0</v>
      </c>
      <c r="X444" s="133">
        <v>0</v>
      </c>
      <c r="Y444" s="133"/>
      <c r="Z444" s="133">
        <v>0</v>
      </c>
      <c r="AA444" s="133"/>
      <c r="AB444" s="133"/>
      <c r="AC444" s="133">
        <f t="shared" si="36"/>
        <v>0</v>
      </c>
      <c r="AD444" s="133"/>
      <c r="AE444" s="136"/>
      <c r="AG444" s="137"/>
    </row>
    <row r="445" spans="1:33" s="14" customFormat="1">
      <c r="A445" s="133">
        <f t="shared" ref="A445:A508" si="39">A444+1</f>
        <v>390</v>
      </c>
      <c r="B445" s="11" t="s">
        <v>34</v>
      </c>
      <c r="C445" s="133" t="s">
        <v>1419</v>
      </c>
      <c r="D445" s="133" t="s">
        <v>1551</v>
      </c>
      <c r="E445" s="133"/>
      <c r="F445" s="133" t="s">
        <v>37</v>
      </c>
      <c r="G445" s="134" t="s">
        <v>1552</v>
      </c>
      <c r="H445" s="133" t="s">
        <v>741</v>
      </c>
      <c r="I445" s="133" t="s">
        <v>741</v>
      </c>
      <c r="J445" s="135" t="s">
        <v>1553</v>
      </c>
      <c r="K445" s="133" t="s">
        <v>1429</v>
      </c>
      <c r="L445" s="133">
        <v>100</v>
      </c>
      <c r="M445" s="133"/>
      <c r="N445" s="133" t="s">
        <v>93</v>
      </c>
      <c r="O445" s="133" t="s">
        <v>1554</v>
      </c>
      <c r="P445" s="133" t="s">
        <v>95</v>
      </c>
      <c r="Q445" s="133">
        <v>1</v>
      </c>
      <c r="R445" s="133">
        <v>2</v>
      </c>
      <c r="S445" s="133">
        <v>0</v>
      </c>
      <c r="T445" s="133">
        <v>0</v>
      </c>
      <c r="U445" s="133">
        <v>0</v>
      </c>
      <c r="V445" s="133">
        <v>0</v>
      </c>
      <c r="W445" s="133">
        <v>0</v>
      </c>
      <c r="X445" s="133">
        <v>0</v>
      </c>
      <c r="Y445" s="133"/>
      <c r="Z445" s="133">
        <v>0</v>
      </c>
      <c r="AA445" s="133"/>
      <c r="AB445" s="133"/>
      <c r="AC445" s="133">
        <f t="shared" si="36"/>
        <v>0</v>
      </c>
      <c r="AD445" s="133"/>
      <c r="AE445" s="136"/>
      <c r="AG445" s="137"/>
    </row>
    <row r="446" spans="1:33" s="14" customFormat="1">
      <c r="A446" s="133">
        <f t="shared" si="39"/>
        <v>391</v>
      </c>
      <c r="B446" s="11" t="s">
        <v>34</v>
      </c>
      <c r="C446" s="133" t="s">
        <v>1419</v>
      </c>
      <c r="D446" s="133" t="s">
        <v>1555</v>
      </c>
      <c r="E446" s="133"/>
      <c r="F446" s="133" t="s">
        <v>37</v>
      </c>
      <c r="G446" s="134" t="s">
        <v>1556</v>
      </c>
      <c r="H446" s="133" t="s">
        <v>246</v>
      </c>
      <c r="I446" s="133" t="s">
        <v>246</v>
      </c>
      <c r="J446" s="135" t="s">
        <v>1557</v>
      </c>
      <c r="K446" s="133" t="s">
        <v>1429</v>
      </c>
      <c r="L446" s="133">
        <v>160</v>
      </c>
      <c r="M446" s="133"/>
      <c r="N446" s="133" t="s">
        <v>757</v>
      </c>
      <c r="O446" s="133" t="s">
        <v>1558</v>
      </c>
      <c r="P446" s="133" t="s">
        <v>95</v>
      </c>
      <c r="Q446" s="133">
        <v>1</v>
      </c>
      <c r="R446" s="133">
        <v>2</v>
      </c>
      <c r="S446" s="133">
        <v>0</v>
      </c>
      <c r="T446" s="133">
        <v>0</v>
      </c>
      <c r="U446" s="133">
        <v>0</v>
      </c>
      <c r="V446" s="133">
        <v>0</v>
      </c>
      <c r="W446" s="133">
        <v>0</v>
      </c>
      <c r="X446" s="133">
        <v>0</v>
      </c>
      <c r="Y446" s="133"/>
      <c r="Z446" s="133">
        <v>0</v>
      </c>
      <c r="AA446" s="133"/>
      <c r="AB446" s="133"/>
      <c r="AC446" s="133">
        <f t="shared" si="36"/>
        <v>0</v>
      </c>
      <c r="AD446" s="133"/>
      <c r="AE446" s="136" t="s">
        <v>1559</v>
      </c>
      <c r="AG446" s="137"/>
    </row>
    <row r="447" spans="1:33" s="14" customFormat="1">
      <c r="A447" s="133">
        <f t="shared" si="39"/>
        <v>392</v>
      </c>
      <c r="B447" s="11" t="s">
        <v>34</v>
      </c>
      <c r="C447" s="133" t="s">
        <v>1419</v>
      </c>
      <c r="D447" s="133" t="s">
        <v>1560</v>
      </c>
      <c r="E447" s="133"/>
      <c r="F447" s="133" t="s">
        <v>37</v>
      </c>
      <c r="G447" s="134" t="s">
        <v>1556</v>
      </c>
      <c r="H447" s="133" t="s">
        <v>741</v>
      </c>
      <c r="I447" s="133" t="s">
        <v>741</v>
      </c>
      <c r="J447" s="135" t="s">
        <v>1561</v>
      </c>
      <c r="K447" s="133" t="s">
        <v>1429</v>
      </c>
      <c r="L447" s="133">
        <v>160</v>
      </c>
      <c r="M447" s="133"/>
      <c r="N447" s="133" t="s">
        <v>59</v>
      </c>
      <c r="O447" s="133" t="s">
        <v>1562</v>
      </c>
      <c r="P447" s="133" t="s">
        <v>95</v>
      </c>
      <c r="Q447" s="133">
        <v>1</v>
      </c>
      <c r="R447" s="133">
        <v>2</v>
      </c>
      <c r="S447" s="133">
        <v>0</v>
      </c>
      <c r="T447" s="133">
        <v>0</v>
      </c>
      <c r="U447" s="133">
        <v>0</v>
      </c>
      <c r="V447" s="133">
        <v>0</v>
      </c>
      <c r="W447" s="133">
        <v>0</v>
      </c>
      <c r="X447" s="133">
        <v>0</v>
      </c>
      <c r="Y447" s="133"/>
      <c r="Z447" s="133">
        <v>0</v>
      </c>
      <c r="AA447" s="133"/>
      <c r="AB447" s="133"/>
      <c r="AC447" s="133">
        <f t="shared" si="36"/>
        <v>0</v>
      </c>
      <c r="AD447" s="133"/>
      <c r="AE447" s="136"/>
      <c r="AG447" s="137"/>
    </row>
    <row r="448" spans="1:33" s="99" customFormat="1">
      <c r="A448" s="130">
        <f t="shared" si="39"/>
        <v>393</v>
      </c>
      <c r="B448" s="96" t="s">
        <v>34</v>
      </c>
      <c r="C448" s="130" t="s">
        <v>1419</v>
      </c>
      <c r="D448" s="130" t="s">
        <v>1563</v>
      </c>
      <c r="E448" s="130"/>
      <c r="F448" s="130" t="s">
        <v>37</v>
      </c>
      <c r="G448" s="139" t="s">
        <v>1564</v>
      </c>
      <c r="H448" s="130" t="s">
        <v>246</v>
      </c>
      <c r="I448" s="130" t="s">
        <v>246</v>
      </c>
      <c r="J448" s="140" t="s">
        <v>1565</v>
      </c>
      <c r="K448" s="130" t="s">
        <v>1429</v>
      </c>
      <c r="L448" s="130">
        <v>250</v>
      </c>
      <c r="M448" s="130"/>
      <c r="N448" s="130" t="s">
        <v>59</v>
      </c>
      <c r="O448" s="130" t="s">
        <v>1566</v>
      </c>
      <c r="P448" s="130" t="s">
        <v>789</v>
      </c>
      <c r="Q448" s="130">
        <v>1</v>
      </c>
      <c r="R448" s="130">
        <v>3</v>
      </c>
      <c r="S448" s="130">
        <v>0</v>
      </c>
      <c r="T448" s="130">
        <v>0</v>
      </c>
      <c r="U448" s="130">
        <v>0</v>
      </c>
      <c r="V448" s="130">
        <v>0</v>
      </c>
      <c r="W448" s="130">
        <v>0</v>
      </c>
      <c r="X448" s="130">
        <v>0</v>
      </c>
      <c r="Y448" s="130"/>
      <c r="Z448" s="130">
        <v>0</v>
      </c>
      <c r="AA448" s="130"/>
      <c r="AB448" s="130"/>
      <c r="AC448" s="130">
        <f t="shared" si="36"/>
        <v>0</v>
      </c>
      <c r="AD448" s="130"/>
      <c r="AE448" s="131" t="s">
        <v>1567</v>
      </c>
      <c r="AG448" s="131" t="s">
        <v>1567</v>
      </c>
    </row>
    <row r="449" spans="1:33" s="14" customFormat="1">
      <c r="A449" s="133">
        <f t="shared" si="39"/>
        <v>394</v>
      </c>
      <c r="B449" s="11" t="s">
        <v>34</v>
      </c>
      <c r="C449" s="133" t="s">
        <v>1419</v>
      </c>
      <c r="D449" s="133" t="s">
        <v>1568</v>
      </c>
      <c r="E449" s="133"/>
      <c r="F449" s="133" t="s">
        <v>37</v>
      </c>
      <c r="G449" s="134" t="s">
        <v>895</v>
      </c>
      <c r="H449" s="133" t="s">
        <v>741</v>
      </c>
      <c r="I449" s="133" t="s">
        <v>741</v>
      </c>
      <c r="J449" s="135" t="s">
        <v>1569</v>
      </c>
      <c r="K449" s="133" t="s">
        <v>1429</v>
      </c>
      <c r="L449" s="133">
        <v>100</v>
      </c>
      <c r="M449" s="133"/>
      <c r="N449" s="133" t="s">
        <v>664</v>
      </c>
      <c r="O449" s="133" t="s">
        <v>1570</v>
      </c>
      <c r="P449" s="133">
        <v>2008</v>
      </c>
      <c r="Q449" s="133">
        <v>1</v>
      </c>
      <c r="R449" s="133">
        <v>2</v>
      </c>
      <c r="S449" s="133">
        <v>0</v>
      </c>
      <c r="T449" s="133">
        <v>0</v>
      </c>
      <c r="U449" s="133">
        <v>0</v>
      </c>
      <c r="V449" s="133">
        <v>0</v>
      </c>
      <c r="W449" s="133">
        <v>0</v>
      </c>
      <c r="X449" s="133">
        <v>0</v>
      </c>
      <c r="Y449" s="133"/>
      <c r="Z449" s="133">
        <v>0</v>
      </c>
      <c r="AA449" s="133"/>
      <c r="AB449" s="133"/>
      <c r="AC449" s="133">
        <f t="shared" si="36"/>
        <v>0</v>
      </c>
      <c r="AD449" s="133"/>
      <c r="AE449" s="136"/>
      <c r="AG449" s="137"/>
    </row>
    <row r="450" spans="1:33" s="14" customFormat="1">
      <c r="A450" s="133">
        <f>A448+1</f>
        <v>394</v>
      </c>
      <c r="B450" s="11" t="s">
        <v>34</v>
      </c>
      <c r="C450" s="133" t="s">
        <v>1419</v>
      </c>
      <c r="D450" s="133" t="s">
        <v>1571</v>
      </c>
      <c r="E450" s="133"/>
      <c r="F450" s="133" t="s">
        <v>37</v>
      </c>
      <c r="G450" s="134" t="s">
        <v>1572</v>
      </c>
      <c r="H450" s="133" t="s">
        <v>246</v>
      </c>
      <c r="I450" s="133" t="s">
        <v>741</v>
      </c>
      <c r="J450" s="133"/>
      <c r="K450" s="133" t="s">
        <v>1429</v>
      </c>
      <c r="L450" s="133">
        <v>100</v>
      </c>
      <c r="M450" s="133"/>
      <c r="N450" s="133" t="s">
        <v>93</v>
      </c>
      <c r="O450" s="133" t="s">
        <v>1573</v>
      </c>
      <c r="P450" s="133">
        <v>2024</v>
      </c>
      <c r="Q450" s="133">
        <v>1</v>
      </c>
      <c r="R450" s="133">
        <v>1</v>
      </c>
      <c r="S450" s="133">
        <v>0</v>
      </c>
      <c r="T450" s="133">
        <v>0</v>
      </c>
      <c r="U450" s="133">
        <v>0</v>
      </c>
      <c r="V450" s="133">
        <v>0</v>
      </c>
      <c r="W450" s="133">
        <v>0</v>
      </c>
      <c r="X450" s="133">
        <v>0</v>
      </c>
      <c r="Y450" s="133"/>
      <c r="Z450" s="133">
        <v>0</v>
      </c>
      <c r="AA450" s="133"/>
      <c r="AB450" s="133"/>
      <c r="AC450" s="133">
        <f t="shared" si="36"/>
        <v>0</v>
      </c>
      <c r="AD450" s="133"/>
      <c r="AE450" s="136" t="s">
        <v>1574</v>
      </c>
      <c r="AG450" s="137"/>
    </row>
    <row r="451" spans="1:33" s="14" customFormat="1">
      <c r="A451" s="133">
        <f>A449+1</f>
        <v>395</v>
      </c>
      <c r="B451" s="11" t="s">
        <v>34</v>
      </c>
      <c r="C451" s="133" t="s">
        <v>1419</v>
      </c>
      <c r="D451" s="133" t="s">
        <v>1575</v>
      </c>
      <c r="E451" s="133"/>
      <c r="F451" s="133" t="s">
        <v>37</v>
      </c>
      <c r="G451" s="134" t="s">
        <v>1576</v>
      </c>
      <c r="H451" s="133" t="s">
        <v>246</v>
      </c>
      <c r="I451" s="133" t="s">
        <v>246</v>
      </c>
      <c r="J451" s="135" t="s">
        <v>1577</v>
      </c>
      <c r="K451" s="133" t="s">
        <v>1429</v>
      </c>
      <c r="L451" s="133">
        <v>250</v>
      </c>
      <c r="M451" s="133"/>
      <c r="N451" s="133" t="s">
        <v>664</v>
      </c>
      <c r="O451" s="133" t="s">
        <v>1578</v>
      </c>
      <c r="P451" s="133">
        <v>2011</v>
      </c>
      <c r="Q451" s="133">
        <v>1</v>
      </c>
      <c r="R451" s="133">
        <v>3</v>
      </c>
      <c r="S451" s="133">
        <v>0</v>
      </c>
      <c r="T451" s="133">
        <v>0</v>
      </c>
      <c r="U451" s="133">
        <v>0</v>
      </c>
      <c r="V451" s="133">
        <v>0</v>
      </c>
      <c r="W451" s="133">
        <v>0</v>
      </c>
      <c r="X451" s="133">
        <v>0</v>
      </c>
      <c r="Y451" s="133"/>
      <c r="Z451" s="133">
        <v>0</v>
      </c>
      <c r="AA451" s="133"/>
      <c r="AB451" s="133"/>
      <c r="AC451" s="133">
        <f t="shared" si="36"/>
        <v>0</v>
      </c>
      <c r="AD451" s="133"/>
      <c r="AE451" s="136"/>
      <c r="AG451" s="137"/>
    </row>
    <row r="452" spans="1:33" s="14" customFormat="1">
      <c r="A452" s="133">
        <f t="shared" si="39"/>
        <v>396</v>
      </c>
      <c r="B452" s="11" t="s">
        <v>34</v>
      </c>
      <c r="C452" s="133" t="s">
        <v>1419</v>
      </c>
      <c r="D452" s="133" t="s">
        <v>1579</v>
      </c>
      <c r="E452" s="133"/>
      <c r="F452" s="133" t="s">
        <v>37</v>
      </c>
      <c r="G452" s="134" t="s">
        <v>1580</v>
      </c>
      <c r="H452" s="133" t="s">
        <v>741</v>
      </c>
      <c r="I452" s="133" t="s">
        <v>741</v>
      </c>
      <c r="J452" s="135" t="s">
        <v>1581</v>
      </c>
      <c r="K452" s="133" t="s">
        <v>1429</v>
      </c>
      <c r="L452" s="133">
        <v>100</v>
      </c>
      <c r="M452" s="133"/>
      <c r="N452" s="133" t="s">
        <v>780</v>
      </c>
      <c r="O452" s="133" t="s">
        <v>1582</v>
      </c>
      <c r="P452" s="133">
        <v>1983</v>
      </c>
      <c r="Q452" s="133">
        <v>1</v>
      </c>
      <c r="R452" s="133">
        <v>2</v>
      </c>
      <c r="S452" s="133"/>
      <c r="T452" s="133"/>
      <c r="U452" s="133"/>
      <c r="V452" s="133"/>
      <c r="W452" s="133"/>
      <c r="X452" s="133"/>
      <c r="Y452" s="133"/>
      <c r="Z452" s="133"/>
      <c r="AA452" s="133"/>
      <c r="AB452" s="133"/>
      <c r="AC452" s="133">
        <f t="shared" si="36"/>
        <v>0</v>
      </c>
      <c r="AD452" s="133"/>
      <c r="AE452" s="136"/>
      <c r="AG452" s="137"/>
    </row>
    <row r="453" spans="1:33" s="77" customFormat="1">
      <c r="A453" s="177">
        <f t="shared" si="39"/>
        <v>397</v>
      </c>
      <c r="B453" s="73" t="s">
        <v>34</v>
      </c>
      <c r="C453" s="177" t="s">
        <v>1419</v>
      </c>
      <c r="D453" s="177" t="s">
        <v>1583</v>
      </c>
      <c r="E453" s="177"/>
      <c r="F453" s="177" t="s">
        <v>37</v>
      </c>
      <c r="G453" s="178" t="s">
        <v>1584</v>
      </c>
      <c r="H453" s="177" t="s">
        <v>741</v>
      </c>
      <c r="I453" s="177" t="s">
        <v>741</v>
      </c>
      <c r="J453" s="179" t="s">
        <v>1585</v>
      </c>
      <c r="K453" s="177" t="s">
        <v>1429</v>
      </c>
      <c r="L453" s="177" t="s">
        <v>69</v>
      </c>
      <c r="M453" s="177"/>
      <c r="N453" s="177" t="s">
        <v>59</v>
      </c>
      <c r="O453" s="177" t="s">
        <v>1586</v>
      </c>
      <c r="P453" s="177" t="s">
        <v>255</v>
      </c>
      <c r="Q453" s="177">
        <v>1</v>
      </c>
      <c r="R453" s="177">
        <v>2</v>
      </c>
      <c r="S453" s="177">
        <v>0</v>
      </c>
      <c r="T453" s="177">
        <v>0</v>
      </c>
      <c r="U453" s="177">
        <v>0</v>
      </c>
      <c r="V453" s="177">
        <v>0</v>
      </c>
      <c r="W453" s="177">
        <v>0</v>
      </c>
      <c r="X453" s="177">
        <v>0</v>
      </c>
      <c r="Y453" s="177"/>
      <c r="Z453" s="177">
        <v>0</v>
      </c>
      <c r="AA453" s="177"/>
      <c r="AB453" s="177"/>
      <c r="AC453" s="177">
        <f t="shared" si="36"/>
        <v>0</v>
      </c>
      <c r="AD453" s="177"/>
      <c r="AE453" s="180"/>
      <c r="AG453" s="181"/>
    </row>
    <row r="454" spans="1:33" s="14" customFormat="1">
      <c r="A454" s="133">
        <f t="shared" si="39"/>
        <v>398</v>
      </c>
      <c r="B454" s="11" t="s">
        <v>34</v>
      </c>
      <c r="C454" s="133" t="s">
        <v>1419</v>
      </c>
      <c r="D454" s="133" t="s">
        <v>1587</v>
      </c>
      <c r="E454" s="133"/>
      <c r="F454" s="133" t="s">
        <v>37</v>
      </c>
      <c r="G454" s="134" t="s">
        <v>1588</v>
      </c>
      <c r="H454" s="133" t="s">
        <v>246</v>
      </c>
      <c r="I454" s="133" t="s">
        <v>246</v>
      </c>
      <c r="J454" s="133" t="s">
        <v>1589</v>
      </c>
      <c r="K454" s="133" t="s">
        <v>1429</v>
      </c>
      <c r="L454" s="133" t="s">
        <v>335</v>
      </c>
      <c r="M454" s="133"/>
      <c r="N454" s="133" t="s">
        <v>641</v>
      </c>
      <c r="O454" s="133" t="s">
        <v>1590</v>
      </c>
      <c r="P454" s="133">
        <v>2022</v>
      </c>
      <c r="Q454" s="133">
        <v>1</v>
      </c>
      <c r="R454" s="133">
        <v>2</v>
      </c>
      <c r="S454" s="133">
        <v>0</v>
      </c>
      <c r="T454" s="133">
        <v>0</v>
      </c>
      <c r="U454" s="133">
        <v>0</v>
      </c>
      <c r="V454" s="133">
        <v>0</v>
      </c>
      <c r="W454" s="133">
        <v>0</v>
      </c>
      <c r="X454" s="133">
        <v>0</v>
      </c>
      <c r="Y454" s="133"/>
      <c r="Z454" s="133">
        <v>0</v>
      </c>
      <c r="AA454" s="133"/>
      <c r="AB454" s="133"/>
      <c r="AC454" s="133">
        <f t="shared" si="36"/>
        <v>0</v>
      </c>
      <c r="AD454" s="133"/>
      <c r="AE454" s="136"/>
      <c r="AG454" s="137"/>
    </row>
    <row r="455" spans="1:33" s="14" customFormat="1">
      <c r="A455" s="133">
        <f t="shared" si="39"/>
        <v>399</v>
      </c>
      <c r="B455" s="11" t="s">
        <v>34</v>
      </c>
      <c r="C455" s="133" t="s">
        <v>1419</v>
      </c>
      <c r="D455" s="133" t="s">
        <v>1591</v>
      </c>
      <c r="E455" s="133"/>
      <c r="F455" s="133" t="s">
        <v>37</v>
      </c>
      <c r="G455" s="134" t="s">
        <v>1296</v>
      </c>
      <c r="H455" s="133" t="s">
        <v>246</v>
      </c>
      <c r="I455" s="133" t="s">
        <v>246</v>
      </c>
      <c r="J455" s="135" t="s">
        <v>1592</v>
      </c>
      <c r="K455" s="133" t="s">
        <v>1429</v>
      </c>
      <c r="L455" s="133">
        <v>160</v>
      </c>
      <c r="M455" s="133"/>
      <c r="N455" s="133" t="s">
        <v>1143</v>
      </c>
      <c r="O455" s="133" t="s">
        <v>1593</v>
      </c>
      <c r="P455" s="133">
        <v>1984</v>
      </c>
      <c r="Q455" s="133">
        <v>1</v>
      </c>
      <c r="R455" s="133">
        <v>2</v>
      </c>
      <c r="S455" s="133">
        <v>0</v>
      </c>
      <c r="T455" s="133">
        <v>0</v>
      </c>
      <c r="U455" s="133">
        <v>0</v>
      </c>
      <c r="V455" s="133">
        <v>0</v>
      </c>
      <c r="W455" s="133">
        <v>0</v>
      </c>
      <c r="X455" s="133">
        <v>0</v>
      </c>
      <c r="Y455" s="133"/>
      <c r="Z455" s="133">
        <v>0</v>
      </c>
      <c r="AA455" s="133"/>
      <c r="AB455" s="133"/>
      <c r="AC455" s="133">
        <f t="shared" si="36"/>
        <v>0</v>
      </c>
      <c r="AD455" s="133"/>
      <c r="AE455" s="136"/>
      <c r="AG455" s="137"/>
    </row>
    <row r="456" spans="1:33" s="14" customFormat="1">
      <c r="A456" s="133">
        <f t="shared" si="39"/>
        <v>400</v>
      </c>
      <c r="B456" s="11" t="s">
        <v>34</v>
      </c>
      <c r="C456" s="133" t="s">
        <v>1419</v>
      </c>
      <c r="D456" s="133" t="s">
        <v>1594</v>
      </c>
      <c r="E456" s="133"/>
      <c r="F456" s="133" t="s">
        <v>37</v>
      </c>
      <c r="G456" s="134" t="s">
        <v>1595</v>
      </c>
      <c r="H456" s="133" t="s">
        <v>741</v>
      </c>
      <c r="I456" s="133" t="s">
        <v>741</v>
      </c>
      <c r="J456" s="135" t="s">
        <v>1596</v>
      </c>
      <c r="K456" s="133" t="s">
        <v>1429</v>
      </c>
      <c r="L456" s="133">
        <v>100</v>
      </c>
      <c r="M456" s="133"/>
      <c r="N456" s="133" t="s">
        <v>424</v>
      </c>
      <c r="O456" s="133" t="s">
        <v>1597</v>
      </c>
      <c r="P456" s="133">
        <v>2007</v>
      </c>
      <c r="Q456" s="133">
        <v>1</v>
      </c>
      <c r="R456" s="133">
        <v>2</v>
      </c>
      <c r="S456" s="133">
        <v>0</v>
      </c>
      <c r="T456" s="133">
        <v>0</v>
      </c>
      <c r="U456" s="133">
        <v>0</v>
      </c>
      <c r="V456" s="133">
        <v>0</v>
      </c>
      <c r="W456" s="133">
        <v>0</v>
      </c>
      <c r="X456" s="133">
        <v>0</v>
      </c>
      <c r="Y456" s="133"/>
      <c r="Z456" s="133">
        <v>0</v>
      </c>
      <c r="AA456" s="133"/>
      <c r="AB456" s="133"/>
      <c r="AC456" s="133">
        <f t="shared" si="36"/>
        <v>0</v>
      </c>
      <c r="AD456" s="133"/>
      <c r="AE456" s="136"/>
      <c r="AG456" s="137"/>
    </row>
    <row r="457" spans="1:33" s="14" customFormat="1">
      <c r="A457" s="133">
        <f t="shared" si="39"/>
        <v>401</v>
      </c>
      <c r="B457" s="11" t="s">
        <v>34</v>
      </c>
      <c r="C457" s="133" t="s">
        <v>1419</v>
      </c>
      <c r="D457" s="133" t="s">
        <v>1598</v>
      </c>
      <c r="E457" s="133"/>
      <c r="F457" s="133" t="s">
        <v>37</v>
      </c>
      <c r="G457" s="134" t="s">
        <v>1599</v>
      </c>
      <c r="H457" s="133" t="s">
        <v>741</v>
      </c>
      <c r="I457" s="133" t="s">
        <v>741</v>
      </c>
      <c r="J457" s="133" t="s">
        <v>1600</v>
      </c>
      <c r="K457" s="133" t="s">
        <v>1429</v>
      </c>
      <c r="L457" s="133">
        <v>100</v>
      </c>
      <c r="M457" s="133"/>
      <c r="N457" s="133" t="s">
        <v>324</v>
      </c>
      <c r="O457" s="133" t="s">
        <v>1601</v>
      </c>
      <c r="P457" s="133" t="s">
        <v>95</v>
      </c>
      <c r="Q457" s="133">
        <v>1</v>
      </c>
      <c r="R457" s="133">
        <v>2</v>
      </c>
      <c r="S457" s="133">
        <v>0</v>
      </c>
      <c r="T457" s="133">
        <v>0</v>
      </c>
      <c r="U457" s="133">
        <v>0</v>
      </c>
      <c r="V457" s="133">
        <v>0</v>
      </c>
      <c r="W457" s="133">
        <v>0</v>
      </c>
      <c r="X457" s="133">
        <v>0</v>
      </c>
      <c r="Y457" s="133"/>
      <c r="Z457" s="133">
        <v>0</v>
      </c>
      <c r="AA457" s="133"/>
      <c r="AB457" s="133"/>
      <c r="AC457" s="133">
        <f t="shared" si="36"/>
        <v>0</v>
      </c>
      <c r="AD457" s="133"/>
      <c r="AE457" s="136" t="s">
        <v>1602</v>
      </c>
      <c r="AG457" s="137"/>
    </row>
    <row r="458" spans="1:33" s="14" customFormat="1">
      <c r="A458" s="133">
        <f t="shared" si="39"/>
        <v>402</v>
      </c>
      <c r="B458" s="11" t="s">
        <v>34</v>
      </c>
      <c r="C458" s="133" t="s">
        <v>1419</v>
      </c>
      <c r="D458" s="133" t="s">
        <v>1603</v>
      </c>
      <c r="E458" s="133"/>
      <c r="F458" s="133" t="s">
        <v>37</v>
      </c>
      <c r="G458" s="134" t="s">
        <v>1604</v>
      </c>
      <c r="H458" s="133" t="s">
        <v>246</v>
      </c>
      <c r="I458" s="133" t="s">
        <v>246</v>
      </c>
      <c r="J458" s="135" t="s">
        <v>1605</v>
      </c>
      <c r="K458" s="133" t="s">
        <v>1429</v>
      </c>
      <c r="L458" s="133">
        <v>250</v>
      </c>
      <c r="M458" s="133"/>
      <c r="N458" s="133" t="s">
        <v>424</v>
      </c>
      <c r="O458" s="182">
        <v>18034531</v>
      </c>
      <c r="P458" s="133" t="s">
        <v>95</v>
      </c>
      <c r="Q458" s="133">
        <v>1</v>
      </c>
      <c r="R458" s="133">
        <v>2</v>
      </c>
      <c r="S458" s="133">
        <v>0</v>
      </c>
      <c r="T458" s="133">
        <v>0</v>
      </c>
      <c r="U458" s="133">
        <v>0</v>
      </c>
      <c r="V458" s="133">
        <v>0</v>
      </c>
      <c r="W458" s="133">
        <v>0</v>
      </c>
      <c r="X458" s="133">
        <v>0</v>
      </c>
      <c r="Y458" s="133"/>
      <c r="Z458" s="133">
        <v>0</v>
      </c>
      <c r="AA458" s="133"/>
      <c r="AB458" s="133"/>
      <c r="AC458" s="133">
        <f t="shared" si="36"/>
        <v>0</v>
      </c>
      <c r="AD458" s="133"/>
      <c r="AE458" s="136" t="s">
        <v>1606</v>
      </c>
      <c r="AG458" s="137"/>
    </row>
    <row r="459" spans="1:33" s="99" customFormat="1">
      <c r="A459" s="130">
        <f t="shared" si="39"/>
        <v>403</v>
      </c>
      <c r="B459" s="96" t="s">
        <v>34</v>
      </c>
      <c r="C459" s="130" t="s">
        <v>1419</v>
      </c>
      <c r="D459" s="130" t="s">
        <v>1607</v>
      </c>
      <c r="E459" s="130"/>
      <c r="F459" s="130" t="s">
        <v>37</v>
      </c>
      <c r="G459" s="139" t="s">
        <v>1608</v>
      </c>
      <c r="H459" s="130" t="s">
        <v>246</v>
      </c>
      <c r="I459" s="130" t="s">
        <v>246</v>
      </c>
      <c r="J459" s="140" t="s">
        <v>1609</v>
      </c>
      <c r="K459" s="130" t="s">
        <v>1429</v>
      </c>
      <c r="L459" s="130">
        <v>100</v>
      </c>
      <c r="M459" s="130"/>
      <c r="N459" s="130" t="s">
        <v>324</v>
      </c>
      <c r="O459" s="130">
        <v>233309655</v>
      </c>
      <c r="P459" s="130">
        <v>2023</v>
      </c>
      <c r="Q459" s="130">
        <v>1</v>
      </c>
      <c r="R459" s="130">
        <v>3</v>
      </c>
      <c r="S459" s="130">
        <v>0</v>
      </c>
      <c r="T459" s="130">
        <v>0</v>
      </c>
      <c r="U459" s="130">
        <v>0</v>
      </c>
      <c r="V459" s="130">
        <v>0</v>
      </c>
      <c r="W459" s="130">
        <v>0</v>
      </c>
      <c r="X459" s="130">
        <v>0</v>
      </c>
      <c r="Y459" s="130"/>
      <c r="Z459" s="130">
        <v>0</v>
      </c>
      <c r="AA459" s="130"/>
      <c r="AB459" s="130"/>
      <c r="AC459" s="130">
        <f t="shared" si="36"/>
        <v>0</v>
      </c>
      <c r="AD459" s="130"/>
      <c r="AE459" s="131"/>
      <c r="AG459" s="132"/>
    </row>
    <row r="460" spans="1:33" s="14" customFormat="1">
      <c r="A460" s="133">
        <f t="shared" si="39"/>
        <v>404</v>
      </c>
      <c r="B460" s="11" t="s">
        <v>34</v>
      </c>
      <c r="C460" s="133" t="s">
        <v>1419</v>
      </c>
      <c r="D460" s="133" t="s">
        <v>1610</v>
      </c>
      <c r="E460" s="133"/>
      <c r="F460" s="133" t="s">
        <v>37</v>
      </c>
      <c r="G460" s="134" t="s">
        <v>1611</v>
      </c>
      <c r="H460" s="133" t="s">
        <v>246</v>
      </c>
      <c r="I460" s="133" t="s">
        <v>246</v>
      </c>
      <c r="J460" s="135" t="s">
        <v>1612</v>
      </c>
      <c r="K460" s="133" t="s">
        <v>1429</v>
      </c>
      <c r="L460" s="133">
        <v>160</v>
      </c>
      <c r="M460" s="133"/>
      <c r="N460" s="133" t="s">
        <v>59</v>
      </c>
      <c r="O460" s="133" t="s">
        <v>1562</v>
      </c>
      <c r="P460" s="133" t="s">
        <v>95</v>
      </c>
      <c r="Q460" s="133">
        <v>1</v>
      </c>
      <c r="R460" s="133">
        <v>2</v>
      </c>
      <c r="S460" s="133">
        <v>0</v>
      </c>
      <c r="T460" s="133">
        <v>0</v>
      </c>
      <c r="U460" s="133">
        <v>0</v>
      </c>
      <c r="V460" s="133">
        <v>0</v>
      </c>
      <c r="W460" s="133">
        <v>0</v>
      </c>
      <c r="X460" s="133">
        <v>0</v>
      </c>
      <c r="Y460" s="133"/>
      <c r="Z460" s="133">
        <v>0</v>
      </c>
      <c r="AA460" s="133"/>
      <c r="AB460" s="133"/>
      <c r="AC460" s="133">
        <f t="shared" si="36"/>
        <v>0</v>
      </c>
      <c r="AD460" s="133"/>
      <c r="AE460" s="136" t="s">
        <v>1613</v>
      </c>
      <c r="AG460" s="137"/>
    </row>
    <row r="461" spans="1:33" s="14" customFormat="1">
      <c r="A461" s="133">
        <f t="shared" si="39"/>
        <v>405</v>
      </c>
      <c r="B461" s="11" t="s">
        <v>34</v>
      </c>
      <c r="C461" s="133" t="s">
        <v>1419</v>
      </c>
      <c r="D461" s="133" t="s">
        <v>1614</v>
      </c>
      <c r="E461" s="133"/>
      <c r="F461" s="133" t="s">
        <v>37</v>
      </c>
      <c r="G461" s="134" t="s">
        <v>1615</v>
      </c>
      <c r="H461" s="133" t="s">
        <v>246</v>
      </c>
      <c r="I461" s="133" t="s">
        <v>246</v>
      </c>
      <c r="J461" s="135" t="s">
        <v>1616</v>
      </c>
      <c r="K461" s="133" t="s">
        <v>1429</v>
      </c>
      <c r="L461" s="133">
        <v>250</v>
      </c>
      <c r="M461" s="133"/>
      <c r="N461" s="133" t="s">
        <v>59</v>
      </c>
      <c r="O461" s="133">
        <v>213301968</v>
      </c>
      <c r="P461" s="133">
        <v>2021</v>
      </c>
      <c r="Q461" s="133">
        <v>1</v>
      </c>
      <c r="R461" s="133">
        <v>4</v>
      </c>
      <c r="S461" s="133">
        <v>0</v>
      </c>
      <c r="T461" s="133">
        <v>0</v>
      </c>
      <c r="U461" s="133">
        <v>0</v>
      </c>
      <c r="V461" s="133">
        <v>0</v>
      </c>
      <c r="W461" s="133">
        <v>0</v>
      </c>
      <c r="X461" s="133">
        <v>0</v>
      </c>
      <c r="Y461" s="133"/>
      <c r="Z461" s="133">
        <v>0</v>
      </c>
      <c r="AA461" s="133"/>
      <c r="AB461" s="133"/>
      <c r="AC461" s="133">
        <f t="shared" si="36"/>
        <v>0</v>
      </c>
      <c r="AD461" s="133"/>
      <c r="AE461" s="136"/>
      <c r="AG461" s="137"/>
    </row>
    <row r="462" spans="1:33" s="14" customFormat="1">
      <c r="A462" s="133">
        <f t="shared" si="39"/>
        <v>406</v>
      </c>
      <c r="B462" s="11" t="s">
        <v>34</v>
      </c>
      <c r="C462" s="133" t="s">
        <v>1419</v>
      </c>
      <c r="D462" s="133" t="s">
        <v>1617</v>
      </c>
      <c r="E462" s="133"/>
      <c r="F462" s="133" t="s">
        <v>37</v>
      </c>
      <c r="G462" s="134" t="s">
        <v>1618</v>
      </c>
      <c r="H462" s="133" t="s">
        <v>741</v>
      </c>
      <c r="I462" s="133" t="s">
        <v>741</v>
      </c>
      <c r="J462" s="133">
        <v>1163</v>
      </c>
      <c r="K462" s="133" t="s">
        <v>1429</v>
      </c>
      <c r="L462" s="133">
        <v>50</v>
      </c>
      <c r="M462" s="133"/>
      <c r="N462" s="133" t="s">
        <v>43</v>
      </c>
      <c r="O462" s="133" t="s">
        <v>1619</v>
      </c>
      <c r="P462" s="133"/>
      <c r="Q462" s="133">
        <v>1</v>
      </c>
      <c r="R462" s="133">
        <v>2</v>
      </c>
      <c r="S462" s="133"/>
      <c r="T462" s="133"/>
      <c r="U462" s="133"/>
      <c r="V462" s="133"/>
      <c r="W462" s="133"/>
      <c r="X462" s="133"/>
      <c r="Y462" s="133"/>
      <c r="Z462" s="133"/>
      <c r="AA462" s="133"/>
      <c r="AB462" s="133"/>
      <c r="AC462" s="133">
        <f t="shared" si="36"/>
        <v>0</v>
      </c>
      <c r="AD462" s="133"/>
      <c r="AE462" s="136"/>
      <c r="AG462" s="137"/>
    </row>
    <row r="463" spans="1:33" s="14" customFormat="1">
      <c r="A463" s="133">
        <f t="shared" si="39"/>
        <v>407</v>
      </c>
      <c r="B463" s="11" t="s">
        <v>34</v>
      </c>
      <c r="C463" s="133" t="s">
        <v>1419</v>
      </c>
      <c r="D463" s="133" t="s">
        <v>1620</v>
      </c>
      <c r="E463" s="133"/>
      <c r="F463" s="133" t="s">
        <v>37</v>
      </c>
      <c r="G463" s="134" t="s">
        <v>1621</v>
      </c>
      <c r="H463" s="133" t="s">
        <v>741</v>
      </c>
      <c r="I463" s="133" t="s">
        <v>741</v>
      </c>
      <c r="J463" s="135" t="s">
        <v>1622</v>
      </c>
      <c r="K463" s="133" t="s">
        <v>1429</v>
      </c>
      <c r="L463" s="133">
        <v>100</v>
      </c>
      <c r="M463" s="133"/>
      <c r="N463" s="133"/>
      <c r="O463" s="133"/>
      <c r="P463" s="133"/>
      <c r="Q463" s="133">
        <v>1</v>
      </c>
      <c r="R463" s="133">
        <v>2</v>
      </c>
      <c r="S463" s="133"/>
      <c r="T463" s="133"/>
      <c r="U463" s="133"/>
      <c r="V463" s="133"/>
      <c r="W463" s="133"/>
      <c r="X463" s="133"/>
      <c r="Y463" s="133"/>
      <c r="Z463" s="133"/>
      <c r="AA463" s="133"/>
      <c r="AB463" s="133"/>
      <c r="AC463" s="133">
        <f t="shared" si="36"/>
        <v>0</v>
      </c>
      <c r="AD463" s="133"/>
      <c r="AE463" s="136"/>
      <c r="AG463" s="137"/>
    </row>
    <row r="464" spans="1:33" s="14" customFormat="1">
      <c r="A464" s="133">
        <f t="shared" si="39"/>
        <v>408</v>
      </c>
      <c r="B464" s="11" t="s">
        <v>34</v>
      </c>
      <c r="C464" s="133" t="s">
        <v>1419</v>
      </c>
      <c r="D464" s="133" t="s">
        <v>1623</v>
      </c>
      <c r="E464" s="133"/>
      <c r="F464" s="133" t="s">
        <v>37</v>
      </c>
      <c r="G464" s="134" t="s">
        <v>1624</v>
      </c>
      <c r="H464" s="133" t="s">
        <v>741</v>
      </c>
      <c r="I464" s="133" t="s">
        <v>741</v>
      </c>
      <c r="J464" s="133">
        <v>1105</v>
      </c>
      <c r="K464" s="133" t="s">
        <v>1429</v>
      </c>
      <c r="L464" s="133">
        <v>100</v>
      </c>
      <c r="M464" s="133"/>
      <c r="N464" s="133" t="s">
        <v>1143</v>
      </c>
      <c r="O464" s="133" t="s">
        <v>1625</v>
      </c>
      <c r="P464" s="133">
        <v>1984</v>
      </c>
      <c r="Q464" s="133">
        <v>1</v>
      </c>
      <c r="R464" s="133">
        <v>2</v>
      </c>
      <c r="S464" s="133"/>
      <c r="T464" s="133"/>
      <c r="U464" s="133"/>
      <c r="V464" s="133"/>
      <c r="W464" s="133"/>
      <c r="X464" s="133"/>
      <c r="Y464" s="133"/>
      <c r="Z464" s="133"/>
      <c r="AA464" s="133"/>
      <c r="AB464" s="133"/>
      <c r="AC464" s="133">
        <f t="shared" si="36"/>
        <v>0</v>
      </c>
      <c r="AD464" s="133"/>
      <c r="AE464" s="136"/>
      <c r="AG464" s="137"/>
    </row>
    <row r="465" spans="1:33" s="14" customFormat="1">
      <c r="A465" s="133">
        <f t="shared" si="39"/>
        <v>409</v>
      </c>
      <c r="B465" s="11" t="s">
        <v>34</v>
      </c>
      <c r="C465" s="133" t="s">
        <v>1419</v>
      </c>
      <c r="D465" s="133" t="s">
        <v>1626</v>
      </c>
      <c r="E465" s="133"/>
      <c r="F465" s="133" t="s">
        <v>37</v>
      </c>
      <c r="G465" s="134" t="s">
        <v>1627</v>
      </c>
      <c r="H465" s="133" t="s">
        <v>741</v>
      </c>
      <c r="I465" s="133" t="s">
        <v>741</v>
      </c>
      <c r="J465" s="133">
        <v>1020</v>
      </c>
      <c r="K465" s="133" t="s">
        <v>1429</v>
      </c>
      <c r="L465" s="133">
        <v>100</v>
      </c>
      <c r="M465" s="133"/>
      <c r="N465" s="133" t="s">
        <v>43</v>
      </c>
      <c r="O465" s="133" t="s">
        <v>1628</v>
      </c>
      <c r="P465" s="133" t="s">
        <v>1026</v>
      </c>
      <c r="Q465" s="133">
        <v>1</v>
      </c>
      <c r="R465" s="133">
        <v>2</v>
      </c>
      <c r="S465" s="133"/>
      <c r="T465" s="133"/>
      <c r="U465" s="133"/>
      <c r="V465" s="133"/>
      <c r="W465" s="133"/>
      <c r="X465" s="133"/>
      <c r="Y465" s="133"/>
      <c r="Z465" s="133"/>
      <c r="AA465" s="133"/>
      <c r="AB465" s="133"/>
      <c r="AC465" s="133">
        <f t="shared" si="36"/>
        <v>0</v>
      </c>
      <c r="AD465" s="133"/>
      <c r="AE465" s="136"/>
      <c r="AG465" s="137"/>
    </row>
    <row r="466" spans="1:33" s="99" customFormat="1">
      <c r="A466" s="130">
        <f t="shared" si="39"/>
        <v>410</v>
      </c>
      <c r="B466" s="96" t="s">
        <v>34</v>
      </c>
      <c r="C466" s="130" t="s">
        <v>1419</v>
      </c>
      <c r="D466" s="130" t="s">
        <v>1629</v>
      </c>
      <c r="E466" s="130"/>
      <c r="F466" s="130" t="s">
        <v>37</v>
      </c>
      <c r="G466" s="139" t="s">
        <v>1627</v>
      </c>
      <c r="H466" s="130" t="s">
        <v>246</v>
      </c>
      <c r="I466" s="130" t="s">
        <v>246</v>
      </c>
      <c r="J466" s="130" t="s">
        <v>1630</v>
      </c>
      <c r="K466" s="130" t="s">
        <v>1429</v>
      </c>
      <c r="L466" s="130">
        <v>100</v>
      </c>
      <c r="M466" s="130"/>
      <c r="N466" s="130" t="s">
        <v>641</v>
      </c>
      <c r="O466" s="130">
        <v>1802960</v>
      </c>
      <c r="P466" s="130">
        <v>2018</v>
      </c>
      <c r="Q466" s="130">
        <v>1</v>
      </c>
      <c r="R466" s="130" t="s">
        <v>84</v>
      </c>
      <c r="S466" s="130"/>
      <c r="T466" s="130"/>
      <c r="U466" s="130"/>
      <c r="V466" s="130"/>
      <c r="W466" s="130"/>
      <c r="X466" s="130"/>
      <c r="Y466" s="130"/>
      <c r="Z466" s="130"/>
      <c r="AA466" s="130"/>
      <c r="AB466" s="130"/>
      <c r="AC466" s="130">
        <f t="shared" si="36"/>
        <v>0</v>
      </c>
      <c r="AD466" s="130"/>
      <c r="AE466" s="131"/>
      <c r="AG466" s="132"/>
    </row>
    <row r="467" spans="1:33" s="14" customFormat="1">
      <c r="A467" s="133">
        <f t="shared" si="39"/>
        <v>411</v>
      </c>
      <c r="B467" s="11" t="s">
        <v>34</v>
      </c>
      <c r="C467" s="133" t="s">
        <v>1419</v>
      </c>
      <c r="D467" s="133" t="s">
        <v>1631</v>
      </c>
      <c r="E467" s="133"/>
      <c r="F467" s="133" t="s">
        <v>37</v>
      </c>
      <c r="G467" s="134" t="s">
        <v>1632</v>
      </c>
      <c r="H467" s="133" t="s">
        <v>39</v>
      </c>
      <c r="I467" s="133" t="s">
        <v>40</v>
      </c>
      <c r="J467" s="135" t="s">
        <v>1633</v>
      </c>
      <c r="K467" s="133" t="s">
        <v>1429</v>
      </c>
      <c r="L467" s="133">
        <v>400</v>
      </c>
      <c r="M467" s="133"/>
      <c r="N467" s="133" t="s">
        <v>43</v>
      </c>
      <c r="O467" s="133" t="s">
        <v>1634</v>
      </c>
      <c r="P467" s="133">
        <v>1986</v>
      </c>
      <c r="Q467" s="133"/>
      <c r="R467" s="133">
        <v>3</v>
      </c>
      <c r="S467" s="133" t="s">
        <v>45</v>
      </c>
      <c r="T467" s="133" t="s">
        <v>46</v>
      </c>
      <c r="U467" s="133">
        <v>3</v>
      </c>
      <c r="V467" s="133">
        <v>1</v>
      </c>
      <c r="W467" s="133">
        <v>0</v>
      </c>
      <c r="X467" s="133">
        <v>0</v>
      </c>
      <c r="Y467" s="133"/>
      <c r="Z467" s="133">
        <v>0</v>
      </c>
      <c r="AA467" s="133"/>
      <c r="AB467" s="133"/>
      <c r="AC467" s="133">
        <f t="shared" si="36"/>
        <v>4</v>
      </c>
      <c r="AD467" s="133"/>
      <c r="AE467" s="136"/>
      <c r="AG467" s="137"/>
    </row>
    <row r="468" spans="1:33" s="14" customFormat="1">
      <c r="A468" s="133">
        <f t="shared" si="39"/>
        <v>412</v>
      </c>
      <c r="B468" s="11" t="s">
        <v>34</v>
      </c>
      <c r="C468" s="133" t="s">
        <v>1419</v>
      </c>
      <c r="D468" s="133" t="s">
        <v>1635</v>
      </c>
      <c r="E468" s="133"/>
      <c r="F468" s="133" t="s">
        <v>37</v>
      </c>
      <c r="G468" s="134" t="s">
        <v>1636</v>
      </c>
      <c r="H468" s="133" t="s">
        <v>741</v>
      </c>
      <c r="I468" s="133" t="s">
        <v>741</v>
      </c>
      <c r="J468" s="133" t="s">
        <v>1637</v>
      </c>
      <c r="K468" s="133" t="s">
        <v>1429</v>
      </c>
      <c r="L468" s="133">
        <v>100</v>
      </c>
      <c r="M468" s="133"/>
      <c r="N468" s="133" t="s">
        <v>93</v>
      </c>
      <c r="O468" s="133" t="s">
        <v>1638</v>
      </c>
      <c r="P468" s="133" t="s">
        <v>95</v>
      </c>
      <c r="Q468" s="133" t="s">
        <v>96</v>
      </c>
      <c r="R468" s="133" t="s">
        <v>482</v>
      </c>
      <c r="S468" s="133"/>
      <c r="T468" s="133" t="s">
        <v>46</v>
      </c>
      <c r="U468" s="133">
        <v>0</v>
      </c>
      <c r="V468" s="133">
        <v>0</v>
      </c>
      <c r="W468" s="133">
        <v>0</v>
      </c>
      <c r="X468" s="133">
        <v>0</v>
      </c>
      <c r="Y468" s="133"/>
      <c r="Z468" s="133">
        <v>0</v>
      </c>
      <c r="AA468" s="133"/>
      <c r="AB468" s="133"/>
      <c r="AC468" s="133">
        <f t="shared" si="36"/>
        <v>0</v>
      </c>
      <c r="AD468" s="133"/>
      <c r="AE468" s="136" t="s">
        <v>1639</v>
      </c>
      <c r="AG468" s="137"/>
    </row>
    <row r="469" spans="1:33" s="14" customFormat="1">
      <c r="A469" s="133">
        <f t="shared" si="39"/>
        <v>413</v>
      </c>
      <c r="B469" s="11" t="s">
        <v>34</v>
      </c>
      <c r="C469" s="133" t="s">
        <v>1419</v>
      </c>
      <c r="D469" s="133" t="s">
        <v>1640</v>
      </c>
      <c r="E469" s="133"/>
      <c r="F469" s="133" t="s">
        <v>37</v>
      </c>
      <c r="G469" s="134" t="s">
        <v>1641</v>
      </c>
      <c r="H469" s="133" t="s">
        <v>246</v>
      </c>
      <c r="I469" s="133" t="s">
        <v>246</v>
      </c>
      <c r="J469" s="133">
        <v>1001</v>
      </c>
      <c r="K469" s="133" t="s">
        <v>1429</v>
      </c>
      <c r="L469" s="133">
        <v>100</v>
      </c>
      <c r="M469" s="133"/>
      <c r="N469" s="133" t="s">
        <v>641</v>
      </c>
      <c r="O469" s="133" t="s">
        <v>1642</v>
      </c>
      <c r="P469" s="133">
        <v>2011</v>
      </c>
      <c r="Q469" s="133">
        <v>1</v>
      </c>
      <c r="R469" s="133" t="s">
        <v>482</v>
      </c>
      <c r="S469" s="133"/>
      <c r="T469" s="133"/>
      <c r="U469" s="133"/>
      <c r="V469" s="133"/>
      <c r="W469" s="133"/>
      <c r="X469" s="133"/>
      <c r="Y469" s="133"/>
      <c r="Z469" s="133"/>
      <c r="AA469" s="133"/>
      <c r="AB469" s="133"/>
      <c r="AC469" s="133">
        <f t="shared" si="36"/>
        <v>0</v>
      </c>
      <c r="AD469" s="133"/>
      <c r="AE469" s="136"/>
      <c r="AG469" s="137"/>
    </row>
    <row r="470" spans="1:33" s="14" customFormat="1">
      <c r="A470" s="133">
        <f t="shared" si="39"/>
        <v>414</v>
      </c>
      <c r="B470" s="11" t="s">
        <v>34</v>
      </c>
      <c r="C470" s="133" t="s">
        <v>1419</v>
      </c>
      <c r="D470" s="133" t="s">
        <v>1643</v>
      </c>
      <c r="E470" s="133"/>
      <c r="F470" s="133" t="s">
        <v>37</v>
      </c>
      <c r="G470" s="134" t="s">
        <v>1611</v>
      </c>
      <c r="H470" s="133" t="s">
        <v>246</v>
      </c>
      <c r="I470" s="133" t="s">
        <v>246</v>
      </c>
      <c r="J470" s="135" t="s">
        <v>1644</v>
      </c>
      <c r="K470" s="133" t="s">
        <v>1429</v>
      </c>
      <c r="L470" s="133">
        <v>160</v>
      </c>
      <c r="M470" s="133"/>
      <c r="N470" s="133" t="s">
        <v>424</v>
      </c>
      <c r="O470" s="133">
        <v>24830184</v>
      </c>
      <c r="P470" s="133">
        <v>2024</v>
      </c>
      <c r="Q470" s="133">
        <v>1</v>
      </c>
      <c r="R470" s="133">
        <v>2</v>
      </c>
      <c r="S470" s="133">
        <v>0</v>
      </c>
      <c r="T470" s="133">
        <v>0</v>
      </c>
      <c r="U470" s="133">
        <v>0</v>
      </c>
      <c r="V470" s="133">
        <v>0</v>
      </c>
      <c r="W470" s="133">
        <v>0</v>
      </c>
      <c r="X470" s="133">
        <v>0</v>
      </c>
      <c r="Y470" s="133"/>
      <c r="Z470" s="133">
        <v>0</v>
      </c>
      <c r="AA470" s="133"/>
      <c r="AB470" s="133"/>
      <c r="AC470" s="133">
        <f t="shared" si="36"/>
        <v>0</v>
      </c>
      <c r="AD470" s="133"/>
      <c r="AE470" s="136" t="s">
        <v>1645</v>
      </c>
      <c r="AG470" s="137"/>
    </row>
    <row r="471" spans="1:33" s="14" customFormat="1">
      <c r="A471" s="133">
        <f t="shared" si="39"/>
        <v>415</v>
      </c>
      <c r="B471" s="11" t="s">
        <v>34</v>
      </c>
      <c r="C471" s="133" t="s">
        <v>1419</v>
      </c>
      <c r="D471" s="133" t="s">
        <v>1646</v>
      </c>
      <c r="E471" s="133"/>
      <c r="F471" s="133" t="s">
        <v>37</v>
      </c>
      <c r="G471" s="134" t="s">
        <v>1611</v>
      </c>
      <c r="H471" s="133" t="s">
        <v>246</v>
      </c>
      <c r="I471" s="133" t="s">
        <v>246</v>
      </c>
      <c r="J471" s="135" t="s">
        <v>1644</v>
      </c>
      <c r="K471" s="133" t="s">
        <v>1429</v>
      </c>
      <c r="L471" s="133">
        <v>100</v>
      </c>
      <c r="M471" s="133"/>
      <c r="N471" s="133" t="s">
        <v>1647</v>
      </c>
      <c r="O471" s="133" t="s">
        <v>1648</v>
      </c>
      <c r="P471" s="133" t="s">
        <v>255</v>
      </c>
      <c r="Q471" s="133">
        <v>1</v>
      </c>
      <c r="R471" s="133">
        <v>2</v>
      </c>
      <c r="S471" s="133">
        <v>0</v>
      </c>
      <c r="T471" s="133">
        <v>0</v>
      </c>
      <c r="U471" s="133">
        <v>0</v>
      </c>
      <c r="V471" s="133">
        <v>0</v>
      </c>
      <c r="W471" s="133">
        <v>0</v>
      </c>
      <c r="X471" s="133">
        <v>0</v>
      </c>
      <c r="Y471" s="133"/>
      <c r="Z471" s="133">
        <v>0</v>
      </c>
      <c r="AA471" s="133"/>
      <c r="AB471" s="133"/>
      <c r="AC471" s="133">
        <f t="shared" si="36"/>
        <v>0</v>
      </c>
      <c r="AD471" s="133"/>
      <c r="AE471" s="136"/>
      <c r="AG471" s="137"/>
    </row>
    <row r="472" spans="1:33" s="14" customFormat="1">
      <c r="A472" s="133">
        <f t="shared" si="39"/>
        <v>416</v>
      </c>
      <c r="B472" s="11" t="s">
        <v>34</v>
      </c>
      <c r="C472" s="133" t="s">
        <v>1419</v>
      </c>
      <c r="D472" s="133" t="s">
        <v>1649</v>
      </c>
      <c r="E472" s="133"/>
      <c r="F472" s="133" t="s">
        <v>37</v>
      </c>
      <c r="G472" s="134" t="s">
        <v>1650</v>
      </c>
      <c r="H472" s="133" t="s">
        <v>246</v>
      </c>
      <c r="I472" s="133" t="s">
        <v>246</v>
      </c>
      <c r="J472" s="135" t="s">
        <v>1651</v>
      </c>
      <c r="K472" s="133" t="s">
        <v>1429</v>
      </c>
      <c r="L472" s="133">
        <v>160</v>
      </c>
      <c r="M472" s="133"/>
      <c r="N472" s="133" t="s">
        <v>43</v>
      </c>
      <c r="O472" s="133">
        <v>23826</v>
      </c>
      <c r="P472" s="133">
        <v>1983</v>
      </c>
      <c r="Q472" s="133">
        <v>1</v>
      </c>
      <c r="R472" s="133">
        <v>2</v>
      </c>
      <c r="S472" s="133">
        <v>0</v>
      </c>
      <c r="T472" s="133">
        <v>0</v>
      </c>
      <c r="U472" s="133">
        <v>0</v>
      </c>
      <c r="V472" s="133">
        <v>0</v>
      </c>
      <c r="W472" s="133">
        <v>0</v>
      </c>
      <c r="X472" s="133">
        <v>0</v>
      </c>
      <c r="Y472" s="133"/>
      <c r="Z472" s="133">
        <v>0</v>
      </c>
      <c r="AA472" s="133"/>
      <c r="AB472" s="133"/>
      <c r="AC472" s="133">
        <f t="shared" si="36"/>
        <v>0</v>
      </c>
      <c r="AD472" s="133"/>
      <c r="AE472" s="136"/>
      <c r="AG472" s="137"/>
    </row>
    <row r="473" spans="1:33" s="14" customFormat="1">
      <c r="A473" s="133">
        <f t="shared" si="39"/>
        <v>417</v>
      </c>
      <c r="B473" s="11" t="s">
        <v>34</v>
      </c>
      <c r="C473" s="133" t="s">
        <v>1419</v>
      </c>
      <c r="D473" s="133" t="s">
        <v>1652</v>
      </c>
      <c r="E473" s="133"/>
      <c r="F473" s="133" t="s">
        <v>37</v>
      </c>
      <c r="G473" s="134" t="s">
        <v>1621</v>
      </c>
      <c r="H473" s="133" t="s">
        <v>246</v>
      </c>
      <c r="I473" s="133" t="s">
        <v>246</v>
      </c>
      <c r="J473" s="135" t="s">
        <v>1653</v>
      </c>
      <c r="K473" s="133" t="s">
        <v>1429</v>
      </c>
      <c r="L473" s="133">
        <v>250</v>
      </c>
      <c r="M473" s="133"/>
      <c r="N473" s="133" t="s">
        <v>324</v>
      </c>
      <c r="O473" s="133" t="s">
        <v>1654</v>
      </c>
      <c r="P473" s="133">
        <v>2021</v>
      </c>
      <c r="Q473" s="133">
        <v>1</v>
      </c>
      <c r="R473" s="133">
        <v>2</v>
      </c>
      <c r="S473" s="133">
        <v>0</v>
      </c>
      <c r="T473" s="133">
        <v>0</v>
      </c>
      <c r="U473" s="133">
        <v>0</v>
      </c>
      <c r="V473" s="133">
        <v>0</v>
      </c>
      <c r="W473" s="133">
        <v>0</v>
      </c>
      <c r="X473" s="133">
        <v>0</v>
      </c>
      <c r="Y473" s="133"/>
      <c r="Z473" s="133">
        <v>0</v>
      </c>
      <c r="AA473" s="133"/>
      <c r="AB473" s="133"/>
      <c r="AC473" s="133">
        <f t="shared" si="36"/>
        <v>0</v>
      </c>
      <c r="AD473" s="133"/>
      <c r="AE473" s="136"/>
      <c r="AG473" s="137"/>
    </row>
    <row r="474" spans="1:33" s="14" customFormat="1">
      <c r="A474" s="133">
        <f>A472+1</f>
        <v>417</v>
      </c>
      <c r="B474" s="11" t="s">
        <v>34</v>
      </c>
      <c r="C474" s="133" t="s">
        <v>1419</v>
      </c>
      <c r="D474" s="133" t="s">
        <v>1655</v>
      </c>
      <c r="E474" s="133"/>
      <c r="F474" s="133" t="s">
        <v>37</v>
      </c>
      <c r="G474" s="134" t="s">
        <v>1656</v>
      </c>
      <c r="H474" s="133" t="s">
        <v>246</v>
      </c>
      <c r="I474" s="133" t="s">
        <v>246</v>
      </c>
      <c r="J474" s="135" t="s">
        <v>1657</v>
      </c>
      <c r="K474" s="133" t="s">
        <v>1429</v>
      </c>
      <c r="L474" s="133">
        <v>250</v>
      </c>
      <c r="M474" s="133"/>
      <c r="N474" s="133" t="s">
        <v>664</v>
      </c>
      <c r="O474" s="133" t="s">
        <v>1658</v>
      </c>
      <c r="P474" s="133" t="s">
        <v>255</v>
      </c>
      <c r="Q474" s="133">
        <v>1</v>
      </c>
      <c r="R474" s="133">
        <v>3</v>
      </c>
      <c r="S474" s="133">
        <v>0</v>
      </c>
      <c r="T474" s="133">
        <v>0</v>
      </c>
      <c r="U474" s="133">
        <v>0</v>
      </c>
      <c r="V474" s="133">
        <v>0</v>
      </c>
      <c r="W474" s="133">
        <v>0</v>
      </c>
      <c r="X474" s="133">
        <v>0</v>
      </c>
      <c r="Y474" s="133"/>
      <c r="Z474" s="133">
        <v>0</v>
      </c>
      <c r="AA474" s="133"/>
      <c r="AB474" s="133"/>
      <c r="AC474" s="133">
        <f t="shared" si="36"/>
        <v>0</v>
      </c>
      <c r="AD474" s="133"/>
      <c r="AE474" s="136" t="s">
        <v>1534</v>
      </c>
      <c r="AG474" s="137" t="s">
        <v>1534</v>
      </c>
    </row>
    <row r="475" spans="1:33" s="93" customFormat="1">
      <c r="A475" s="141">
        <f>A473+1</f>
        <v>418</v>
      </c>
      <c r="B475" s="89" t="s">
        <v>34</v>
      </c>
      <c r="C475" s="141" t="s">
        <v>1419</v>
      </c>
      <c r="D475" s="141" t="s">
        <v>1659</v>
      </c>
      <c r="E475" s="141"/>
      <c r="F475" s="141" t="s">
        <v>1660</v>
      </c>
      <c r="G475" s="142" t="s">
        <v>1661</v>
      </c>
      <c r="H475" s="141" t="s">
        <v>246</v>
      </c>
      <c r="I475" s="141" t="s">
        <v>246</v>
      </c>
      <c r="J475" s="183"/>
      <c r="K475" s="141" t="s">
        <v>1429</v>
      </c>
      <c r="L475" s="141">
        <v>160</v>
      </c>
      <c r="M475" s="141"/>
      <c r="N475" s="141" t="s">
        <v>1053</v>
      </c>
      <c r="O475" s="141"/>
      <c r="P475" s="141">
        <v>2025</v>
      </c>
      <c r="Q475" s="141">
        <v>1</v>
      </c>
      <c r="R475" s="141">
        <v>3</v>
      </c>
      <c r="S475" s="141">
        <v>0</v>
      </c>
      <c r="T475" s="141">
        <v>0</v>
      </c>
      <c r="U475" s="141">
        <v>0</v>
      </c>
      <c r="V475" s="141">
        <v>0</v>
      </c>
      <c r="W475" s="141">
        <v>0</v>
      </c>
      <c r="X475" s="141">
        <v>0</v>
      </c>
      <c r="Y475" s="141"/>
      <c r="Z475" s="141">
        <v>0</v>
      </c>
      <c r="AA475" s="141"/>
      <c r="AB475" s="141"/>
      <c r="AC475" s="141">
        <f t="shared" si="36"/>
        <v>0</v>
      </c>
      <c r="AD475" s="141"/>
      <c r="AE475" s="143" t="s">
        <v>1534</v>
      </c>
      <c r="AG475" s="144" t="s">
        <v>1534</v>
      </c>
    </row>
    <row r="476" spans="1:33" s="14" customFormat="1">
      <c r="A476" s="133">
        <f t="shared" si="39"/>
        <v>419</v>
      </c>
      <c r="B476" s="11" t="s">
        <v>34</v>
      </c>
      <c r="C476" s="133" t="s">
        <v>1419</v>
      </c>
      <c r="D476" s="133" t="s">
        <v>1662</v>
      </c>
      <c r="E476" s="133"/>
      <c r="F476" s="133" t="s">
        <v>37</v>
      </c>
      <c r="G476" s="134" t="s">
        <v>1663</v>
      </c>
      <c r="H476" s="133" t="s">
        <v>741</v>
      </c>
      <c r="I476" s="133" t="s">
        <v>741</v>
      </c>
      <c r="J476" s="135" t="s">
        <v>1664</v>
      </c>
      <c r="K476" s="133" t="s">
        <v>1114</v>
      </c>
      <c r="L476" s="133">
        <v>100</v>
      </c>
      <c r="M476" s="133"/>
      <c r="N476" s="133" t="s">
        <v>93</v>
      </c>
      <c r="O476" s="133" t="s">
        <v>1665</v>
      </c>
      <c r="P476" s="133" t="s">
        <v>95</v>
      </c>
      <c r="Q476" s="133">
        <v>1</v>
      </c>
      <c r="R476" s="133">
        <v>2</v>
      </c>
      <c r="S476" s="133">
        <v>0</v>
      </c>
      <c r="T476" s="133">
        <v>0</v>
      </c>
      <c r="U476" s="133">
        <v>0</v>
      </c>
      <c r="V476" s="133">
        <v>0</v>
      </c>
      <c r="W476" s="133">
        <v>0</v>
      </c>
      <c r="X476" s="133">
        <v>0</v>
      </c>
      <c r="Y476" s="133"/>
      <c r="Z476" s="133">
        <v>0</v>
      </c>
      <c r="AA476" s="133"/>
      <c r="AB476" s="133"/>
      <c r="AC476" s="133">
        <f t="shared" si="36"/>
        <v>0</v>
      </c>
      <c r="AD476" s="133"/>
      <c r="AE476" s="136"/>
      <c r="AG476" s="137"/>
    </row>
    <row r="477" spans="1:33" s="14" customFormat="1">
      <c r="A477" s="133">
        <f t="shared" si="39"/>
        <v>420</v>
      </c>
      <c r="B477" s="11" t="s">
        <v>34</v>
      </c>
      <c r="C477" s="133" t="s">
        <v>1419</v>
      </c>
      <c r="D477" s="133" t="s">
        <v>393</v>
      </c>
      <c r="E477" s="133"/>
      <c r="F477" s="133" t="s">
        <v>63</v>
      </c>
      <c r="G477" s="134" t="s">
        <v>1666</v>
      </c>
      <c r="H477" s="133" t="s">
        <v>741</v>
      </c>
      <c r="I477" s="133" t="s">
        <v>741</v>
      </c>
      <c r="J477" s="135" t="s">
        <v>1667</v>
      </c>
      <c r="K477" s="133" t="s">
        <v>1114</v>
      </c>
      <c r="L477" s="133">
        <v>25</v>
      </c>
      <c r="M477" s="133"/>
      <c r="N477" s="133"/>
      <c r="O477" s="133"/>
      <c r="P477" s="133">
        <v>2010</v>
      </c>
      <c r="Q477" s="133">
        <v>1</v>
      </c>
      <c r="R477" s="133">
        <v>1</v>
      </c>
      <c r="S477" s="133">
        <v>0</v>
      </c>
      <c r="T477" s="133">
        <v>0</v>
      </c>
      <c r="U477" s="133">
        <v>0</v>
      </c>
      <c r="V477" s="133">
        <v>0</v>
      </c>
      <c r="W477" s="133">
        <v>0</v>
      </c>
      <c r="X477" s="133">
        <v>0</v>
      </c>
      <c r="Y477" s="133"/>
      <c r="Z477" s="133">
        <v>0</v>
      </c>
      <c r="AA477" s="133"/>
      <c r="AB477" s="133"/>
      <c r="AC477" s="133">
        <f t="shared" ref="AC477:AC547" si="40">SUM(U477:AB477)</f>
        <v>0</v>
      </c>
      <c r="AD477" s="133"/>
      <c r="AE477" s="136"/>
      <c r="AG477" s="137"/>
    </row>
    <row r="478" spans="1:33" s="14" customFormat="1">
      <c r="A478" s="133">
        <f t="shared" si="39"/>
        <v>421</v>
      </c>
      <c r="B478" s="11" t="s">
        <v>34</v>
      </c>
      <c r="C478" s="133" t="s">
        <v>1419</v>
      </c>
      <c r="D478" s="133" t="s">
        <v>1668</v>
      </c>
      <c r="E478" s="133"/>
      <c r="F478" s="133" t="s">
        <v>37</v>
      </c>
      <c r="G478" s="134" t="s">
        <v>1669</v>
      </c>
      <c r="H478" s="133" t="s">
        <v>741</v>
      </c>
      <c r="I478" s="133" t="s">
        <v>741</v>
      </c>
      <c r="J478" s="135" t="s">
        <v>1670</v>
      </c>
      <c r="K478" s="133" t="s">
        <v>1429</v>
      </c>
      <c r="L478" s="133">
        <v>50</v>
      </c>
      <c r="M478" s="133"/>
      <c r="N478" s="133" t="s">
        <v>424</v>
      </c>
      <c r="O478" s="133">
        <v>9058029</v>
      </c>
      <c r="P478" s="133">
        <v>2009</v>
      </c>
      <c r="Q478" s="133">
        <v>1</v>
      </c>
      <c r="R478" s="133">
        <v>2</v>
      </c>
      <c r="S478" s="133">
        <v>0</v>
      </c>
      <c r="T478" s="133">
        <v>0</v>
      </c>
      <c r="U478" s="133">
        <v>0</v>
      </c>
      <c r="V478" s="133">
        <v>0</v>
      </c>
      <c r="W478" s="133">
        <v>0</v>
      </c>
      <c r="X478" s="133">
        <v>0</v>
      </c>
      <c r="Y478" s="133"/>
      <c r="Z478" s="133">
        <v>0</v>
      </c>
      <c r="AA478" s="133"/>
      <c r="AB478" s="133"/>
      <c r="AC478" s="133">
        <f t="shared" si="40"/>
        <v>0</v>
      </c>
      <c r="AD478" s="133"/>
      <c r="AE478" s="136"/>
      <c r="AG478" s="137"/>
    </row>
    <row r="479" spans="1:33" s="14" customFormat="1">
      <c r="A479" s="133">
        <f t="shared" si="39"/>
        <v>422</v>
      </c>
      <c r="B479" s="11" t="s">
        <v>34</v>
      </c>
      <c r="C479" s="133" t="s">
        <v>1419</v>
      </c>
      <c r="D479" s="133" t="s">
        <v>1671</v>
      </c>
      <c r="E479" s="133"/>
      <c r="F479" s="133" t="s">
        <v>37</v>
      </c>
      <c r="G479" s="134" t="s">
        <v>1672</v>
      </c>
      <c r="H479" s="133" t="s">
        <v>741</v>
      </c>
      <c r="I479" s="133" t="s">
        <v>741</v>
      </c>
      <c r="J479" s="133">
        <v>1178</v>
      </c>
      <c r="K479" s="133" t="s">
        <v>1429</v>
      </c>
      <c r="L479" s="133">
        <v>100</v>
      </c>
      <c r="M479" s="133"/>
      <c r="N479" s="133" t="s">
        <v>664</v>
      </c>
      <c r="O479" s="133" t="s">
        <v>1673</v>
      </c>
      <c r="P479" s="133">
        <v>2015</v>
      </c>
      <c r="Q479" s="133">
        <v>1</v>
      </c>
      <c r="R479" s="133" t="s">
        <v>482</v>
      </c>
      <c r="S479" s="133"/>
      <c r="T479" s="133"/>
      <c r="U479" s="133"/>
      <c r="V479" s="133"/>
      <c r="W479" s="133"/>
      <c r="X479" s="133"/>
      <c r="Y479" s="133"/>
      <c r="Z479" s="133"/>
      <c r="AA479" s="133"/>
      <c r="AB479" s="133"/>
      <c r="AC479" s="133">
        <f t="shared" si="40"/>
        <v>0</v>
      </c>
      <c r="AD479" s="133"/>
      <c r="AE479" s="136"/>
      <c r="AG479" s="137"/>
    </row>
    <row r="480" spans="1:33" s="14" customFormat="1">
      <c r="A480" s="133">
        <f t="shared" si="39"/>
        <v>423</v>
      </c>
      <c r="B480" s="11" t="s">
        <v>34</v>
      </c>
      <c r="C480" s="133" t="s">
        <v>1419</v>
      </c>
      <c r="D480" s="133" t="s">
        <v>1674</v>
      </c>
      <c r="E480" s="133"/>
      <c r="F480" s="133" t="s">
        <v>63</v>
      </c>
      <c r="G480" s="134" t="s">
        <v>1675</v>
      </c>
      <c r="H480" s="133" t="s">
        <v>246</v>
      </c>
      <c r="I480" s="133" t="s">
        <v>246</v>
      </c>
      <c r="J480" s="133" t="s">
        <v>1676</v>
      </c>
      <c r="K480" s="133" t="s">
        <v>1429</v>
      </c>
      <c r="L480" s="133">
        <v>250</v>
      </c>
      <c r="M480" s="133"/>
      <c r="N480" s="133" t="s">
        <v>59</v>
      </c>
      <c r="O480" s="133" t="s">
        <v>1677</v>
      </c>
      <c r="P480" s="133" t="s">
        <v>766</v>
      </c>
      <c r="Q480" s="133" t="s">
        <v>96</v>
      </c>
      <c r="R480" s="133" t="s">
        <v>482</v>
      </c>
      <c r="S480" s="133"/>
      <c r="T480" s="133"/>
      <c r="U480" s="133"/>
      <c r="V480" s="133"/>
      <c r="W480" s="133"/>
      <c r="X480" s="133"/>
      <c r="Y480" s="133"/>
      <c r="Z480" s="133"/>
      <c r="AA480" s="133"/>
      <c r="AB480" s="133"/>
      <c r="AC480" s="133"/>
      <c r="AD480" s="133"/>
      <c r="AE480" s="136" t="s">
        <v>1678</v>
      </c>
      <c r="AG480" s="137" t="s">
        <v>1678</v>
      </c>
    </row>
    <row r="481" spans="1:33" s="14" customFormat="1">
      <c r="A481" s="133">
        <f t="shared" si="39"/>
        <v>424</v>
      </c>
      <c r="B481" s="11" t="s">
        <v>34</v>
      </c>
      <c r="C481" s="133" t="s">
        <v>1419</v>
      </c>
      <c r="D481" s="133" t="s">
        <v>1679</v>
      </c>
      <c r="E481" s="133"/>
      <c r="F481" s="133" t="s">
        <v>63</v>
      </c>
      <c r="G481" s="134" t="s">
        <v>1680</v>
      </c>
      <c r="H481" s="133" t="s">
        <v>246</v>
      </c>
      <c r="I481" s="133" t="s">
        <v>246</v>
      </c>
      <c r="J481" s="133" t="s">
        <v>1681</v>
      </c>
      <c r="K481" s="133" t="s">
        <v>1429</v>
      </c>
      <c r="L481" s="133">
        <v>250</v>
      </c>
      <c r="M481" s="133"/>
      <c r="N481" s="133" t="s">
        <v>93</v>
      </c>
      <c r="O481" s="133" t="s">
        <v>1682</v>
      </c>
      <c r="P481" s="133" t="s">
        <v>95</v>
      </c>
      <c r="Q481" s="133" t="s">
        <v>96</v>
      </c>
      <c r="R481" s="133" t="s">
        <v>482</v>
      </c>
      <c r="S481" s="133" t="s">
        <v>907</v>
      </c>
      <c r="T481" s="133" t="s">
        <v>907</v>
      </c>
      <c r="U481" s="133">
        <v>0</v>
      </c>
      <c r="V481" s="133">
        <v>0</v>
      </c>
      <c r="W481" s="133">
        <v>0</v>
      </c>
      <c r="X481" s="133">
        <v>0</v>
      </c>
      <c r="Y481" s="133">
        <v>0</v>
      </c>
      <c r="Z481" s="133">
        <v>0</v>
      </c>
      <c r="AA481" s="133">
        <v>0</v>
      </c>
      <c r="AB481" s="133">
        <v>0</v>
      </c>
      <c r="AC481" s="133">
        <v>0</v>
      </c>
      <c r="AD481" s="133"/>
      <c r="AE481" s="136" t="s">
        <v>1678</v>
      </c>
      <c r="AG481" s="137" t="s">
        <v>1683</v>
      </c>
    </row>
    <row r="482" spans="1:33" s="14" customFormat="1">
      <c r="A482" s="133">
        <f t="shared" si="39"/>
        <v>425</v>
      </c>
      <c r="B482" s="11" t="s">
        <v>738</v>
      </c>
      <c r="C482" s="133" t="s">
        <v>1684</v>
      </c>
      <c r="D482" s="133" t="s">
        <v>1685</v>
      </c>
      <c r="E482" s="133"/>
      <c r="F482" s="133" t="s">
        <v>37</v>
      </c>
      <c r="G482" s="134" t="s">
        <v>1686</v>
      </c>
      <c r="H482" s="133" t="s">
        <v>246</v>
      </c>
      <c r="I482" s="133" t="s">
        <v>246</v>
      </c>
      <c r="J482" s="135" t="s">
        <v>1687</v>
      </c>
      <c r="K482" s="133" t="s">
        <v>42</v>
      </c>
      <c r="L482" s="133">
        <v>160</v>
      </c>
      <c r="M482" s="133"/>
      <c r="N482" s="133" t="s">
        <v>43</v>
      </c>
      <c r="O482" s="133" t="s">
        <v>1688</v>
      </c>
      <c r="P482" s="133">
        <v>1992</v>
      </c>
      <c r="Q482" s="133">
        <v>1</v>
      </c>
      <c r="R482" s="133">
        <v>2</v>
      </c>
      <c r="S482" s="133">
        <v>0</v>
      </c>
      <c r="T482" s="133">
        <v>0</v>
      </c>
      <c r="U482" s="133">
        <v>0</v>
      </c>
      <c r="V482" s="133">
        <v>0</v>
      </c>
      <c r="W482" s="133">
        <v>0</v>
      </c>
      <c r="X482" s="133">
        <v>0</v>
      </c>
      <c r="Y482" s="133"/>
      <c r="Z482" s="133">
        <v>0</v>
      </c>
      <c r="AA482" s="133"/>
      <c r="AB482" s="133"/>
      <c r="AC482" s="133">
        <f t="shared" si="40"/>
        <v>0</v>
      </c>
      <c r="AD482" s="133"/>
      <c r="AE482" s="136"/>
      <c r="AG482" s="137"/>
    </row>
    <row r="483" spans="1:33" s="14" customFormat="1">
      <c r="A483" s="133">
        <f t="shared" si="39"/>
        <v>426</v>
      </c>
      <c r="B483" s="11" t="s">
        <v>738</v>
      </c>
      <c r="C483" s="133" t="s">
        <v>1684</v>
      </c>
      <c r="D483" s="133" t="s">
        <v>1689</v>
      </c>
      <c r="E483" s="133"/>
      <c r="F483" s="133" t="s">
        <v>37</v>
      </c>
      <c r="G483" s="134" t="s">
        <v>1690</v>
      </c>
      <c r="H483" s="133" t="s">
        <v>246</v>
      </c>
      <c r="I483" s="133" t="s">
        <v>246</v>
      </c>
      <c r="J483" s="135" t="s">
        <v>1691</v>
      </c>
      <c r="K483" s="133" t="s">
        <v>42</v>
      </c>
      <c r="L483" s="133">
        <v>250</v>
      </c>
      <c r="M483" s="133"/>
      <c r="N483" s="133" t="s">
        <v>664</v>
      </c>
      <c r="O483" s="133">
        <v>20071359</v>
      </c>
      <c r="P483" s="133">
        <v>2007</v>
      </c>
      <c r="Q483" s="133">
        <v>1</v>
      </c>
      <c r="R483" s="133">
        <v>3</v>
      </c>
      <c r="S483" s="133">
        <v>0</v>
      </c>
      <c r="T483" s="133">
        <v>0</v>
      </c>
      <c r="U483" s="133">
        <v>0</v>
      </c>
      <c r="V483" s="133">
        <v>0</v>
      </c>
      <c r="W483" s="133">
        <v>0</v>
      </c>
      <c r="X483" s="133">
        <v>0</v>
      </c>
      <c r="Y483" s="133"/>
      <c r="Z483" s="133">
        <v>0</v>
      </c>
      <c r="AA483" s="133"/>
      <c r="AB483" s="133"/>
      <c r="AC483" s="133">
        <f t="shared" si="40"/>
        <v>0</v>
      </c>
      <c r="AD483" s="133"/>
      <c r="AE483" s="136"/>
      <c r="AG483" s="137"/>
    </row>
    <row r="484" spans="1:33" s="14" customFormat="1">
      <c r="A484" s="133">
        <f t="shared" si="39"/>
        <v>427</v>
      </c>
      <c r="B484" s="11" t="s">
        <v>738</v>
      </c>
      <c r="C484" s="133" t="s">
        <v>1684</v>
      </c>
      <c r="D484" s="133" t="s">
        <v>1692</v>
      </c>
      <c r="E484" s="133"/>
      <c r="F484" s="133" t="s">
        <v>37</v>
      </c>
      <c r="G484" s="134" t="s">
        <v>1693</v>
      </c>
      <c r="H484" s="133" t="s">
        <v>246</v>
      </c>
      <c r="I484" s="133" t="s">
        <v>246</v>
      </c>
      <c r="J484" s="133">
        <v>1185</v>
      </c>
      <c r="K484" s="133" t="s">
        <v>42</v>
      </c>
      <c r="L484" s="133">
        <v>250</v>
      </c>
      <c r="M484" s="133"/>
      <c r="N484" s="133"/>
      <c r="O484" s="133"/>
      <c r="P484" s="133"/>
      <c r="Q484" s="133">
        <v>1</v>
      </c>
      <c r="R484" s="133">
        <f t="shared" ref="R484:R485" si="41">IF(H484="CANTOL",2,4)</f>
        <v>4</v>
      </c>
      <c r="S484" s="133"/>
      <c r="T484" s="133"/>
      <c r="U484" s="133"/>
      <c r="V484" s="133"/>
      <c r="W484" s="133"/>
      <c r="X484" s="133"/>
      <c r="Y484" s="133"/>
      <c r="Z484" s="133"/>
      <c r="AA484" s="133"/>
      <c r="AB484" s="133"/>
      <c r="AC484" s="133">
        <f t="shared" si="40"/>
        <v>0</v>
      </c>
      <c r="AD484" s="133"/>
      <c r="AE484" s="136"/>
      <c r="AG484" s="137"/>
    </row>
    <row r="485" spans="1:33" s="14" customFormat="1">
      <c r="A485" s="133">
        <f t="shared" si="39"/>
        <v>428</v>
      </c>
      <c r="B485" s="11" t="s">
        <v>738</v>
      </c>
      <c r="C485" s="133" t="s">
        <v>1684</v>
      </c>
      <c r="D485" s="133" t="s">
        <v>1694</v>
      </c>
      <c r="E485" s="133"/>
      <c r="F485" s="133" t="s">
        <v>37</v>
      </c>
      <c r="G485" s="134" t="s">
        <v>1695</v>
      </c>
      <c r="H485" s="133" t="s">
        <v>741</v>
      </c>
      <c r="I485" s="133" t="s">
        <v>741</v>
      </c>
      <c r="J485" s="135" t="s">
        <v>1696</v>
      </c>
      <c r="K485" s="133" t="s">
        <v>42</v>
      </c>
      <c r="L485" s="133">
        <v>100</v>
      </c>
      <c r="M485" s="133"/>
      <c r="N485" s="133" t="s">
        <v>43</v>
      </c>
      <c r="O485" s="133">
        <v>30925</v>
      </c>
      <c r="P485" s="133"/>
      <c r="Q485" s="133">
        <v>1</v>
      </c>
      <c r="R485" s="133">
        <f t="shared" si="41"/>
        <v>2</v>
      </c>
      <c r="S485" s="133">
        <v>0</v>
      </c>
      <c r="T485" s="133">
        <v>0</v>
      </c>
      <c r="U485" s="133">
        <v>0</v>
      </c>
      <c r="V485" s="133">
        <v>0</v>
      </c>
      <c r="W485" s="133">
        <v>0</v>
      </c>
      <c r="X485" s="133">
        <v>0</v>
      </c>
      <c r="Y485" s="133"/>
      <c r="Z485" s="133">
        <v>0</v>
      </c>
      <c r="AA485" s="133"/>
      <c r="AB485" s="133"/>
      <c r="AC485" s="133">
        <f t="shared" si="40"/>
        <v>0</v>
      </c>
      <c r="AD485" s="133"/>
      <c r="AE485" s="136"/>
      <c r="AG485" s="137"/>
    </row>
    <row r="486" spans="1:33" s="14" customFormat="1">
      <c r="A486" s="133">
        <f t="shared" si="39"/>
        <v>429</v>
      </c>
      <c r="B486" s="11" t="s">
        <v>738</v>
      </c>
      <c r="C486" s="133" t="s">
        <v>1684</v>
      </c>
      <c r="D486" s="133" t="s">
        <v>1697</v>
      </c>
      <c r="E486" s="133"/>
      <c r="F486" s="133" t="s">
        <v>37</v>
      </c>
      <c r="G486" s="134" t="s">
        <v>1698</v>
      </c>
      <c r="H486" s="133" t="s">
        <v>246</v>
      </c>
      <c r="I486" s="133" t="s">
        <v>246</v>
      </c>
      <c r="J486" s="135" t="s">
        <v>1699</v>
      </c>
      <c r="K486" s="133" t="s">
        <v>42</v>
      </c>
      <c r="L486" s="133">
        <v>100</v>
      </c>
      <c r="M486" s="133"/>
      <c r="N486" s="133" t="s">
        <v>780</v>
      </c>
      <c r="O486" s="133" t="s">
        <v>1700</v>
      </c>
      <c r="P486" s="133">
        <v>1983</v>
      </c>
      <c r="Q486" s="133">
        <v>1</v>
      </c>
      <c r="R486" s="133">
        <v>3</v>
      </c>
      <c r="S486" s="133">
        <v>0</v>
      </c>
      <c r="T486" s="133">
        <v>0</v>
      </c>
      <c r="U486" s="133">
        <v>0</v>
      </c>
      <c r="V486" s="133">
        <v>0</v>
      </c>
      <c r="W486" s="133">
        <v>0</v>
      </c>
      <c r="X486" s="133">
        <v>0</v>
      </c>
      <c r="Y486" s="133"/>
      <c r="Z486" s="133">
        <v>0</v>
      </c>
      <c r="AA486" s="133"/>
      <c r="AB486" s="133"/>
      <c r="AC486" s="133">
        <f t="shared" si="40"/>
        <v>0</v>
      </c>
      <c r="AD486" s="133"/>
      <c r="AE486" s="136"/>
      <c r="AG486" s="137"/>
    </row>
    <row r="487" spans="1:33" s="14" customFormat="1">
      <c r="A487" s="133">
        <f t="shared" si="39"/>
        <v>430</v>
      </c>
      <c r="B487" s="11" t="s">
        <v>738</v>
      </c>
      <c r="C487" s="133" t="s">
        <v>1684</v>
      </c>
      <c r="D487" s="133" t="s">
        <v>1701</v>
      </c>
      <c r="E487" s="133"/>
      <c r="F487" s="133" t="s">
        <v>37</v>
      </c>
      <c r="G487" s="134" t="s">
        <v>1702</v>
      </c>
      <c r="H487" s="133" t="s">
        <v>741</v>
      </c>
      <c r="I487" s="133" t="s">
        <v>741</v>
      </c>
      <c r="J487" s="135" t="s">
        <v>1703</v>
      </c>
      <c r="K487" s="133" t="s">
        <v>42</v>
      </c>
      <c r="L487" s="133">
        <v>50</v>
      </c>
      <c r="M487" s="133"/>
      <c r="N487" s="133" t="s">
        <v>43</v>
      </c>
      <c r="O487" s="133">
        <v>37741</v>
      </c>
      <c r="P487" s="133" t="s">
        <v>1304</v>
      </c>
      <c r="Q487" s="133">
        <v>1</v>
      </c>
      <c r="R487" s="133">
        <v>3</v>
      </c>
      <c r="S487" s="133">
        <v>0</v>
      </c>
      <c r="T487" s="133">
        <v>0</v>
      </c>
      <c r="U487" s="133">
        <v>0</v>
      </c>
      <c r="V487" s="133">
        <v>0</v>
      </c>
      <c r="W487" s="133">
        <v>0</v>
      </c>
      <c r="X487" s="133">
        <v>0</v>
      </c>
      <c r="Y487" s="133"/>
      <c r="Z487" s="133">
        <v>0</v>
      </c>
      <c r="AA487" s="133"/>
      <c r="AB487" s="133"/>
      <c r="AC487" s="133">
        <f t="shared" si="40"/>
        <v>0</v>
      </c>
      <c r="AD487" s="133"/>
      <c r="AE487" s="136"/>
      <c r="AG487" s="137"/>
    </row>
    <row r="488" spans="1:33" s="14" customFormat="1">
      <c r="A488" s="133">
        <f t="shared" si="39"/>
        <v>431</v>
      </c>
      <c r="B488" s="11" t="s">
        <v>738</v>
      </c>
      <c r="C488" s="133" t="s">
        <v>1684</v>
      </c>
      <c r="D488" s="133" t="s">
        <v>1704</v>
      </c>
      <c r="E488" s="133"/>
      <c r="F488" s="133" t="s">
        <v>37</v>
      </c>
      <c r="G488" s="134" t="s">
        <v>1705</v>
      </c>
      <c r="H488" s="133" t="s">
        <v>246</v>
      </c>
      <c r="I488" s="133" t="s">
        <v>246</v>
      </c>
      <c r="J488" s="135" t="s">
        <v>1706</v>
      </c>
      <c r="K488" s="133" t="s">
        <v>42</v>
      </c>
      <c r="L488" s="133">
        <v>160</v>
      </c>
      <c r="M488" s="133"/>
      <c r="N488" s="133" t="s">
        <v>664</v>
      </c>
      <c r="O488" s="133" t="s">
        <v>1707</v>
      </c>
      <c r="P488" s="133">
        <v>2003</v>
      </c>
      <c r="Q488" s="133">
        <v>1</v>
      </c>
      <c r="R488" s="133">
        <v>3</v>
      </c>
      <c r="S488" s="133">
        <v>0</v>
      </c>
      <c r="T488" s="133">
        <v>0</v>
      </c>
      <c r="U488" s="133">
        <v>0</v>
      </c>
      <c r="V488" s="133">
        <v>0</v>
      </c>
      <c r="W488" s="133">
        <v>0</v>
      </c>
      <c r="X488" s="133">
        <v>0</v>
      </c>
      <c r="Y488" s="133"/>
      <c r="Z488" s="133">
        <v>0</v>
      </c>
      <c r="AA488" s="133"/>
      <c r="AB488" s="133"/>
      <c r="AC488" s="133">
        <f t="shared" si="40"/>
        <v>0</v>
      </c>
      <c r="AD488" s="133"/>
      <c r="AE488" s="136"/>
      <c r="AG488" s="137"/>
    </row>
    <row r="489" spans="1:33" s="14" customFormat="1">
      <c r="A489" s="133">
        <f t="shared" si="39"/>
        <v>432</v>
      </c>
      <c r="B489" s="11" t="s">
        <v>738</v>
      </c>
      <c r="C489" s="133" t="s">
        <v>1684</v>
      </c>
      <c r="D489" s="133" t="s">
        <v>1708</v>
      </c>
      <c r="E489" s="133"/>
      <c r="F489" s="133" t="s">
        <v>37</v>
      </c>
      <c r="G489" s="134" t="s">
        <v>1709</v>
      </c>
      <c r="H489" s="133" t="s">
        <v>741</v>
      </c>
      <c r="I489" s="133" t="s">
        <v>741</v>
      </c>
      <c r="J489" s="135" t="s">
        <v>1710</v>
      </c>
      <c r="K489" s="133" t="s">
        <v>42</v>
      </c>
      <c r="L489" s="133">
        <v>100</v>
      </c>
      <c r="M489" s="133"/>
      <c r="N489" s="133" t="s">
        <v>424</v>
      </c>
      <c r="O489" s="133" t="s">
        <v>1711</v>
      </c>
      <c r="P489" s="133" t="s">
        <v>1102</v>
      </c>
      <c r="Q489" s="133">
        <v>1</v>
      </c>
      <c r="R489" s="133">
        <v>2</v>
      </c>
      <c r="S489" s="133">
        <v>0</v>
      </c>
      <c r="T489" s="133">
        <v>0</v>
      </c>
      <c r="U489" s="133">
        <v>0</v>
      </c>
      <c r="V489" s="133">
        <v>0</v>
      </c>
      <c r="W489" s="133">
        <v>0</v>
      </c>
      <c r="X489" s="133">
        <v>0</v>
      </c>
      <c r="Y489" s="133"/>
      <c r="Z489" s="133">
        <v>0</v>
      </c>
      <c r="AA489" s="133"/>
      <c r="AB489" s="133"/>
      <c r="AC489" s="133">
        <f t="shared" si="40"/>
        <v>0</v>
      </c>
      <c r="AD489" s="133"/>
      <c r="AE489" s="136"/>
      <c r="AG489" s="137"/>
    </row>
    <row r="490" spans="1:33" s="14" customFormat="1" ht="16">
      <c r="A490" s="133">
        <f t="shared" si="39"/>
        <v>433</v>
      </c>
      <c r="B490" s="11" t="s">
        <v>738</v>
      </c>
      <c r="C490" s="133" t="s">
        <v>1684</v>
      </c>
      <c r="D490" s="133" t="s">
        <v>1712</v>
      </c>
      <c r="E490" s="133"/>
      <c r="F490" s="133" t="s">
        <v>37</v>
      </c>
      <c r="G490" s="134" t="s">
        <v>1713</v>
      </c>
      <c r="H490" s="133" t="s">
        <v>741</v>
      </c>
      <c r="I490" s="133" t="s">
        <v>741</v>
      </c>
      <c r="J490" s="135" t="s">
        <v>1714</v>
      </c>
      <c r="K490" s="133" t="s">
        <v>42</v>
      </c>
      <c r="L490" s="133">
        <v>160</v>
      </c>
      <c r="M490" s="133"/>
      <c r="N490" s="133" t="s">
        <v>43</v>
      </c>
      <c r="O490" s="110" t="s">
        <v>1715</v>
      </c>
      <c r="P490" s="133" t="s">
        <v>61</v>
      </c>
      <c r="Q490" s="133">
        <v>1</v>
      </c>
      <c r="R490" s="133">
        <v>1</v>
      </c>
      <c r="S490" s="133">
        <v>0</v>
      </c>
      <c r="T490" s="133">
        <v>0</v>
      </c>
      <c r="U490" s="133">
        <v>0</v>
      </c>
      <c r="V490" s="133">
        <v>0</v>
      </c>
      <c r="W490" s="133">
        <v>0</v>
      </c>
      <c r="X490" s="133">
        <v>0</v>
      </c>
      <c r="Y490" s="133"/>
      <c r="Z490" s="133">
        <v>0</v>
      </c>
      <c r="AA490" s="133"/>
      <c r="AB490" s="133"/>
      <c r="AC490" s="133">
        <f t="shared" si="40"/>
        <v>0</v>
      </c>
      <c r="AD490" s="133"/>
      <c r="AE490" s="136"/>
      <c r="AG490" s="137"/>
    </row>
    <row r="491" spans="1:33" s="14" customFormat="1" ht="16">
      <c r="A491" s="133">
        <f t="shared" si="39"/>
        <v>434</v>
      </c>
      <c r="B491" s="11" t="s">
        <v>738</v>
      </c>
      <c r="C491" s="133" t="s">
        <v>1684</v>
      </c>
      <c r="D491" s="133" t="s">
        <v>1716</v>
      </c>
      <c r="E491" s="133"/>
      <c r="F491" s="133" t="s">
        <v>37</v>
      </c>
      <c r="G491" s="134" t="s">
        <v>1713</v>
      </c>
      <c r="H491" s="133" t="s">
        <v>741</v>
      </c>
      <c r="I491" s="133" t="s">
        <v>741</v>
      </c>
      <c r="J491" s="133"/>
      <c r="K491" s="133" t="s">
        <v>42</v>
      </c>
      <c r="L491" s="133">
        <v>160</v>
      </c>
      <c r="M491" s="133"/>
      <c r="N491" s="133"/>
      <c r="O491" s="110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  <c r="AA491" s="133"/>
      <c r="AB491" s="133"/>
      <c r="AC491" s="133"/>
      <c r="AD491" s="133"/>
      <c r="AE491" s="136"/>
      <c r="AG491" s="137"/>
    </row>
    <row r="492" spans="1:33" s="14" customFormat="1">
      <c r="A492" s="133">
        <f t="shared" si="39"/>
        <v>435</v>
      </c>
      <c r="B492" s="11" t="s">
        <v>738</v>
      </c>
      <c r="C492" s="133" t="s">
        <v>1684</v>
      </c>
      <c r="D492" s="133" t="s">
        <v>1717</v>
      </c>
      <c r="E492" s="133"/>
      <c r="F492" s="133" t="s">
        <v>37</v>
      </c>
      <c r="G492" s="134" t="s">
        <v>1718</v>
      </c>
      <c r="H492" s="133" t="s">
        <v>246</v>
      </c>
      <c r="I492" s="133" t="s">
        <v>246</v>
      </c>
      <c r="J492" s="135" t="s">
        <v>1719</v>
      </c>
      <c r="K492" s="133" t="s">
        <v>42</v>
      </c>
      <c r="L492" s="133">
        <v>400</v>
      </c>
      <c r="M492" s="133"/>
      <c r="N492" s="133" t="s">
        <v>424</v>
      </c>
      <c r="O492" s="133" t="s">
        <v>1720</v>
      </c>
      <c r="P492" s="133" t="s">
        <v>1721</v>
      </c>
      <c r="Q492" s="133">
        <v>1</v>
      </c>
      <c r="R492" s="133">
        <v>4</v>
      </c>
      <c r="S492" s="133">
        <v>0</v>
      </c>
      <c r="T492" s="133">
        <v>0</v>
      </c>
      <c r="U492" s="133">
        <v>0</v>
      </c>
      <c r="V492" s="133">
        <v>0</v>
      </c>
      <c r="W492" s="133">
        <v>0</v>
      </c>
      <c r="X492" s="133">
        <v>0</v>
      </c>
      <c r="Y492" s="133"/>
      <c r="Z492" s="133">
        <v>0</v>
      </c>
      <c r="AA492" s="133"/>
      <c r="AB492" s="133"/>
      <c r="AC492" s="133">
        <f t="shared" si="40"/>
        <v>0</v>
      </c>
      <c r="AD492" s="133"/>
      <c r="AE492" s="136" t="s">
        <v>1484</v>
      </c>
      <c r="AG492" s="137" t="s">
        <v>1484</v>
      </c>
    </row>
    <row r="493" spans="1:33" s="14" customFormat="1">
      <c r="A493" s="133">
        <f t="shared" si="39"/>
        <v>436</v>
      </c>
      <c r="B493" s="11" t="s">
        <v>738</v>
      </c>
      <c r="C493" s="133" t="s">
        <v>1684</v>
      </c>
      <c r="D493" s="133" t="s">
        <v>1722</v>
      </c>
      <c r="E493" s="133"/>
      <c r="F493" s="133" t="s">
        <v>37</v>
      </c>
      <c r="G493" s="134" t="s">
        <v>1723</v>
      </c>
      <c r="H493" s="133" t="s">
        <v>246</v>
      </c>
      <c r="I493" s="133" t="s">
        <v>246</v>
      </c>
      <c r="J493" s="133"/>
      <c r="K493" s="133" t="s">
        <v>42</v>
      </c>
      <c r="L493" s="133">
        <v>250</v>
      </c>
      <c r="M493" s="133"/>
      <c r="N493" s="133" t="s">
        <v>1724</v>
      </c>
      <c r="O493" s="133" t="s">
        <v>1725</v>
      </c>
      <c r="P493" s="133" t="s">
        <v>444</v>
      </c>
      <c r="Q493" s="133" t="s">
        <v>96</v>
      </c>
      <c r="R493" s="133" t="s">
        <v>84</v>
      </c>
      <c r="S493" s="133"/>
      <c r="T493" s="133"/>
      <c r="U493" s="133"/>
      <c r="V493" s="133"/>
      <c r="W493" s="133"/>
      <c r="X493" s="133"/>
      <c r="Y493" s="133"/>
      <c r="Z493" s="133"/>
      <c r="AA493" s="133"/>
      <c r="AB493" s="133"/>
      <c r="AC493" s="133"/>
      <c r="AD493" s="133"/>
      <c r="AE493" s="136"/>
      <c r="AG493" s="137"/>
    </row>
    <row r="494" spans="1:33" s="14" customFormat="1">
      <c r="A494" s="133">
        <f t="shared" si="39"/>
        <v>437</v>
      </c>
      <c r="B494" s="11" t="s">
        <v>738</v>
      </c>
      <c r="C494" s="133" t="s">
        <v>1684</v>
      </c>
      <c r="D494" s="133" t="s">
        <v>1726</v>
      </c>
      <c r="E494" s="133"/>
      <c r="F494" s="133" t="s">
        <v>37</v>
      </c>
      <c r="G494" s="134" t="s">
        <v>1727</v>
      </c>
      <c r="H494" s="133" t="s">
        <v>246</v>
      </c>
      <c r="I494" s="133" t="s">
        <v>246</v>
      </c>
      <c r="J494" s="133" t="s">
        <v>1728</v>
      </c>
      <c r="K494" s="133" t="s">
        <v>42</v>
      </c>
      <c r="L494" s="133">
        <v>100</v>
      </c>
      <c r="M494" s="133"/>
      <c r="N494" s="133" t="s">
        <v>664</v>
      </c>
      <c r="O494" s="133" t="s">
        <v>1729</v>
      </c>
      <c r="P494" s="133" t="s">
        <v>255</v>
      </c>
      <c r="Q494" s="133">
        <v>1</v>
      </c>
      <c r="R494" s="133" t="s">
        <v>482</v>
      </c>
      <c r="S494" s="133">
        <v>0</v>
      </c>
      <c r="T494" s="133">
        <v>0</v>
      </c>
      <c r="U494" s="133">
        <v>0</v>
      </c>
      <c r="V494" s="133">
        <v>0</v>
      </c>
      <c r="W494" s="133">
        <v>0</v>
      </c>
      <c r="X494" s="133">
        <v>0</v>
      </c>
      <c r="Y494" s="133"/>
      <c r="Z494" s="133">
        <v>0</v>
      </c>
      <c r="AA494" s="133"/>
      <c r="AB494" s="133"/>
      <c r="AC494" s="133">
        <f t="shared" ref="AC494" si="42">SUM(U494:AB494)</f>
        <v>0</v>
      </c>
      <c r="AD494" s="133"/>
      <c r="AE494" s="136"/>
      <c r="AG494" s="137"/>
    </row>
    <row r="495" spans="1:33" s="14" customFormat="1">
      <c r="A495" s="133">
        <f t="shared" si="39"/>
        <v>438</v>
      </c>
      <c r="B495" s="11" t="s">
        <v>738</v>
      </c>
      <c r="C495" s="133" t="s">
        <v>1684</v>
      </c>
      <c r="D495" s="133" t="s">
        <v>1730</v>
      </c>
      <c r="E495" s="133"/>
      <c r="F495" s="133" t="s">
        <v>37</v>
      </c>
      <c r="G495" s="134" t="s">
        <v>1731</v>
      </c>
      <c r="H495" s="133" t="s">
        <v>741</v>
      </c>
      <c r="I495" s="133" t="s">
        <v>741</v>
      </c>
      <c r="J495" s="135" t="s">
        <v>1732</v>
      </c>
      <c r="K495" s="133" t="s">
        <v>42</v>
      </c>
      <c r="L495" s="133">
        <v>100</v>
      </c>
      <c r="M495" s="133"/>
      <c r="N495" s="133" t="s">
        <v>43</v>
      </c>
      <c r="O495" s="133"/>
      <c r="P495" s="133"/>
      <c r="Q495" s="133">
        <v>1</v>
      </c>
      <c r="R495" s="133">
        <v>2</v>
      </c>
      <c r="S495" s="133">
        <v>0</v>
      </c>
      <c r="T495" s="133">
        <v>0</v>
      </c>
      <c r="U495" s="133">
        <v>0</v>
      </c>
      <c r="V495" s="133">
        <v>0</v>
      </c>
      <c r="W495" s="133">
        <v>0</v>
      </c>
      <c r="X495" s="133">
        <v>0</v>
      </c>
      <c r="Y495" s="133"/>
      <c r="Z495" s="133">
        <v>0</v>
      </c>
      <c r="AA495" s="133"/>
      <c r="AB495" s="133"/>
      <c r="AC495" s="133">
        <f t="shared" si="40"/>
        <v>0</v>
      </c>
      <c r="AD495" s="133"/>
      <c r="AE495" s="136"/>
      <c r="AG495" s="137"/>
    </row>
    <row r="496" spans="1:33" s="14" customFormat="1">
      <c r="A496" s="133">
        <f t="shared" si="39"/>
        <v>439</v>
      </c>
      <c r="B496" s="11" t="s">
        <v>738</v>
      </c>
      <c r="C496" s="133" t="s">
        <v>1684</v>
      </c>
      <c r="D496" s="133" t="s">
        <v>1733</v>
      </c>
      <c r="E496" s="133"/>
      <c r="F496" s="133" t="s">
        <v>37</v>
      </c>
      <c r="G496" s="134" t="s">
        <v>1731</v>
      </c>
      <c r="H496" s="133" t="s">
        <v>246</v>
      </c>
      <c r="I496" s="133" t="s">
        <v>246</v>
      </c>
      <c r="J496" s="135" t="s">
        <v>1734</v>
      </c>
      <c r="K496" s="133" t="s">
        <v>42</v>
      </c>
      <c r="L496" s="133">
        <v>100</v>
      </c>
      <c r="M496" s="133"/>
      <c r="N496" s="133" t="s">
        <v>43</v>
      </c>
      <c r="O496" s="133">
        <v>84755</v>
      </c>
      <c r="P496" s="133">
        <v>2009</v>
      </c>
      <c r="Q496" s="133">
        <v>1</v>
      </c>
      <c r="R496" s="133">
        <v>2</v>
      </c>
      <c r="S496" s="133">
        <v>0</v>
      </c>
      <c r="T496" s="133">
        <v>0</v>
      </c>
      <c r="U496" s="133">
        <v>0</v>
      </c>
      <c r="V496" s="133">
        <v>0</v>
      </c>
      <c r="W496" s="133">
        <v>0</v>
      </c>
      <c r="X496" s="133">
        <v>0</v>
      </c>
      <c r="Y496" s="133"/>
      <c r="Z496" s="133">
        <v>0</v>
      </c>
      <c r="AA496" s="133"/>
      <c r="AB496" s="133"/>
      <c r="AC496" s="133">
        <f t="shared" si="40"/>
        <v>0</v>
      </c>
      <c r="AD496" s="133"/>
      <c r="AE496" s="136"/>
      <c r="AG496" s="137"/>
    </row>
    <row r="497" spans="1:33" s="14" customFormat="1">
      <c r="A497" s="133">
        <f t="shared" si="39"/>
        <v>440</v>
      </c>
      <c r="B497" s="11" t="s">
        <v>738</v>
      </c>
      <c r="C497" s="133" t="s">
        <v>1684</v>
      </c>
      <c r="D497" s="133" t="s">
        <v>1735</v>
      </c>
      <c r="E497" s="133"/>
      <c r="F497" s="133" t="s">
        <v>37</v>
      </c>
      <c r="G497" s="134" t="s">
        <v>1736</v>
      </c>
      <c r="H497" s="133" t="s">
        <v>741</v>
      </c>
      <c r="I497" s="133" t="s">
        <v>741</v>
      </c>
      <c r="J497" s="135" t="s">
        <v>1737</v>
      </c>
      <c r="K497" s="133" t="s">
        <v>42</v>
      </c>
      <c r="L497" s="133">
        <v>50</v>
      </c>
      <c r="M497" s="133"/>
      <c r="N497" s="133" t="s">
        <v>664</v>
      </c>
      <c r="O497" s="133"/>
      <c r="P497" s="133"/>
      <c r="Q497" s="133">
        <v>1</v>
      </c>
      <c r="R497" s="133">
        <v>1</v>
      </c>
      <c r="S497" s="133">
        <v>0</v>
      </c>
      <c r="T497" s="133">
        <v>0</v>
      </c>
      <c r="U497" s="133">
        <v>0</v>
      </c>
      <c r="V497" s="133">
        <v>0</v>
      </c>
      <c r="W497" s="133">
        <v>0</v>
      </c>
      <c r="X497" s="133">
        <v>0</v>
      </c>
      <c r="Y497" s="133"/>
      <c r="Z497" s="133">
        <v>0</v>
      </c>
      <c r="AA497" s="133"/>
      <c r="AB497" s="133"/>
      <c r="AC497" s="133">
        <f t="shared" si="40"/>
        <v>0</v>
      </c>
      <c r="AD497" s="133"/>
      <c r="AE497" s="136"/>
      <c r="AG497" s="137"/>
    </row>
    <row r="498" spans="1:33" s="14" customFormat="1">
      <c r="A498" s="133">
        <f t="shared" si="39"/>
        <v>441</v>
      </c>
      <c r="B498" s="11" t="s">
        <v>738</v>
      </c>
      <c r="C498" s="133" t="s">
        <v>1684</v>
      </c>
      <c r="D498" s="133" t="s">
        <v>1738</v>
      </c>
      <c r="E498" s="133"/>
      <c r="F498" s="133" t="s">
        <v>37</v>
      </c>
      <c r="G498" s="134" t="s">
        <v>1739</v>
      </c>
      <c r="H498" s="133" t="s">
        <v>741</v>
      </c>
      <c r="I498" s="133" t="s">
        <v>741</v>
      </c>
      <c r="J498" s="135" t="s">
        <v>1740</v>
      </c>
      <c r="K498" s="133" t="s">
        <v>42</v>
      </c>
      <c r="L498" s="133">
        <v>50</v>
      </c>
      <c r="M498" s="133"/>
      <c r="N498" s="133" t="s">
        <v>1143</v>
      </c>
      <c r="O498" s="133" t="s">
        <v>1741</v>
      </c>
      <c r="P498" s="133">
        <v>1984</v>
      </c>
      <c r="Q498" s="133">
        <v>1</v>
      </c>
      <c r="R498" s="133">
        <f>IF(H498="CANTOL",2,4)</f>
        <v>2</v>
      </c>
      <c r="S498" s="133">
        <v>0</v>
      </c>
      <c r="T498" s="133">
        <v>0</v>
      </c>
      <c r="U498" s="133">
        <v>0</v>
      </c>
      <c r="V498" s="133">
        <v>0</v>
      </c>
      <c r="W498" s="133">
        <v>0</v>
      </c>
      <c r="X498" s="133">
        <v>0</v>
      </c>
      <c r="Y498" s="133"/>
      <c r="Z498" s="133">
        <v>0</v>
      </c>
      <c r="AA498" s="133"/>
      <c r="AB498" s="133"/>
      <c r="AC498" s="133">
        <f t="shared" si="40"/>
        <v>0</v>
      </c>
      <c r="AD498" s="133"/>
      <c r="AE498" s="136"/>
      <c r="AG498" s="137"/>
    </row>
    <row r="499" spans="1:33" s="14" customFormat="1">
      <c r="A499" s="133">
        <f t="shared" si="39"/>
        <v>442</v>
      </c>
      <c r="B499" s="11" t="s">
        <v>738</v>
      </c>
      <c r="C499" s="133" t="s">
        <v>1684</v>
      </c>
      <c r="D499" s="133" t="s">
        <v>1742</v>
      </c>
      <c r="E499" s="133"/>
      <c r="F499" s="133" t="s">
        <v>37</v>
      </c>
      <c r="G499" s="134" t="s">
        <v>1743</v>
      </c>
      <c r="H499" s="133" t="s">
        <v>741</v>
      </c>
      <c r="I499" s="133" t="s">
        <v>741</v>
      </c>
      <c r="J499" s="135" t="s">
        <v>1744</v>
      </c>
      <c r="K499" s="133" t="s">
        <v>42</v>
      </c>
      <c r="L499" s="133">
        <v>50</v>
      </c>
      <c r="M499" s="133"/>
      <c r="N499" s="133" t="s">
        <v>903</v>
      </c>
      <c r="O499" s="133" t="s">
        <v>1745</v>
      </c>
      <c r="P499" s="133" t="s">
        <v>255</v>
      </c>
      <c r="Q499" s="133">
        <v>1</v>
      </c>
      <c r="R499" s="133" t="s">
        <v>482</v>
      </c>
      <c r="S499" s="133">
        <v>0</v>
      </c>
      <c r="T499" s="133">
        <v>0</v>
      </c>
      <c r="U499" s="133">
        <v>0</v>
      </c>
      <c r="V499" s="133">
        <v>0</v>
      </c>
      <c r="W499" s="133">
        <v>0</v>
      </c>
      <c r="X499" s="133">
        <v>0</v>
      </c>
      <c r="Y499" s="133"/>
      <c r="Z499" s="133">
        <v>0</v>
      </c>
      <c r="AA499" s="133"/>
      <c r="AB499" s="133"/>
      <c r="AC499" s="133">
        <f t="shared" si="40"/>
        <v>0</v>
      </c>
      <c r="AD499" s="133"/>
      <c r="AE499" s="136"/>
      <c r="AG499" s="137"/>
    </row>
    <row r="500" spans="1:33" s="14" customFormat="1">
      <c r="A500" s="133">
        <f t="shared" si="39"/>
        <v>443</v>
      </c>
      <c r="B500" s="11" t="s">
        <v>738</v>
      </c>
      <c r="C500" s="133" t="s">
        <v>1684</v>
      </c>
      <c r="D500" s="133" t="s">
        <v>1746</v>
      </c>
      <c r="E500" s="133"/>
      <c r="F500" s="133" t="s">
        <v>37</v>
      </c>
      <c r="G500" s="134" t="s">
        <v>1747</v>
      </c>
      <c r="H500" s="133" t="s">
        <v>741</v>
      </c>
      <c r="I500" s="133" t="s">
        <v>741</v>
      </c>
      <c r="J500" s="135" t="s">
        <v>1748</v>
      </c>
      <c r="K500" s="133" t="s">
        <v>42</v>
      </c>
      <c r="L500" s="133">
        <v>100</v>
      </c>
      <c r="M500" s="133"/>
      <c r="N500" s="133" t="s">
        <v>93</v>
      </c>
      <c r="O500" s="133">
        <v>90401.5</v>
      </c>
      <c r="P500" s="133"/>
      <c r="Q500" s="133">
        <v>1</v>
      </c>
      <c r="R500" s="133">
        <v>2</v>
      </c>
      <c r="S500" s="133">
        <v>0</v>
      </c>
      <c r="T500" s="133">
        <v>0</v>
      </c>
      <c r="U500" s="133">
        <v>0</v>
      </c>
      <c r="V500" s="133">
        <v>0</v>
      </c>
      <c r="W500" s="133">
        <v>0</v>
      </c>
      <c r="X500" s="133">
        <v>0</v>
      </c>
      <c r="Y500" s="133"/>
      <c r="Z500" s="133">
        <v>0</v>
      </c>
      <c r="AA500" s="133"/>
      <c r="AB500" s="133"/>
      <c r="AC500" s="133">
        <f t="shared" si="40"/>
        <v>0</v>
      </c>
      <c r="AD500" s="133"/>
      <c r="AE500" s="136"/>
      <c r="AG500" s="137"/>
    </row>
    <row r="501" spans="1:33" s="14" customFormat="1">
      <c r="A501" s="133">
        <f t="shared" si="39"/>
        <v>444</v>
      </c>
      <c r="B501" s="11" t="s">
        <v>738</v>
      </c>
      <c r="C501" s="133" t="s">
        <v>1684</v>
      </c>
      <c r="D501" s="133" t="s">
        <v>1749</v>
      </c>
      <c r="E501" s="133"/>
      <c r="F501" s="133" t="s">
        <v>37</v>
      </c>
      <c r="G501" s="134" t="s">
        <v>1750</v>
      </c>
      <c r="H501" s="133" t="s">
        <v>741</v>
      </c>
      <c r="I501" s="133" t="s">
        <v>741</v>
      </c>
      <c r="J501" s="135" t="s">
        <v>1751</v>
      </c>
      <c r="K501" s="133" t="s">
        <v>42</v>
      </c>
      <c r="L501" s="133">
        <v>100</v>
      </c>
      <c r="M501" s="133"/>
      <c r="N501" s="133" t="s">
        <v>664</v>
      </c>
      <c r="O501" s="133" t="s">
        <v>1752</v>
      </c>
      <c r="P501" s="133" t="s">
        <v>95</v>
      </c>
      <c r="Q501" s="133">
        <v>1</v>
      </c>
      <c r="R501" s="133" t="s">
        <v>482</v>
      </c>
      <c r="S501" s="133">
        <v>0</v>
      </c>
      <c r="T501" s="133">
        <v>0</v>
      </c>
      <c r="U501" s="133">
        <v>0</v>
      </c>
      <c r="V501" s="133">
        <v>0</v>
      </c>
      <c r="W501" s="133">
        <v>0</v>
      </c>
      <c r="X501" s="133">
        <v>0</v>
      </c>
      <c r="Y501" s="133"/>
      <c r="Z501" s="133">
        <v>0</v>
      </c>
      <c r="AA501" s="133"/>
      <c r="AB501" s="133"/>
      <c r="AC501" s="133">
        <f t="shared" si="40"/>
        <v>0</v>
      </c>
      <c r="AD501" s="133"/>
      <c r="AE501" s="136"/>
      <c r="AG501" s="137"/>
    </row>
    <row r="502" spans="1:33" s="14" customFormat="1">
      <c r="A502" s="133">
        <f t="shared" si="39"/>
        <v>445</v>
      </c>
      <c r="B502" s="11" t="s">
        <v>738</v>
      </c>
      <c r="C502" s="133" t="s">
        <v>1684</v>
      </c>
      <c r="D502" s="133" t="s">
        <v>1753</v>
      </c>
      <c r="E502" s="133"/>
      <c r="F502" s="133" t="s">
        <v>37</v>
      </c>
      <c r="G502" s="134" t="s">
        <v>1754</v>
      </c>
      <c r="H502" s="133" t="s">
        <v>246</v>
      </c>
      <c r="I502" s="133" t="s">
        <v>246</v>
      </c>
      <c r="J502" s="135" t="s">
        <v>1755</v>
      </c>
      <c r="K502" s="133" t="s">
        <v>42</v>
      </c>
      <c r="L502" s="133">
        <v>160</v>
      </c>
      <c r="M502" s="133"/>
      <c r="N502" s="133" t="s">
        <v>1143</v>
      </c>
      <c r="O502" s="133" t="s">
        <v>1756</v>
      </c>
      <c r="P502" s="133"/>
      <c r="Q502" s="133">
        <v>1</v>
      </c>
      <c r="R502" s="133">
        <v>2</v>
      </c>
      <c r="S502" s="133">
        <v>0</v>
      </c>
      <c r="T502" s="133">
        <v>0</v>
      </c>
      <c r="U502" s="133">
        <v>0</v>
      </c>
      <c r="V502" s="133">
        <v>0</v>
      </c>
      <c r="W502" s="133">
        <v>0</v>
      </c>
      <c r="X502" s="133">
        <v>0</v>
      </c>
      <c r="Y502" s="133"/>
      <c r="Z502" s="133">
        <v>0</v>
      </c>
      <c r="AA502" s="133"/>
      <c r="AB502" s="133"/>
      <c r="AC502" s="133">
        <f t="shared" si="40"/>
        <v>0</v>
      </c>
      <c r="AD502" s="133"/>
      <c r="AE502" s="136"/>
      <c r="AG502" s="137"/>
    </row>
    <row r="503" spans="1:33" s="99" customFormat="1">
      <c r="A503" s="130">
        <f t="shared" si="39"/>
        <v>446</v>
      </c>
      <c r="B503" s="96" t="s">
        <v>738</v>
      </c>
      <c r="C503" s="130" t="s">
        <v>1684</v>
      </c>
      <c r="D503" s="130" t="s">
        <v>1757</v>
      </c>
      <c r="E503" s="130"/>
      <c r="F503" s="130" t="s">
        <v>37</v>
      </c>
      <c r="G503" s="139" t="s">
        <v>1758</v>
      </c>
      <c r="H503" s="130" t="s">
        <v>741</v>
      </c>
      <c r="I503" s="130" t="s">
        <v>741</v>
      </c>
      <c r="J503" s="140" t="s">
        <v>1759</v>
      </c>
      <c r="K503" s="130" t="s">
        <v>42</v>
      </c>
      <c r="L503" s="130">
        <v>100</v>
      </c>
      <c r="M503" s="130"/>
      <c r="N503" s="130" t="s">
        <v>664</v>
      </c>
      <c r="O503" s="130" t="s">
        <v>1760</v>
      </c>
      <c r="P503" s="130">
        <v>2024</v>
      </c>
      <c r="Q503" s="130">
        <v>1</v>
      </c>
      <c r="R503" s="130">
        <v>2</v>
      </c>
      <c r="S503" s="130">
        <v>0</v>
      </c>
      <c r="T503" s="130">
        <v>0</v>
      </c>
      <c r="U503" s="130">
        <v>0</v>
      </c>
      <c r="V503" s="130">
        <v>0</v>
      </c>
      <c r="W503" s="130">
        <v>0</v>
      </c>
      <c r="X503" s="130">
        <v>0</v>
      </c>
      <c r="Y503" s="130"/>
      <c r="Z503" s="130">
        <v>0</v>
      </c>
      <c r="AA503" s="130"/>
      <c r="AB503" s="130"/>
      <c r="AC503" s="130">
        <f t="shared" si="40"/>
        <v>0</v>
      </c>
      <c r="AD503" s="130"/>
      <c r="AE503" s="131"/>
      <c r="AG503" s="132"/>
    </row>
    <row r="504" spans="1:33" s="14" customFormat="1">
      <c r="A504" s="133">
        <f t="shared" si="39"/>
        <v>447</v>
      </c>
      <c r="B504" s="11" t="s">
        <v>738</v>
      </c>
      <c r="C504" s="133" t="s">
        <v>1684</v>
      </c>
      <c r="D504" s="133" t="s">
        <v>1761</v>
      </c>
      <c r="E504" s="133"/>
      <c r="F504" s="133" t="s">
        <v>37</v>
      </c>
      <c r="G504" s="134" t="s">
        <v>1762</v>
      </c>
      <c r="H504" s="133" t="s">
        <v>741</v>
      </c>
      <c r="I504" s="133" t="s">
        <v>741</v>
      </c>
      <c r="J504" s="135" t="s">
        <v>1763</v>
      </c>
      <c r="K504" s="133" t="s">
        <v>42</v>
      </c>
      <c r="L504" s="133">
        <v>100</v>
      </c>
      <c r="M504" s="133"/>
      <c r="N504" s="133" t="s">
        <v>43</v>
      </c>
      <c r="O504" s="133" t="s">
        <v>1764</v>
      </c>
      <c r="P504" s="133">
        <v>1986</v>
      </c>
      <c r="Q504" s="133">
        <v>1</v>
      </c>
      <c r="R504" s="133">
        <v>2</v>
      </c>
      <c r="S504" s="133">
        <v>0</v>
      </c>
      <c r="T504" s="133">
        <v>0</v>
      </c>
      <c r="U504" s="133">
        <v>0</v>
      </c>
      <c r="V504" s="133">
        <v>0</v>
      </c>
      <c r="W504" s="133">
        <v>0</v>
      </c>
      <c r="X504" s="133">
        <v>0</v>
      </c>
      <c r="Y504" s="133"/>
      <c r="Z504" s="133">
        <v>0</v>
      </c>
      <c r="AA504" s="133"/>
      <c r="AB504" s="133"/>
      <c r="AC504" s="133">
        <f t="shared" si="40"/>
        <v>0</v>
      </c>
      <c r="AD504" s="133"/>
      <c r="AE504" s="136"/>
      <c r="AG504" s="137"/>
    </row>
    <row r="505" spans="1:33" s="14" customFormat="1">
      <c r="A505" s="133">
        <f t="shared" si="39"/>
        <v>448</v>
      </c>
      <c r="B505" s="11" t="s">
        <v>738</v>
      </c>
      <c r="C505" s="133" t="s">
        <v>1684</v>
      </c>
      <c r="D505" s="133" t="s">
        <v>1765</v>
      </c>
      <c r="E505" s="133"/>
      <c r="F505" s="133" t="s">
        <v>37</v>
      </c>
      <c r="G505" s="134" t="s">
        <v>1766</v>
      </c>
      <c r="H505" s="133" t="s">
        <v>741</v>
      </c>
      <c r="I505" s="133" t="s">
        <v>741</v>
      </c>
      <c r="J505" s="135" t="s">
        <v>1767</v>
      </c>
      <c r="K505" s="133" t="s">
        <v>1098</v>
      </c>
      <c r="L505" s="133">
        <v>50</v>
      </c>
      <c r="M505" s="133"/>
      <c r="N505" s="133" t="s">
        <v>664</v>
      </c>
      <c r="O505" s="133">
        <v>20092133</v>
      </c>
      <c r="P505" s="133">
        <v>2009</v>
      </c>
      <c r="Q505" s="133">
        <v>1</v>
      </c>
      <c r="R505" s="133">
        <v>2</v>
      </c>
      <c r="S505" s="133">
        <v>0</v>
      </c>
      <c r="T505" s="133">
        <v>0</v>
      </c>
      <c r="U505" s="133">
        <v>0</v>
      </c>
      <c r="V505" s="133">
        <v>0</v>
      </c>
      <c r="W505" s="133">
        <v>0</v>
      </c>
      <c r="X505" s="133">
        <v>0</v>
      </c>
      <c r="Y505" s="133"/>
      <c r="Z505" s="133">
        <v>0</v>
      </c>
      <c r="AA505" s="133"/>
      <c r="AB505" s="133"/>
      <c r="AC505" s="133">
        <f t="shared" si="40"/>
        <v>0</v>
      </c>
      <c r="AD505" s="133"/>
      <c r="AE505" s="136"/>
      <c r="AG505" s="137"/>
    </row>
    <row r="506" spans="1:33" s="14" customFormat="1">
      <c r="A506" s="133">
        <f t="shared" si="39"/>
        <v>449</v>
      </c>
      <c r="B506" s="11" t="s">
        <v>738</v>
      </c>
      <c r="C506" s="133" t="s">
        <v>1684</v>
      </c>
      <c r="D506" s="133" t="s">
        <v>1768</v>
      </c>
      <c r="E506" s="133"/>
      <c r="F506" s="133" t="s">
        <v>37</v>
      </c>
      <c r="G506" s="134" t="s">
        <v>1769</v>
      </c>
      <c r="H506" s="133" t="s">
        <v>741</v>
      </c>
      <c r="I506" s="133" t="s">
        <v>741</v>
      </c>
      <c r="J506" s="135" t="s">
        <v>1770</v>
      </c>
      <c r="K506" s="133" t="s">
        <v>1098</v>
      </c>
      <c r="L506" s="133">
        <v>100</v>
      </c>
      <c r="M506" s="133"/>
      <c r="N506" s="133" t="s">
        <v>93</v>
      </c>
      <c r="O506" s="133" t="s">
        <v>1499</v>
      </c>
      <c r="P506" s="133">
        <v>1992</v>
      </c>
      <c r="Q506" s="133">
        <v>1</v>
      </c>
      <c r="R506" s="133">
        <v>2</v>
      </c>
      <c r="S506" s="133">
        <v>0</v>
      </c>
      <c r="T506" s="133">
        <v>0</v>
      </c>
      <c r="U506" s="133">
        <v>0</v>
      </c>
      <c r="V506" s="133">
        <v>0</v>
      </c>
      <c r="W506" s="133">
        <v>0</v>
      </c>
      <c r="X506" s="133">
        <v>0</v>
      </c>
      <c r="Y506" s="133"/>
      <c r="Z506" s="133">
        <v>0</v>
      </c>
      <c r="AA506" s="133"/>
      <c r="AB506" s="133"/>
      <c r="AC506" s="133">
        <f t="shared" si="40"/>
        <v>0</v>
      </c>
      <c r="AD506" s="133"/>
      <c r="AE506" s="136"/>
      <c r="AG506" s="137"/>
    </row>
    <row r="507" spans="1:33" s="14" customFormat="1">
      <c r="A507" s="133">
        <f t="shared" si="39"/>
        <v>450</v>
      </c>
      <c r="B507" s="11" t="s">
        <v>738</v>
      </c>
      <c r="C507" s="133" t="s">
        <v>1684</v>
      </c>
      <c r="D507" s="133" t="s">
        <v>1771</v>
      </c>
      <c r="E507" s="133"/>
      <c r="F507" s="133" t="s">
        <v>37</v>
      </c>
      <c r="G507" s="134" t="s">
        <v>568</v>
      </c>
      <c r="H507" s="133" t="s">
        <v>246</v>
      </c>
      <c r="I507" s="133" t="s">
        <v>246</v>
      </c>
      <c r="J507" s="135" t="s">
        <v>1772</v>
      </c>
      <c r="K507" s="133" t="s">
        <v>42</v>
      </c>
      <c r="L507" s="133">
        <v>315</v>
      </c>
      <c r="M507" s="133"/>
      <c r="N507" s="133" t="s">
        <v>59</v>
      </c>
      <c r="O507" s="133" t="s">
        <v>1773</v>
      </c>
      <c r="P507" s="133" t="s">
        <v>255</v>
      </c>
      <c r="Q507" s="133">
        <v>1</v>
      </c>
      <c r="R507" s="133">
        <v>3</v>
      </c>
      <c r="S507" s="133">
        <v>0</v>
      </c>
      <c r="T507" s="133">
        <v>0</v>
      </c>
      <c r="U507" s="133">
        <v>0</v>
      </c>
      <c r="V507" s="133">
        <v>0</v>
      </c>
      <c r="W507" s="133">
        <v>0</v>
      </c>
      <c r="X507" s="133">
        <v>0</v>
      </c>
      <c r="Y507" s="133"/>
      <c r="Z507" s="133">
        <v>0</v>
      </c>
      <c r="AA507" s="133"/>
      <c r="AB507" s="133"/>
      <c r="AC507" s="133">
        <f t="shared" si="40"/>
        <v>0</v>
      </c>
      <c r="AD507" s="133"/>
      <c r="AE507" s="136"/>
      <c r="AG507" s="137"/>
    </row>
    <row r="508" spans="1:33" s="14" customFormat="1">
      <c r="A508" s="133">
        <f t="shared" si="39"/>
        <v>451</v>
      </c>
      <c r="B508" s="11" t="s">
        <v>738</v>
      </c>
      <c r="C508" s="133" t="s">
        <v>1684</v>
      </c>
      <c r="D508" s="133" t="s">
        <v>1774</v>
      </c>
      <c r="E508" s="133"/>
      <c r="F508" s="133" t="s">
        <v>37</v>
      </c>
      <c r="G508" s="134" t="s">
        <v>1775</v>
      </c>
      <c r="H508" s="133" t="s">
        <v>246</v>
      </c>
      <c r="I508" s="133" t="s">
        <v>246</v>
      </c>
      <c r="J508" s="135" t="s">
        <v>1776</v>
      </c>
      <c r="K508" s="133" t="s">
        <v>42</v>
      </c>
      <c r="L508" s="133">
        <v>250</v>
      </c>
      <c r="M508" s="133"/>
      <c r="N508" s="133" t="s">
        <v>424</v>
      </c>
      <c r="O508" s="133" t="s">
        <v>1777</v>
      </c>
      <c r="P508" s="133" t="s">
        <v>95</v>
      </c>
      <c r="Q508" s="133">
        <v>1</v>
      </c>
      <c r="R508" s="133">
        <v>4</v>
      </c>
      <c r="S508" s="133">
        <v>0</v>
      </c>
      <c r="T508" s="133">
        <v>0</v>
      </c>
      <c r="U508" s="133">
        <v>0</v>
      </c>
      <c r="V508" s="133">
        <v>0</v>
      </c>
      <c r="W508" s="133">
        <v>0</v>
      </c>
      <c r="X508" s="133">
        <v>0</v>
      </c>
      <c r="Y508" s="133"/>
      <c r="Z508" s="133">
        <v>0</v>
      </c>
      <c r="AA508" s="133"/>
      <c r="AB508" s="133"/>
      <c r="AC508" s="133">
        <f t="shared" si="40"/>
        <v>0</v>
      </c>
      <c r="AD508" s="133"/>
      <c r="AE508" s="136" t="s">
        <v>1778</v>
      </c>
      <c r="AG508" s="137"/>
    </row>
    <row r="509" spans="1:33" s="14" customFormat="1">
      <c r="A509" s="133">
        <f t="shared" ref="A509:A572" si="43">A508+1</f>
        <v>452</v>
      </c>
      <c r="B509" s="11" t="s">
        <v>738</v>
      </c>
      <c r="C509" s="133" t="s">
        <v>1684</v>
      </c>
      <c r="D509" s="133" t="s">
        <v>1779</v>
      </c>
      <c r="E509" s="133"/>
      <c r="F509" s="133" t="s">
        <v>37</v>
      </c>
      <c r="G509" s="134" t="s">
        <v>1780</v>
      </c>
      <c r="H509" s="133" t="s">
        <v>246</v>
      </c>
      <c r="I509" s="133" t="s">
        <v>246</v>
      </c>
      <c r="J509" s="136">
        <v>1081</v>
      </c>
      <c r="K509" s="133" t="s">
        <v>42</v>
      </c>
      <c r="L509" s="133">
        <v>250</v>
      </c>
      <c r="M509" s="133"/>
      <c r="N509" s="133" t="s">
        <v>59</v>
      </c>
      <c r="O509" s="133">
        <v>203303484</v>
      </c>
      <c r="P509" s="133">
        <v>2020</v>
      </c>
      <c r="Q509" s="133">
        <v>1</v>
      </c>
      <c r="R509" s="133">
        <f t="shared" ref="R509:R510" si="44">IF(H509="CANTOL",2,4)</f>
        <v>4</v>
      </c>
      <c r="S509" s="133"/>
      <c r="T509" s="133"/>
      <c r="U509" s="133"/>
      <c r="V509" s="133"/>
      <c r="W509" s="133"/>
      <c r="X509" s="133"/>
      <c r="Y509" s="133"/>
      <c r="Z509" s="133"/>
      <c r="AA509" s="133"/>
      <c r="AB509" s="133"/>
      <c r="AC509" s="133">
        <f t="shared" si="40"/>
        <v>0</v>
      </c>
      <c r="AD509" s="133"/>
      <c r="AE509" s="136"/>
      <c r="AG509" s="137"/>
    </row>
    <row r="510" spans="1:33" s="77" customFormat="1">
      <c r="A510" s="177">
        <f t="shared" si="43"/>
        <v>453</v>
      </c>
      <c r="B510" s="73" t="s">
        <v>738</v>
      </c>
      <c r="C510" s="177" t="s">
        <v>1684</v>
      </c>
      <c r="D510" s="177" t="s">
        <v>1781</v>
      </c>
      <c r="E510" s="177"/>
      <c r="F510" s="177" t="s">
        <v>37</v>
      </c>
      <c r="G510" s="178" t="s">
        <v>1782</v>
      </c>
      <c r="H510" s="177" t="s">
        <v>246</v>
      </c>
      <c r="I510" s="177" t="s">
        <v>246</v>
      </c>
      <c r="J510" s="179" t="s">
        <v>1783</v>
      </c>
      <c r="K510" s="177" t="s">
        <v>42</v>
      </c>
      <c r="L510" s="177">
        <v>160</v>
      </c>
      <c r="M510" s="177"/>
      <c r="N510" s="177" t="s">
        <v>753</v>
      </c>
      <c r="O510" s="177" t="s">
        <v>1784</v>
      </c>
      <c r="P510" s="177">
        <v>2003</v>
      </c>
      <c r="Q510" s="177">
        <v>1</v>
      </c>
      <c r="R510" s="177">
        <f t="shared" si="44"/>
        <v>4</v>
      </c>
      <c r="S510" s="177">
        <v>0</v>
      </c>
      <c r="T510" s="177">
        <v>0</v>
      </c>
      <c r="U510" s="177">
        <v>0</v>
      </c>
      <c r="V510" s="177">
        <v>0</v>
      </c>
      <c r="W510" s="177">
        <v>0</v>
      </c>
      <c r="X510" s="177">
        <v>0</v>
      </c>
      <c r="Y510" s="177"/>
      <c r="Z510" s="177">
        <v>0</v>
      </c>
      <c r="AA510" s="177"/>
      <c r="AB510" s="177"/>
      <c r="AC510" s="177">
        <f t="shared" si="40"/>
        <v>0</v>
      </c>
      <c r="AD510" s="177"/>
      <c r="AE510" s="180"/>
      <c r="AG510" s="181"/>
    </row>
    <row r="511" spans="1:33" s="14" customFormat="1">
      <c r="A511" s="133">
        <f t="shared" si="43"/>
        <v>454</v>
      </c>
      <c r="B511" s="11" t="s">
        <v>738</v>
      </c>
      <c r="C511" s="133" t="s">
        <v>1684</v>
      </c>
      <c r="D511" s="133" t="s">
        <v>1785</v>
      </c>
      <c r="E511" s="133"/>
      <c r="F511" s="133" t="s">
        <v>37</v>
      </c>
      <c r="G511" s="134" t="s">
        <v>1786</v>
      </c>
      <c r="H511" s="133" t="s">
        <v>246</v>
      </c>
      <c r="I511" s="133" t="s">
        <v>246</v>
      </c>
      <c r="J511" s="135" t="s">
        <v>1787</v>
      </c>
      <c r="K511" s="133" t="s">
        <v>42</v>
      </c>
      <c r="L511" s="133">
        <v>100</v>
      </c>
      <c r="M511" s="133"/>
      <c r="N511" s="133"/>
      <c r="O511" s="133"/>
      <c r="P511" s="133"/>
      <c r="Q511" s="133">
        <v>1</v>
      </c>
      <c r="R511" s="133">
        <v>4</v>
      </c>
      <c r="S511" s="133">
        <v>0</v>
      </c>
      <c r="T511" s="133">
        <v>0</v>
      </c>
      <c r="U511" s="133">
        <v>0</v>
      </c>
      <c r="V511" s="133">
        <v>0</v>
      </c>
      <c r="W511" s="133">
        <v>0</v>
      </c>
      <c r="X511" s="133">
        <v>0</v>
      </c>
      <c r="Y511" s="133"/>
      <c r="Z511" s="133">
        <v>0</v>
      </c>
      <c r="AA511" s="133"/>
      <c r="AB511" s="133"/>
      <c r="AC511" s="133">
        <f t="shared" si="40"/>
        <v>0</v>
      </c>
      <c r="AD511" s="133"/>
      <c r="AE511" s="136"/>
      <c r="AG511" s="137"/>
    </row>
    <row r="512" spans="1:33" s="14" customFormat="1">
      <c r="A512" s="133">
        <f t="shared" si="43"/>
        <v>455</v>
      </c>
      <c r="B512" s="25" t="s">
        <v>738</v>
      </c>
      <c r="C512" s="161" t="s">
        <v>1684</v>
      </c>
      <c r="D512" s="161" t="s">
        <v>1788</v>
      </c>
      <c r="E512" s="161"/>
      <c r="F512" s="161" t="s">
        <v>37</v>
      </c>
      <c r="G512" s="162" t="s">
        <v>1786</v>
      </c>
      <c r="H512" s="161" t="s">
        <v>39</v>
      </c>
      <c r="I512" s="161" t="s">
        <v>136</v>
      </c>
      <c r="J512" s="161" t="s">
        <v>1789</v>
      </c>
      <c r="K512" s="161" t="s">
        <v>42</v>
      </c>
      <c r="L512" s="133">
        <v>630</v>
      </c>
      <c r="M512" s="133"/>
      <c r="N512" s="133" t="s">
        <v>641</v>
      </c>
      <c r="O512" s="133" t="s">
        <v>1790</v>
      </c>
      <c r="P512" s="133">
        <v>2011</v>
      </c>
      <c r="Q512" s="133">
        <v>1</v>
      </c>
      <c r="R512" s="133">
        <f>IF(H512="CANTOL",2,4)</f>
        <v>4</v>
      </c>
      <c r="S512" s="184" t="s">
        <v>133</v>
      </c>
      <c r="T512" s="185" t="s">
        <v>89</v>
      </c>
      <c r="U512" s="184">
        <v>5</v>
      </c>
      <c r="V512" s="184">
        <v>2</v>
      </c>
      <c r="W512" s="133"/>
      <c r="X512" s="133"/>
      <c r="Y512" s="133"/>
      <c r="Z512" s="133"/>
      <c r="AA512" s="133"/>
      <c r="AB512" s="133"/>
      <c r="AC512" s="133">
        <f t="shared" si="40"/>
        <v>7</v>
      </c>
      <c r="AD512" s="133"/>
      <c r="AE512" s="136"/>
      <c r="AG512" s="137"/>
    </row>
    <row r="513" spans="1:33" s="14" customFormat="1">
      <c r="A513" s="133">
        <f>A512+1</f>
        <v>456</v>
      </c>
      <c r="B513" s="25" t="s">
        <v>738</v>
      </c>
      <c r="C513" s="161" t="s">
        <v>1684</v>
      </c>
      <c r="D513" s="167" t="s">
        <v>1791</v>
      </c>
      <c r="E513" s="167"/>
      <c r="F513" s="167" t="s">
        <v>63</v>
      </c>
      <c r="G513" s="186" t="s">
        <v>1792</v>
      </c>
      <c r="H513" s="133" t="s">
        <v>246</v>
      </c>
      <c r="I513" s="133" t="s">
        <v>246</v>
      </c>
      <c r="J513" s="133"/>
      <c r="K513" s="133" t="s">
        <v>42</v>
      </c>
      <c r="L513" s="167">
        <v>250</v>
      </c>
      <c r="M513" s="167"/>
      <c r="N513" s="133" t="s">
        <v>119</v>
      </c>
      <c r="O513" s="133" t="s">
        <v>1793</v>
      </c>
      <c r="P513" s="133">
        <v>2025</v>
      </c>
      <c r="Q513" s="133" t="s">
        <v>96</v>
      </c>
      <c r="R513" s="133" t="s">
        <v>96</v>
      </c>
      <c r="S513" s="133" t="s">
        <v>907</v>
      </c>
      <c r="T513" s="133" t="s">
        <v>907</v>
      </c>
      <c r="U513" s="133">
        <v>0</v>
      </c>
      <c r="V513" s="133">
        <v>0</v>
      </c>
      <c r="W513" s="133">
        <v>0</v>
      </c>
      <c r="X513" s="133">
        <v>0</v>
      </c>
      <c r="Y513" s="133"/>
      <c r="Z513" s="133">
        <v>0</v>
      </c>
      <c r="AA513" s="133"/>
      <c r="AB513" s="133"/>
      <c r="AC513" s="133">
        <v>0</v>
      </c>
      <c r="AD513" s="133"/>
      <c r="AE513" s="136"/>
      <c r="AG513" s="137" t="s">
        <v>1794</v>
      </c>
    </row>
    <row r="514" spans="1:33" s="14" customFormat="1">
      <c r="A514" s="133">
        <f>A512+1</f>
        <v>456</v>
      </c>
      <c r="B514" s="25" t="s">
        <v>738</v>
      </c>
      <c r="C514" s="161" t="s">
        <v>1684</v>
      </c>
      <c r="D514" s="167" t="s">
        <v>1795</v>
      </c>
      <c r="E514" s="167"/>
      <c r="F514" s="167" t="s">
        <v>63</v>
      </c>
      <c r="G514" s="186" t="s">
        <v>1796</v>
      </c>
      <c r="H514" s="133" t="s">
        <v>246</v>
      </c>
      <c r="I514" s="133" t="s">
        <v>246</v>
      </c>
      <c r="J514" s="133">
        <v>1303</v>
      </c>
      <c r="K514" s="133" t="s">
        <v>42</v>
      </c>
      <c r="L514" s="167">
        <v>250</v>
      </c>
      <c r="M514" s="167"/>
      <c r="N514" s="133" t="s">
        <v>93</v>
      </c>
      <c r="O514" s="133" t="s">
        <v>1797</v>
      </c>
      <c r="P514" s="133" t="s">
        <v>95</v>
      </c>
      <c r="Q514" s="133" t="s">
        <v>96</v>
      </c>
      <c r="R514" s="133" t="s">
        <v>96</v>
      </c>
      <c r="S514" s="133" t="s">
        <v>907</v>
      </c>
      <c r="T514" s="133" t="s">
        <v>907</v>
      </c>
      <c r="U514" s="133">
        <v>0</v>
      </c>
      <c r="V514" s="133">
        <v>0</v>
      </c>
      <c r="W514" s="133">
        <v>0</v>
      </c>
      <c r="X514" s="133">
        <v>0</v>
      </c>
      <c r="Y514" s="133"/>
      <c r="Z514" s="133">
        <v>0</v>
      </c>
      <c r="AA514" s="133"/>
      <c r="AB514" s="133"/>
      <c r="AC514" s="133">
        <v>0</v>
      </c>
      <c r="AD514" s="133"/>
      <c r="AE514" s="136"/>
      <c r="AG514" s="137" t="s">
        <v>1794</v>
      </c>
    </row>
    <row r="515" spans="1:33" s="14" customFormat="1">
      <c r="A515" s="133">
        <f t="shared" si="43"/>
        <v>457</v>
      </c>
      <c r="B515" s="11" t="s">
        <v>738</v>
      </c>
      <c r="C515" s="133" t="s">
        <v>1684</v>
      </c>
      <c r="D515" s="133" t="s">
        <v>1798</v>
      </c>
      <c r="E515" s="133"/>
      <c r="F515" s="133" t="s">
        <v>37</v>
      </c>
      <c r="G515" s="134" t="s">
        <v>1799</v>
      </c>
      <c r="H515" s="133" t="s">
        <v>741</v>
      </c>
      <c r="I515" s="133" t="s">
        <v>741</v>
      </c>
      <c r="J515" s="135" t="s">
        <v>1800</v>
      </c>
      <c r="K515" s="133" t="s">
        <v>42</v>
      </c>
      <c r="L515" s="133">
        <v>100</v>
      </c>
      <c r="M515" s="133"/>
      <c r="N515" s="133" t="s">
        <v>93</v>
      </c>
      <c r="O515" s="133" t="s">
        <v>1801</v>
      </c>
      <c r="P515" s="133" t="s">
        <v>444</v>
      </c>
      <c r="Q515" s="133">
        <v>0</v>
      </c>
      <c r="R515" s="133">
        <v>1</v>
      </c>
      <c r="S515" s="133">
        <v>0</v>
      </c>
      <c r="T515" s="133">
        <v>0</v>
      </c>
      <c r="U515" s="133">
        <v>0</v>
      </c>
      <c r="V515" s="133">
        <v>0</v>
      </c>
      <c r="W515" s="133">
        <v>0</v>
      </c>
      <c r="X515" s="133">
        <v>0</v>
      </c>
      <c r="Y515" s="133"/>
      <c r="Z515" s="133">
        <v>0</v>
      </c>
      <c r="AA515" s="133"/>
      <c r="AB515" s="133"/>
      <c r="AC515" s="133">
        <f t="shared" si="40"/>
        <v>0</v>
      </c>
      <c r="AD515" s="133">
        <v>2</v>
      </c>
      <c r="AE515" s="136"/>
      <c r="AG515" s="137"/>
    </row>
    <row r="516" spans="1:33" s="14" customFormat="1">
      <c r="A516" s="133">
        <f t="shared" si="43"/>
        <v>458</v>
      </c>
      <c r="B516" s="11" t="s">
        <v>738</v>
      </c>
      <c r="C516" s="133" t="s">
        <v>1684</v>
      </c>
      <c r="D516" s="133" t="s">
        <v>1802</v>
      </c>
      <c r="E516" s="133"/>
      <c r="F516" s="133" t="s">
        <v>37</v>
      </c>
      <c r="G516" s="134" t="s">
        <v>1803</v>
      </c>
      <c r="H516" s="133" t="s">
        <v>741</v>
      </c>
      <c r="I516" s="133" t="s">
        <v>741</v>
      </c>
      <c r="J516" s="135" t="s">
        <v>1804</v>
      </c>
      <c r="K516" s="133" t="s">
        <v>42</v>
      </c>
      <c r="L516" s="133">
        <v>50</v>
      </c>
      <c r="M516" s="133"/>
      <c r="N516" s="133" t="s">
        <v>424</v>
      </c>
      <c r="O516" s="133" t="s">
        <v>1805</v>
      </c>
      <c r="P516" s="133">
        <v>2007</v>
      </c>
      <c r="Q516" s="133">
        <v>1</v>
      </c>
      <c r="R516" s="133">
        <v>2</v>
      </c>
      <c r="S516" s="133">
        <v>0</v>
      </c>
      <c r="T516" s="133">
        <v>0</v>
      </c>
      <c r="U516" s="133">
        <v>0</v>
      </c>
      <c r="V516" s="133">
        <v>0</v>
      </c>
      <c r="W516" s="133">
        <v>0</v>
      </c>
      <c r="X516" s="133">
        <v>0</v>
      </c>
      <c r="Y516" s="133"/>
      <c r="Z516" s="133">
        <v>0</v>
      </c>
      <c r="AA516" s="133"/>
      <c r="AB516" s="133"/>
      <c r="AC516" s="133">
        <f t="shared" si="40"/>
        <v>0</v>
      </c>
      <c r="AD516" s="133"/>
      <c r="AE516" s="136"/>
      <c r="AG516" s="137"/>
    </row>
    <row r="517" spans="1:33" s="14" customFormat="1">
      <c r="A517" s="133">
        <f t="shared" si="43"/>
        <v>459</v>
      </c>
      <c r="B517" s="11" t="s">
        <v>738</v>
      </c>
      <c r="C517" s="133" t="s">
        <v>1684</v>
      </c>
      <c r="D517" s="133" t="s">
        <v>1806</v>
      </c>
      <c r="E517" s="133"/>
      <c r="F517" s="133" t="s">
        <v>37</v>
      </c>
      <c r="G517" s="134" t="s">
        <v>1100</v>
      </c>
      <c r="H517" s="133" t="s">
        <v>246</v>
      </c>
      <c r="I517" s="133" t="s">
        <v>246</v>
      </c>
      <c r="J517" s="135" t="s">
        <v>1807</v>
      </c>
      <c r="K517" s="133" t="s">
        <v>42</v>
      </c>
      <c r="L517" s="133">
        <v>200</v>
      </c>
      <c r="M517" s="133"/>
      <c r="N517" s="133" t="s">
        <v>93</v>
      </c>
      <c r="O517" s="133" t="s">
        <v>1808</v>
      </c>
      <c r="P517" s="133" t="s">
        <v>766</v>
      </c>
      <c r="Q517" s="133">
        <v>1</v>
      </c>
      <c r="R517" s="133">
        <v>2</v>
      </c>
      <c r="S517" s="133">
        <v>0</v>
      </c>
      <c r="T517" s="133">
        <v>0</v>
      </c>
      <c r="U517" s="133">
        <v>0</v>
      </c>
      <c r="V517" s="133">
        <v>0</v>
      </c>
      <c r="W517" s="133">
        <v>0</v>
      </c>
      <c r="X517" s="133">
        <v>0</v>
      </c>
      <c r="Y517" s="133"/>
      <c r="Z517" s="133">
        <v>0</v>
      </c>
      <c r="AA517" s="133"/>
      <c r="AB517" s="133"/>
      <c r="AC517" s="133">
        <f t="shared" si="40"/>
        <v>0</v>
      </c>
      <c r="AD517" s="133"/>
      <c r="AE517" s="136" t="s">
        <v>1534</v>
      </c>
      <c r="AG517" s="137" t="s">
        <v>1534</v>
      </c>
    </row>
    <row r="518" spans="1:33" s="14" customFormat="1">
      <c r="A518" s="133">
        <f t="shared" si="43"/>
        <v>460</v>
      </c>
      <c r="B518" s="11" t="s">
        <v>738</v>
      </c>
      <c r="C518" s="133" t="s">
        <v>1684</v>
      </c>
      <c r="D518" s="133" t="s">
        <v>1809</v>
      </c>
      <c r="E518" s="133"/>
      <c r="F518" s="133" t="s">
        <v>37</v>
      </c>
      <c r="G518" s="134" t="s">
        <v>1100</v>
      </c>
      <c r="H518" s="133" t="s">
        <v>246</v>
      </c>
      <c r="I518" s="133" t="s">
        <v>246</v>
      </c>
      <c r="J518" s="133">
        <v>1022</v>
      </c>
      <c r="K518" s="133" t="s">
        <v>42</v>
      </c>
      <c r="L518" s="133">
        <v>250</v>
      </c>
      <c r="M518" s="133"/>
      <c r="N518" s="133" t="s">
        <v>93</v>
      </c>
      <c r="O518" s="133" t="s">
        <v>932</v>
      </c>
      <c r="P518" s="133">
        <v>2009</v>
      </c>
      <c r="Q518" s="133">
        <v>1</v>
      </c>
      <c r="R518" s="133">
        <f>IF(H518="CANTOL",2,4)</f>
        <v>4</v>
      </c>
      <c r="S518" s="133">
        <v>0</v>
      </c>
      <c r="T518" s="133">
        <v>0</v>
      </c>
      <c r="U518" s="133">
        <v>0</v>
      </c>
      <c r="V518" s="133">
        <v>0</v>
      </c>
      <c r="W518" s="133">
        <v>0</v>
      </c>
      <c r="X518" s="133">
        <v>0</v>
      </c>
      <c r="Y518" s="133"/>
      <c r="Z518" s="133">
        <v>0</v>
      </c>
      <c r="AA518" s="133"/>
      <c r="AB518" s="133"/>
      <c r="AC518" s="133">
        <f t="shared" si="40"/>
        <v>0</v>
      </c>
      <c r="AD518" s="133"/>
      <c r="AE518" s="136"/>
      <c r="AG518" s="137"/>
    </row>
    <row r="519" spans="1:33" s="14" customFormat="1">
      <c r="A519" s="133">
        <f t="shared" si="43"/>
        <v>461</v>
      </c>
      <c r="B519" s="11" t="s">
        <v>738</v>
      </c>
      <c r="C519" s="133" t="s">
        <v>1684</v>
      </c>
      <c r="D519" s="133" t="s">
        <v>1810</v>
      </c>
      <c r="E519" s="133"/>
      <c r="F519" s="133" t="s">
        <v>37</v>
      </c>
      <c r="G519" s="134" t="s">
        <v>1811</v>
      </c>
      <c r="H519" s="133" t="s">
        <v>246</v>
      </c>
      <c r="I519" s="133" t="s">
        <v>246</v>
      </c>
      <c r="J519" s="135" t="s">
        <v>1812</v>
      </c>
      <c r="K519" s="133" t="s">
        <v>42</v>
      </c>
      <c r="L519" s="133">
        <v>160</v>
      </c>
      <c r="M519" s="133"/>
      <c r="N519" s="133" t="s">
        <v>43</v>
      </c>
      <c r="O519" s="133">
        <v>51183</v>
      </c>
      <c r="P519" s="133">
        <v>1992</v>
      </c>
      <c r="Q519" s="133">
        <v>1</v>
      </c>
      <c r="R519" s="133">
        <v>3</v>
      </c>
      <c r="S519" s="133">
        <v>0</v>
      </c>
      <c r="T519" s="133">
        <v>0</v>
      </c>
      <c r="U519" s="133">
        <v>0</v>
      </c>
      <c r="V519" s="133">
        <v>0</v>
      </c>
      <c r="W519" s="133">
        <v>0</v>
      </c>
      <c r="X519" s="133">
        <v>0</v>
      </c>
      <c r="Y519" s="133"/>
      <c r="Z519" s="133">
        <v>0</v>
      </c>
      <c r="AA519" s="133"/>
      <c r="AB519" s="133"/>
      <c r="AC519" s="133">
        <f t="shared" si="40"/>
        <v>0</v>
      </c>
      <c r="AD519" s="133"/>
      <c r="AE519" s="136"/>
      <c r="AG519" s="137"/>
    </row>
    <row r="520" spans="1:33" s="14" customFormat="1">
      <c r="A520" s="133">
        <f t="shared" si="43"/>
        <v>462</v>
      </c>
      <c r="B520" s="11" t="s">
        <v>738</v>
      </c>
      <c r="C520" s="133" t="s">
        <v>1684</v>
      </c>
      <c r="D520" s="133" t="s">
        <v>1813</v>
      </c>
      <c r="E520" s="133"/>
      <c r="F520" s="133" t="s">
        <v>37</v>
      </c>
      <c r="G520" s="134" t="s">
        <v>1814</v>
      </c>
      <c r="H520" s="133" t="s">
        <v>246</v>
      </c>
      <c r="I520" s="133" t="s">
        <v>246</v>
      </c>
      <c r="J520" s="135" t="s">
        <v>1815</v>
      </c>
      <c r="K520" s="133" t="s">
        <v>42</v>
      </c>
      <c r="L520" s="133">
        <v>100</v>
      </c>
      <c r="M520" s="133"/>
      <c r="N520" s="133" t="s">
        <v>93</v>
      </c>
      <c r="O520" s="133" t="s">
        <v>1816</v>
      </c>
      <c r="P520" s="133" t="s">
        <v>1135</v>
      </c>
      <c r="Q520" s="133"/>
      <c r="R520" s="133">
        <v>1</v>
      </c>
      <c r="S520" s="133">
        <v>0</v>
      </c>
      <c r="T520" s="133">
        <v>0</v>
      </c>
      <c r="U520" s="133">
        <v>0</v>
      </c>
      <c r="V520" s="133">
        <v>0</v>
      </c>
      <c r="W520" s="133">
        <v>0</v>
      </c>
      <c r="X520" s="133">
        <v>0</v>
      </c>
      <c r="Y520" s="133"/>
      <c r="Z520" s="133">
        <v>0</v>
      </c>
      <c r="AA520" s="133"/>
      <c r="AB520" s="133"/>
      <c r="AC520" s="133">
        <f t="shared" si="40"/>
        <v>0</v>
      </c>
      <c r="AD520" s="133"/>
      <c r="AE520" s="136"/>
      <c r="AG520" s="137"/>
    </row>
    <row r="521" spans="1:33" s="14" customFormat="1">
      <c r="A521" s="133">
        <f t="shared" si="43"/>
        <v>463</v>
      </c>
      <c r="B521" s="11" t="s">
        <v>738</v>
      </c>
      <c r="C521" s="133" t="s">
        <v>1684</v>
      </c>
      <c r="D521" s="133" t="s">
        <v>1817</v>
      </c>
      <c r="E521" s="133"/>
      <c r="F521" s="133" t="s">
        <v>37</v>
      </c>
      <c r="G521" s="134" t="s">
        <v>1818</v>
      </c>
      <c r="H521" s="133" t="s">
        <v>246</v>
      </c>
      <c r="I521" s="133" t="s">
        <v>246</v>
      </c>
      <c r="J521" s="133"/>
      <c r="K521" s="133" t="s">
        <v>42</v>
      </c>
      <c r="L521" s="133">
        <v>100</v>
      </c>
      <c r="M521" s="133"/>
      <c r="N521" s="133" t="s">
        <v>43</v>
      </c>
      <c r="O521" s="133">
        <v>66514</v>
      </c>
      <c r="P521" s="133" t="s">
        <v>1819</v>
      </c>
      <c r="Q521" s="133" t="s">
        <v>96</v>
      </c>
      <c r="R521" s="133" t="s">
        <v>84</v>
      </c>
      <c r="S521" s="133">
        <v>0</v>
      </c>
      <c r="T521" s="133">
        <v>0</v>
      </c>
      <c r="U521" s="133">
        <v>0</v>
      </c>
      <c r="V521" s="133">
        <v>0</v>
      </c>
      <c r="W521" s="133">
        <v>0</v>
      </c>
      <c r="X521" s="133">
        <v>0</v>
      </c>
      <c r="Y521" s="133"/>
      <c r="Z521" s="133">
        <v>0</v>
      </c>
      <c r="AA521" s="133"/>
      <c r="AB521" s="133"/>
      <c r="AC521" s="133">
        <f t="shared" ref="AC521" si="45">SUM(U521:AB521)</f>
        <v>0</v>
      </c>
      <c r="AD521" s="133"/>
      <c r="AE521" s="136"/>
      <c r="AG521" s="137"/>
    </row>
    <row r="522" spans="1:33" s="14" customFormat="1">
      <c r="A522" s="133">
        <f t="shared" si="43"/>
        <v>464</v>
      </c>
      <c r="B522" s="11" t="s">
        <v>738</v>
      </c>
      <c r="C522" s="133" t="s">
        <v>1684</v>
      </c>
      <c r="D522" s="133" t="s">
        <v>1820</v>
      </c>
      <c r="E522" s="133"/>
      <c r="F522" s="133" t="s">
        <v>37</v>
      </c>
      <c r="G522" s="134" t="s">
        <v>1821</v>
      </c>
      <c r="H522" s="133" t="s">
        <v>741</v>
      </c>
      <c r="I522" s="133" t="s">
        <v>741</v>
      </c>
      <c r="J522" s="135" t="s">
        <v>1822</v>
      </c>
      <c r="K522" s="133" t="s">
        <v>42</v>
      </c>
      <c r="L522" s="133">
        <v>50</v>
      </c>
      <c r="M522" s="133"/>
      <c r="N522" s="133" t="s">
        <v>1143</v>
      </c>
      <c r="O522" s="133" t="s">
        <v>1823</v>
      </c>
      <c r="P522" s="133" t="s">
        <v>1824</v>
      </c>
      <c r="Q522" s="133"/>
      <c r="R522" s="133">
        <v>2</v>
      </c>
      <c r="S522" s="133">
        <v>0</v>
      </c>
      <c r="T522" s="133">
        <v>0</v>
      </c>
      <c r="U522" s="133">
        <v>0</v>
      </c>
      <c r="V522" s="133">
        <v>0</v>
      </c>
      <c r="W522" s="133">
        <v>0</v>
      </c>
      <c r="X522" s="133">
        <v>0</v>
      </c>
      <c r="Y522" s="133"/>
      <c r="Z522" s="133">
        <v>0</v>
      </c>
      <c r="AA522" s="133"/>
      <c r="AB522" s="133"/>
      <c r="AC522" s="133">
        <f t="shared" si="40"/>
        <v>0</v>
      </c>
      <c r="AD522" s="133"/>
      <c r="AE522" s="136"/>
      <c r="AG522" s="137"/>
    </row>
    <row r="523" spans="1:33" s="14" customFormat="1">
      <c r="A523" s="133">
        <f t="shared" si="43"/>
        <v>465</v>
      </c>
      <c r="B523" s="11" t="s">
        <v>738</v>
      </c>
      <c r="C523" s="133" t="s">
        <v>1684</v>
      </c>
      <c r="D523" s="133" t="s">
        <v>1825</v>
      </c>
      <c r="E523" s="133"/>
      <c r="F523" s="133" t="s">
        <v>37</v>
      </c>
      <c r="G523" s="134" t="s">
        <v>1821</v>
      </c>
      <c r="H523" s="133" t="s">
        <v>741</v>
      </c>
      <c r="I523" s="133" t="s">
        <v>741</v>
      </c>
      <c r="J523" s="135" t="s">
        <v>837</v>
      </c>
      <c r="K523" s="133" t="s">
        <v>42</v>
      </c>
      <c r="L523" s="133">
        <v>100</v>
      </c>
      <c r="M523" s="133"/>
      <c r="N523" s="133" t="s">
        <v>863</v>
      </c>
      <c r="O523" s="133" t="s">
        <v>1826</v>
      </c>
      <c r="P523" s="133" t="s">
        <v>766</v>
      </c>
      <c r="Q523" s="133">
        <v>1</v>
      </c>
      <c r="R523" s="133">
        <f>IF(H523="CANTOL",2,4)</f>
        <v>2</v>
      </c>
      <c r="S523" s="133">
        <v>0</v>
      </c>
      <c r="T523" s="133">
        <v>0</v>
      </c>
      <c r="U523" s="133">
        <v>0</v>
      </c>
      <c r="V523" s="133">
        <v>0</v>
      </c>
      <c r="W523" s="133">
        <v>0</v>
      </c>
      <c r="X523" s="133">
        <v>0</v>
      </c>
      <c r="Y523" s="133"/>
      <c r="Z523" s="133">
        <v>0</v>
      </c>
      <c r="AA523" s="133"/>
      <c r="AB523" s="133"/>
      <c r="AC523" s="133">
        <f t="shared" si="40"/>
        <v>0</v>
      </c>
      <c r="AD523" s="133"/>
      <c r="AE523" s="136" t="s">
        <v>1534</v>
      </c>
      <c r="AG523" s="137" t="s">
        <v>1534</v>
      </c>
    </row>
    <row r="524" spans="1:33" s="14" customFormat="1">
      <c r="A524" s="133">
        <f t="shared" si="43"/>
        <v>466</v>
      </c>
      <c r="B524" s="11" t="s">
        <v>738</v>
      </c>
      <c r="C524" s="133" t="s">
        <v>1684</v>
      </c>
      <c r="D524" s="133" t="s">
        <v>1827</v>
      </c>
      <c r="E524" s="133"/>
      <c r="F524" s="133" t="s">
        <v>37</v>
      </c>
      <c r="G524" s="134" t="s">
        <v>1828</v>
      </c>
      <c r="H524" s="133" t="s">
        <v>741</v>
      </c>
      <c r="I524" s="133" t="s">
        <v>741</v>
      </c>
      <c r="J524" s="135" t="s">
        <v>1829</v>
      </c>
      <c r="K524" s="133" t="s">
        <v>42</v>
      </c>
      <c r="L524" s="133">
        <v>100</v>
      </c>
      <c r="M524" s="133"/>
      <c r="N524" s="133" t="s">
        <v>93</v>
      </c>
      <c r="O524" s="133" t="s">
        <v>1830</v>
      </c>
      <c r="P524" s="133">
        <v>1988</v>
      </c>
      <c r="Q524" s="133">
        <v>1</v>
      </c>
      <c r="R524" s="133">
        <v>2</v>
      </c>
      <c r="S524" s="133">
        <v>0</v>
      </c>
      <c r="T524" s="133">
        <v>0</v>
      </c>
      <c r="U524" s="133">
        <v>0</v>
      </c>
      <c r="V524" s="133">
        <v>0</v>
      </c>
      <c r="W524" s="133">
        <v>0</v>
      </c>
      <c r="X524" s="133">
        <v>0</v>
      </c>
      <c r="Y524" s="133"/>
      <c r="Z524" s="133">
        <v>0</v>
      </c>
      <c r="AA524" s="133"/>
      <c r="AB524" s="133"/>
      <c r="AC524" s="133">
        <f t="shared" si="40"/>
        <v>0</v>
      </c>
      <c r="AD524" s="133"/>
      <c r="AE524" s="136"/>
      <c r="AG524" s="137"/>
    </row>
    <row r="525" spans="1:33" s="14" customFormat="1">
      <c r="A525" s="133">
        <f t="shared" si="43"/>
        <v>467</v>
      </c>
      <c r="B525" s="11" t="s">
        <v>738</v>
      </c>
      <c r="C525" s="133" t="s">
        <v>1684</v>
      </c>
      <c r="D525" s="133" t="s">
        <v>1831</v>
      </c>
      <c r="E525" s="133"/>
      <c r="F525" s="133" t="s">
        <v>37</v>
      </c>
      <c r="G525" s="134" t="s">
        <v>1832</v>
      </c>
      <c r="H525" s="133" t="s">
        <v>741</v>
      </c>
      <c r="I525" s="133" t="s">
        <v>741</v>
      </c>
      <c r="J525" s="135" t="s">
        <v>1829</v>
      </c>
      <c r="K525" s="133" t="s">
        <v>42</v>
      </c>
      <c r="L525" s="133">
        <v>100</v>
      </c>
      <c r="M525" s="133"/>
      <c r="N525" s="133" t="s">
        <v>664</v>
      </c>
      <c r="O525" s="133" t="s">
        <v>1833</v>
      </c>
      <c r="P525" s="133" t="s">
        <v>255</v>
      </c>
      <c r="Q525" s="133">
        <v>1</v>
      </c>
      <c r="R525" s="133">
        <v>2</v>
      </c>
      <c r="S525" s="133">
        <v>0</v>
      </c>
      <c r="T525" s="133">
        <v>0</v>
      </c>
      <c r="U525" s="133">
        <v>0</v>
      </c>
      <c r="V525" s="133">
        <v>0</v>
      </c>
      <c r="W525" s="133">
        <v>0</v>
      </c>
      <c r="X525" s="133">
        <v>0</v>
      </c>
      <c r="Y525" s="133"/>
      <c r="Z525" s="133">
        <v>0</v>
      </c>
      <c r="AA525" s="133"/>
      <c r="AB525" s="133"/>
      <c r="AC525" s="133">
        <f t="shared" ref="AC525" si="46">SUM(U525:AB525)</f>
        <v>0</v>
      </c>
      <c r="AD525" s="133"/>
      <c r="AE525" s="136"/>
      <c r="AG525" s="137"/>
    </row>
    <row r="526" spans="1:33" s="14" customFormat="1">
      <c r="A526" s="133">
        <f t="shared" si="43"/>
        <v>468</v>
      </c>
      <c r="B526" s="11" t="s">
        <v>738</v>
      </c>
      <c r="C526" s="133" t="s">
        <v>1684</v>
      </c>
      <c r="D526" s="133" t="s">
        <v>1834</v>
      </c>
      <c r="E526" s="133"/>
      <c r="F526" s="133" t="s">
        <v>37</v>
      </c>
      <c r="G526" s="134" t="s">
        <v>1835</v>
      </c>
      <c r="H526" s="133" t="s">
        <v>741</v>
      </c>
      <c r="I526" s="133" t="s">
        <v>741</v>
      </c>
      <c r="J526" s="135" t="s">
        <v>1836</v>
      </c>
      <c r="K526" s="133" t="s">
        <v>42</v>
      </c>
      <c r="L526" s="133">
        <v>50</v>
      </c>
      <c r="M526" s="133"/>
      <c r="N526" s="133" t="s">
        <v>93</v>
      </c>
      <c r="O526" s="133" t="s">
        <v>1837</v>
      </c>
      <c r="P526" s="133">
        <v>2007</v>
      </c>
      <c r="Q526" s="133">
        <v>1</v>
      </c>
      <c r="R526" s="133">
        <f>IF(H526="CANTOL",2,4)</f>
        <v>2</v>
      </c>
      <c r="S526" s="133">
        <v>0</v>
      </c>
      <c r="T526" s="133">
        <v>0</v>
      </c>
      <c r="U526" s="133">
        <v>0</v>
      </c>
      <c r="V526" s="133">
        <v>0</v>
      </c>
      <c r="W526" s="133">
        <v>0</v>
      </c>
      <c r="X526" s="133">
        <v>0</v>
      </c>
      <c r="Y526" s="133"/>
      <c r="Z526" s="133">
        <v>0</v>
      </c>
      <c r="AA526" s="133"/>
      <c r="AB526" s="133"/>
      <c r="AC526" s="133">
        <f t="shared" si="40"/>
        <v>0</v>
      </c>
      <c r="AD526" s="133"/>
      <c r="AE526" s="136"/>
      <c r="AG526" s="137"/>
    </row>
    <row r="527" spans="1:33" s="14" customFormat="1">
      <c r="A527" s="133">
        <f t="shared" si="43"/>
        <v>469</v>
      </c>
      <c r="B527" s="11" t="s">
        <v>738</v>
      </c>
      <c r="C527" s="133" t="s">
        <v>1684</v>
      </c>
      <c r="D527" s="133" t="s">
        <v>1838</v>
      </c>
      <c r="E527" s="133"/>
      <c r="F527" s="133" t="s">
        <v>37</v>
      </c>
      <c r="G527" s="134" t="s">
        <v>1839</v>
      </c>
      <c r="H527" s="133" t="s">
        <v>246</v>
      </c>
      <c r="I527" s="133" t="s">
        <v>246</v>
      </c>
      <c r="J527" s="135" t="s">
        <v>1840</v>
      </c>
      <c r="K527" s="133" t="s">
        <v>1114</v>
      </c>
      <c r="L527" s="133">
        <v>160</v>
      </c>
      <c r="M527" s="133"/>
      <c r="N527" s="133" t="s">
        <v>59</v>
      </c>
      <c r="O527" s="133" t="s">
        <v>1841</v>
      </c>
      <c r="P527" s="133" t="s">
        <v>95</v>
      </c>
      <c r="Q527" s="133">
        <v>1</v>
      </c>
      <c r="R527" s="133">
        <v>3</v>
      </c>
      <c r="S527" s="133">
        <v>0</v>
      </c>
      <c r="T527" s="133">
        <v>0</v>
      </c>
      <c r="U527" s="133">
        <v>0</v>
      </c>
      <c r="V527" s="133">
        <v>0</v>
      </c>
      <c r="W527" s="133">
        <v>0</v>
      </c>
      <c r="X527" s="133">
        <v>0</v>
      </c>
      <c r="Y527" s="133"/>
      <c r="Z527" s="133">
        <v>0</v>
      </c>
      <c r="AA527" s="133"/>
      <c r="AB527" s="133"/>
      <c r="AC527" s="133">
        <f t="shared" si="40"/>
        <v>0</v>
      </c>
      <c r="AD527" s="133"/>
      <c r="AE527" s="136" t="s">
        <v>1842</v>
      </c>
      <c r="AG527" s="137"/>
    </row>
    <row r="528" spans="1:33" s="14" customFormat="1">
      <c r="A528" s="133">
        <f t="shared" si="43"/>
        <v>470</v>
      </c>
      <c r="B528" s="11" t="s">
        <v>738</v>
      </c>
      <c r="C528" s="133" t="s">
        <v>1684</v>
      </c>
      <c r="D528" s="133" t="s">
        <v>1843</v>
      </c>
      <c r="E528" s="133"/>
      <c r="F528" s="133" t="s">
        <v>37</v>
      </c>
      <c r="G528" s="134" t="s">
        <v>1844</v>
      </c>
      <c r="H528" s="133" t="s">
        <v>246</v>
      </c>
      <c r="I528" s="133" t="s">
        <v>246</v>
      </c>
      <c r="J528" s="135" t="s">
        <v>1845</v>
      </c>
      <c r="K528" s="133" t="s">
        <v>1114</v>
      </c>
      <c r="L528" s="133">
        <v>100</v>
      </c>
      <c r="M528" s="133"/>
      <c r="N528" s="133" t="s">
        <v>43</v>
      </c>
      <c r="O528" s="133" t="s">
        <v>1846</v>
      </c>
      <c r="P528" s="133" t="s">
        <v>1847</v>
      </c>
      <c r="Q528" s="133">
        <v>1</v>
      </c>
      <c r="R528" s="133">
        <v>3</v>
      </c>
      <c r="S528" s="133">
        <v>0</v>
      </c>
      <c r="T528" s="133">
        <v>0</v>
      </c>
      <c r="U528" s="133">
        <v>0</v>
      </c>
      <c r="V528" s="133">
        <v>0</v>
      </c>
      <c r="W528" s="133">
        <v>0</v>
      </c>
      <c r="X528" s="133">
        <v>0</v>
      </c>
      <c r="Y528" s="133"/>
      <c r="Z528" s="133">
        <v>0</v>
      </c>
      <c r="AA528" s="133"/>
      <c r="AB528" s="133"/>
      <c r="AC528" s="133">
        <f t="shared" si="40"/>
        <v>0</v>
      </c>
      <c r="AD528" s="133"/>
      <c r="AE528" s="136" t="s">
        <v>1848</v>
      </c>
      <c r="AG528" s="137"/>
    </row>
    <row r="529" spans="1:33" s="14" customFormat="1">
      <c r="A529" s="133">
        <f t="shared" si="43"/>
        <v>471</v>
      </c>
      <c r="B529" s="11" t="s">
        <v>738</v>
      </c>
      <c r="C529" s="133" t="s">
        <v>1684</v>
      </c>
      <c r="D529" s="133" t="s">
        <v>1849</v>
      </c>
      <c r="E529" s="133"/>
      <c r="F529" s="133" t="s">
        <v>37</v>
      </c>
      <c r="G529" s="134" t="s">
        <v>1850</v>
      </c>
      <c r="H529" s="133" t="s">
        <v>246</v>
      </c>
      <c r="I529" s="133" t="s">
        <v>246</v>
      </c>
      <c r="J529" s="135" t="s">
        <v>1851</v>
      </c>
      <c r="K529" s="133" t="s">
        <v>1114</v>
      </c>
      <c r="L529" s="133">
        <v>160</v>
      </c>
      <c r="M529" s="133"/>
      <c r="N529" s="133" t="s">
        <v>59</v>
      </c>
      <c r="O529" s="133" t="s">
        <v>1852</v>
      </c>
      <c r="P529" s="133" t="s">
        <v>95</v>
      </c>
      <c r="Q529" s="133">
        <v>1</v>
      </c>
      <c r="R529" s="133">
        <v>2</v>
      </c>
      <c r="S529" s="133">
        <v>0</v>
      </c>
      <c r="T529" s="133">
        <v>0</v>
      </c>
      <c r="U529" s="133">
        <v>0</v>
      </c>
      <c r="V529" s="133">
        <v>0</v>
      </c>
      <c r="W529" s="133">
        <v>0</v>
      </c>
      <c r="X529" s="133">
        <v>0</v>
      </c>
      <c r="Y529" s="133"/>
      <c r="Z529" s="133">
        <v>0</v>
      </c>
      <c r="AA529" s="133"/>
      <c r="AB529" s="133"/>
      <c r="AC529" s="133">
        <f t="shared" si="40"/>
        <v>0</v>
      </c>
      <c r="AD529" s="133"/>
      <c r="AE529" s="136"/>
      <c r="AG529" s="137"/>
    </row>
    <row r="530" spans="1:33" s="14" customFormat="1">
      <c r="A530" s="133">
        <f t="shared" si="43"/>
        <v>472</v>
      </c>
      <c r="B530" s="11" t="s">
        <v>738</v>
      </c>
      <c r="C530" s="133" t="s">
        <v>1684</v>
      </c>
      <c r="D530" s="133" t="s">
        <v>1853</v>
      </c>
      <c r="E530" s="133"/>
      <c r="F530" s="133" t="s">
        <v>37</v>
      </c>
      <c r="G530" s="134" t="s">
        <v>1854</v>
      </c>
      <c r="H530" s="133" t="s">
        <v>246</v>
      </c>
      <c r="I530" s="133" t="s">
        <v>246</v>
      </c>
      <c r="J530" s="135" t="s">
        <v>1855</v>
      </c>
      <c r="K530" s="133" t="s">
        <v>1114</v>
      </c>
      <c r="L530" s="133">
        <v>200</v>
      </c>
      <c r="M530" s="133"/>
      <c r="N530" s="133" t="s">
        <v>59</v>
      </c>
      <c r="O530" s="133" t="s">
        <v>1856</v>
      </c>
      <c r="P530" s="133">
        <v>2000</v>
      </c>
      <c r="Q530" s="133">
        <v>1</v>
      </c>
      <c r="R530" s="133">
        <v>2</v>
      </c>
      <c r="S530" s="133">
        <v>0</v>
      </c>
      <c r="T530" s="133">
        <v>0</v>
      </c>
      <c r="U530" s="133">
        <v>0</v>
      </c>
      <c r="V530" s="133">
        <v>0</v>
      </c>
      <c r="W530" s="133">
        <v>0</v>
      </c>
      <c r="X530" s="133">
        <v>0</v>
      </c>
      <c r="Y530" s="133"/>
      <c r="Z530" s="133">
        <v>0</v>
      </c>
      <c r="AA530" s="133"/>
      <c r="AB530" s="133"/>
      <c r="AC530" s="133">
        <f t="shared" si="40"/>
        <v>0</v>
      </c>
      <c r="AD530" s="133"/>
      <c r="AE530" s="136"/>
      <c r="AG530" s="137"/>
    </row>
    <row r="531" spans="1:33" s="14" customFormat="1">
      <c r="A531" s="133">
        <f t="shared" si="43"/>
        <v>473</v>
      </c>
      <c r="B531" s="11" t="s">
        <v>738</v>
      </c>
      <c r="C531" s="133" t="s">
        <v>1684</v>
      </c>
      <c r="D531" s="133" t="s">
        <v>1857</v>
      </c>
      <c r="E531" s="133"/>
      <c r="F531" s="175" t="s">
        <v>37</v>
      </c>
      <c r="G531" s="187" t="s">
        <v>1858</v>
      </c>
      <c r="H531" s="175" t="s">
        <v>246</v>
      </c>
      <c r="I531" s="175" t="s">
        <v>246</v>
      </c>
      <c r="J531" s="175"/>
      <c r="K531" s="133" t="s">
        <v>1114</v>
      </c>
      <c r="L531" s="133">
        <v>250</v>
      </c>
      <c r="M531" s="133"/>
      <c r="N531" s="133" t="s">
        <v>424</v>
      </c>
      <c r="O531" s="133">
        <v>980388</v>
      </c>
      <c r="P531" s="133"/>
      <c r="Q531" s="133">
        <v>1</v>
      </c>
      <c r="R531" s="133">
        <v>4</v>
      </c>
      <c r="S531" s="133">
        <v>0</v>
      </c>
      <c r="T531" s="133">
        <v>0</v>
      </c>
      <c r="U531" s="133">
        <v>0</v>
      </c>
      <c r="V531" s="133">
        <v>0</v>
      </c>
      <c r="W531" s="133">
        <v>0</v>
      </c>
      <c r="X531" s="133">
        <v>0</v>
      </c>
      <c r="Y531" s="133"/>
      <c r="Z531" s="133">
        <v>0</v>
      </c>
      <c r="AA531" s="133"/>
      <c r="AB531" s="133"/>
      <c r="AC531" s="133">
        <f t="shared" si="40"/>
        <v>0</v>
      </c>
      <c r="AD531" s="133"/>
      <c r="AE531" s="136"/>
      <c r="AG531" s="137"/>
    </row>
    <row r="532" spans="1:33" s="14" customFormat="1">
      <c r="A532" s="133">
        <f t="shared" si="43"/>
        <v>474</v>
      </c>
      <c r="B532" s="11" t="s">
        <v>738</v>
      </c>
      <c r="C532" s="133" t="s">
        <v>1684</v>
      </c>
      <c r="D532" s="133" t="s">
        <v>1859</v>
      </c>
      <c r="E532" s="133"/>
      <c r="F532" s="133" t="s">
        <v>37</v>
      </c>
      <c r="G532" s="134" t="s">
        <v>1860</v>
      </c>
      <c r="H532" s="133" t="s">
        <v>741</v>
      </c>
      <c r="I532" s="133" t="s">
        <v>741</v>
      </c>
      <c r="J532" s="135" t="s">
        <v>1861</v>
      </c>
      <c r="K532" s="133" t="s">
        <v>1114</v>
      </c>
      <c r="L532" s="133">
        <v>25</v>
      </c>
      <c r="M532" s="133"/>
      <c r="N532" s="133" t="s">
        <v>664</v>
      </c>
      <c r="O532" s="133">
        <v>9206575</v>
      </c>
      <c r="P532" s="133">
        <v>1992</v>
      </c>
      <c r="Q532" s="133"/>
      <c r="R532" s="133">
        <v>2</v>
      </c>
      <c r="S532" s="133">
        <v>0</v>
      </c>
      <c r="T532" s="133">
        <v>0</v>
      </c>
      <c r="U532" s="133">
        <v>0</v>
      </c>
      <c r="V532" s="133">
        <v>0</v>
      </c>
      <c r="W532" s="133">
        <v>0</v>
      </c>
      <c r="X532" s="133">
        <v>0</v>
      </c>
      <c r="Y532" s="133"/>
      <c r="Z532" s="133">
        <v>0</v>
      </c>
      <c r="AA532" s="133"/>
      <c r="AB532" s="133"/>
      <c r="AC532" s="133">
        <f t="shared" si="40"/>
        <v>0</v>
      </c>
      <c r="AD532" s="133"/>
      <c r="AE532" s="136"/>
      <c r="AG532" s="137"/>
    </row>
    <row r="533" spans="1:33" s="14" customFormat="1">
      <c r="A533" s="133">
        <f t="shared" si="43"/>
        <v>475</v>
      </c>
      <c r="B533" s="25" t="s">
        <v>738</v>
      </c>
      <c r="C533" s="161" t="s">
        <v>1684</v>
      </c>
      <c r="D533" s="161" t="s">
        <v>1862</v>
      </c>
      <c r="E533" s="161"/>
      <c r="F533" s="161" t="s">
        <v>37</v>
      </c>
      <c r="G533" s="162" t="s">
        <v>1860</v>
      </c>
      <c r="H533" s="161" t="s">
        <v>741</v>
      </c>
      <c r="I533" s="161" t="s">
        <v>741</v>
      </c>
      <c r="J533" s="163" t="s">
        <v>1863</v>
      </c>
      <c r="K533" s="161" t="s">
        <v>1114</v>
      </c>
      <c r="L533" s="133">
        <v>50</v>
      </c>
      <c r="M533" s="133"/>
      <c r="N533" s="133" t="s">
        <v>664</v>
      </c>
      <c r="O533" s="133" t="s">
        <v>1864</v>
      </c>
      <c r="P533" s="133">
        <v>1993</v>
      </c>
      <c r="Q533" s="133" t="s">
        <v>96</v>
      </c>
      <c r="R533" s="133">
        <v>2</v>
      </c>
      <c r="S533" s="133">
        <v>0</v>
      </c>
      <c r="T533" s="133">
        <v>0</v>
      </c>
      <c r="U533" s="133">
        <v>0</v>
      </c>
      <c r="V533" s="133">
        <v>0</v>
      </c>
      <c r="W533" s="133">
        <v>0</v>
      </c>
      <c r="X533" s="133">
        <v>0</v>
      </c>
      <c r="Y533" s="133"/>
      <c r="Z533" s="133">
        <v>0</v>
      </c>
      <c r="AA533" s="133"/>
      <c r="AB533" s="133"/>
      <c r="AC533" s="133">
        <f t="shared" si="40"/>
        <v>0</v>
      </c>
      <c r="AD533" s="133"/>
      <c r="AE533" s="136"/>
      <c r="AG533" s="137"/>
    </row>
    <row r="534" spans="1:33" s="14" customFormat="1">
      <c r="A534" s="133">
        <f t="shared" si="43"/>
        <v>476</v>
      </c>
      <c r="B534" s="25" t="s">
        <v>738</v>
      </c>
      <c r="C534" s="161" t="s">
        <v>1684</v>
      </c>
      <c r="D534" s="161" t="s">
        <v>1865</v>
      </c>
      <c r="E534" s="161"/>
      <c r="F534" s="161" t="s">
        <v>37</v>
      </c>
      <c r="G534" s="162" t="s">
        <v>1860</v>
      </c>
      <c r="H534" s="161" t="s">
        <v>741</v>
      </c>
      <c r="I534" s="161" t="s">
        <v>741</v>
      </c>
      <c r="J534" s="161"/>
      <c r="K534" s="161" t="s">
        <v>1114</v>
      </c>
      <c r="L534" s="133">
        <v>50</v>
      </c>
      <c r="M534" s="133"/>
      <c r="N534" s="133" t="s">
        <v>59</v>
      </c>
      <c r="O534" s="133" t="s">
        <v>1866</v>
      </c>
      <c r="P534" s="133" t="s">
        <v>766</v>
      </c>
      <c r="Q534" s="133"/>
      <c r="R534" s="133">
        <v>2</v>
      </c>
      <c r="S534" s="133">
        <v>0</v>
      </c>
      <c r="T534" s="133">
        <v>0</v>
      </c>
      <c r="U534" s="133">
        <v>0</v>
      </c>
      <c r="V534" s="133">
        <v>0</v>
      </c>
      <c r="W534" s="133">
        <v>0</v>
      </c>
      <c r="X534" s="133">
        <v>0</v>
      </c>
      <c r="Y534" s="133"/>
      <c r="Z534" s="133">
        <v>0</v>
      </c>
      <c r="AA534" s="133"/>
      <c r="AB534" s="133"/>
      <c r="AC534" s="133">
        <f t="shared" ref="AC534" si="47">SUM(U534:AB534)</f>
        <v>0</v>
      </c>
      <c r="AD534" s="133"/>
      <c r="AE534" s="136" t="s">
        <v>1867</v>
      </c>
      <c r="AG534" s="137"/>
    </row>
    <row r="535" spans="1:33" s="14" customFormat="1">
      <c r="A535" s="133">
        <f t="shared" si="43"/>
        <v>477</v>
      </c>
      <c r="B535" s="25" t="s">
        <v>738</v>
      </c>
      <c r="C535" s="161" t="s">
        <v>1684</v>
      </c>
      <c r="D535" s="161" t="s">
        <v>1868</v>
      </c>
      <c r="E535" s="161"/>
      <c r="F535" s="161" t="s">
        <v>37</v>
      </c>
      <c r="G535" s="162" t="s">
        <v>1869</v>
      </c>
      <c r="H535" s="161" t="s">
        <v>246</v>
      </c>
      <c r="I535" s="161" t="s">
        <v>246</v>
      </c>
      <c r="J535" s="161"/>
      <c r="K535" s="161" t="s">
        <v>1114</v>
      </c>
      <c r="L535" s="133">
        <v>100</v>
      </c>
      <c r="M535" s="133"/>
      <c r="N535" s="133" t="s">
        <v>1143</v>
      </c>
      <c r="O535" s="133" t="s">
        <v>1870</v>
      </c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  <c r="AA535" s="133"/>
      <c r="AB535" s="133"/>
      <c r="AC535" s="133"/>
      <c r="AD535" s="133"/>
      <c r="AE535" s="136"/>
      <c r="AG535" s="137"/>
    </row>
    <row r="536" spans="1:33" s="14" customFormat="1">
      <c r="A536" s="133">
        <f t="shared" si="43"/>
        <v>478</v>
      </c>
      <c r="B536" s="11" t="s">
        <v>738</v>
      </c>
      <c r="C536" s="133" t="s">
        <v>1684</v>
      </c>
      <c r="D536" s="133" t="s">
        <v>1871</v>
      </c>
      <c r="E536" s="133"/>
      <c r="F536" s="133" t="s">
        <v>37</v>
      </c>
      <c r="G536" s="134" t="s">
        <v>1872</v>
      </c>
      <c r="H536" s="133" t="s">
        <v>741</v>
      </c>
      <c r="I536" s="133" t="s">
        <v>741</v>
      </c>
      <c r="J536" s="135" t="s">
        <v>335</v>
      </c>
      <c r="K536" s="133" t="s">
        <v>1114</v>
      </c>
      <c r="L536" s="133">
        <v>50</v>
      </c>
      <c r="M536" s="133"/>
      <c r="N536" s="133" t="s">
        <v>664</v>
      </c>
      <c r="O536" s="133" t="s">
        <v>1873</v>
      </c>
      <c r="P536" s="133">
        <v>2008</v>
      </c>
      <c r="Q536" s="133">
        <v>1</v>
      </c>
      <c r="R536" s="133">
        <v>2</v>
      </c>
      <c r="S536" s="133">
        <v>0</v>
      </c>
      <c r="T536" s="133">
        <v>0</v>
      </c>
      <c r="U536" s="133">
        <v>0</v>
      </c>
      <c r="V536" s="133">
        <v>0</v>
      </c>
      <c r="W536" s="133">
        <v>0</v>
      </c>
      <c r="X536" s="133">
        <v>0</v>
      </c>
      <c r="Y536" s="133"/>
      <c r="Z536" s="133">
        <v>0</v>
      </c>
      <c r="AA536" s="133"/>
      <c r="AB536" s="133"/>
      <c r="AC536" s="133">
        <f t="shared" si="40"/>
        <v>0</v>
      </c>
      <c r="AD536" s="133"/>
      <c r="AE536" s="136"/>
      <c r="AG536" s="137"/>
    </row>
    <row r="537" spans="1:33" s="14" customFormat="1">
      <c r="A537" s="133">
        <f t="shared" si="43"/>
        <v>479</v>
      </c>
      <c r="B537" s="11" t="s">
        <v>738</v>
      </c>
      <c r="C537" s="133" t="s">
        <v>1684</v>
      </c>
      <c r="D537" s="133" t="s">
        <v>1874</v>
      </c>
      <c r="E537" s="133"/>
      <c r="F537" s="133" t="s">
        <v>37</v>
      </c>
      <c r="G537" s="134" t="s">
        <v>1875</v>
      </c>
      <c r="H537" s="133" t="s">
        <v>741</v>
      </c>
      <c r="I537" s="133" t="s">
        <v>741</v>
      </c>
      <c r="J537" s="135" t="s">
        <v>1876</v>
      </c>
      <c r="K537" s="133" t="s">
        <v>1114</v>
      </c>
      <c r="L537" s="133">
        <v>160</v>
      </c>
      <c r="M537" s="133"/>
      <c r="N537" s="133" t="s">
        <v>93</v>
      </c>
      <c r="O537" s="133" t="s">
        <v>1877</v>
      </c>
      <c r="P537" s="133">
        <v>2022</v>
      </c>
      <c r="Q537" s="133">
        <v>1</v>
      </c>
      <c r="R537" s="133">
        <v>2</v>
      </c>
      <c r="S537" s="133">
        <v>0</v>
      </c>
      <c r="T537" s="133">
        <v>0</v>
      </c>
      <c r="U537" s="133">
        <v>0</v>
      </c>
      <c r="V537" s="133">
        <v>0</v>
      </c>
      <c r="W537" s="133">
        <v>0</v>
      </c>
      <c r="X537" s="133">
        <v>0</v>
      </c>
      <c r="Y537" s="133"/>
      <c r="Z537" s="133">
        <v>0</v>
      </c>
      <c r="AA537" s="133"/>
      <c r="AB537" s="133"/>
      <c r="AC537" s="133">
        <f t="shared" si="40"/>
        <v>0</v>
      </c>
      <c r="AD537" s="133"/>
      <c r="AE537" s="136"/>
      <c r="AG537" s="137"/>
    </row>
    <row r="538" spans="1:33" s="14" customFormat="1">
      <c r="A538" s="133">
        <f t="shared" si="43"/>
        <v>480</v>
      </c>
      <c r="B538" s="11" t="s">
        <v>738</v>
      </c>
      <c r="C538" s="133" t="s">
        <v>1684</v>
      </c>
      <c r="D538" s="133" t="s">
        <v>1878</v>
      </c>
      <c r="E538" s="133"/>
      <c r="F538" s="133" t="s">
        <v>37</v>
      </c>
      <c r="G538" s="134" t="s">
        <v>1879</v>
      </c>
      <c r="H538" s="133" t="s">
        <v>246</v>
      </c>
      <c r="I538" s="133" t="s">
        <v>246</v>
      </c>
      <c r="J538" s="135" t="s">
        <v>1880</v>
      </c>
      <c r="K538" s="133" t="s">
        <v>1114</v>
      </c>
      <c r="L538" s="133">
        <v>160</v>
      </c>
      <c r="M538" s="133"/>
      <c r="N538" s="133" t="s">
        <v>780</v>
      </c>
      <c r="O538" s="133">
        <v>132092</v>
      </c>
      <c r="P538" s="133"/>
      <c r="Q538" s="133">
        <v>1</v>
      </c>
      <c r="R538" s="133">
        <v>3</v>
      </c>
      <c r="S538" s="133">
        <v>0</v>
      </c>
      <c r="T538" s="133">
        <v>0</v>
      </c>
      <c r="U538" s="133">
        <v>0</v>
      </c>
      <c r="V538" s="133">
        <v>0</v>
      </c>
      <c r="W538" s="133">
        <v>0</v>
      </c>
      <c r="X538" s="133">
        <v>0</v>
      </c>
      <c r="Y538" s="133"/>
      <c r="Z538" s="133">
        <v>0</v>
      </c>
      <c r="AA538" s="133"/>
      <c r="AB538" s="133"/>
      <c r="AC538" s="133">
        <f t="shared" si="40"/>
        <v>0</v>
      </c>
      <c r="AD538" s="133"/>
      <c r="AE538" s="136"/>
      <c r="AG538" s="137"/>
    </row>
    <row r="539" spans="1:33" s="14" customFormat="1">
      <c r="A539" s="133">
        <f t="shared" si="43"/>
        <v>481</v>
      </c>
      <c r="B539" s="11" t="s">
        <v>738</v>
      </c>
      <c r="C539" s="133" t="s">
        <v>1684</v>
      </c>
      <c r="D539" s="133" t="s">
        <v>1881</v>
      </c>
      <c r="E539" s="133"/>
      <c r="F539" s="133" t="s">
        <v>37</v>
      </c>
      <c r="G539" s="134" t="s">
        <v>1882</v>
      </c>
      <c r="H539" s="133" t="s">
        <v>246</v>
      </c>
      <c r="I539" s="133" t="s">
        <v>246</v>
      </c>
      <c r="J539" s="135" t="s">
        <v>1883</v>
      </c>
      <c r="K539" s="133" t="s">
        <v>1114</v>
      </c>
      <c r="L539" s="133">
        <v>250</v>
      </c>
      <c r="M539" s="133"/>
      <c r="N539" s="133" t="s">
        <v>324</v>
      </c>
      <c r="O539" s="133" t="s">
        <v>1884</v>
      </c>
      <c r="P539" s="133" t="s">
        <v>444</v>
      </c>
      <c r="Q539" s="133">
        <v>1</v>
      </c>
      <c r="R539" s="133">
        <v>2</v>
      </c>
      <c r="S539" s="133">
        <v>0</v>
      </c>
      <c r="T539" s="133">
        <v>0</v>
      </c>
      <c r="U539" s="133">
        <v>0</v>
      </c>
      <c r="V539" s="133">
        <v>0</v>
      </c>
      <c r="W539" s="133">
        <v>0</v>
      </c>
      <c r="X539" s="133">
        <v>0</v>
      </c>
      <c r="Y539" s="133"/>
      <c r="Z539" s="133">
        <v>0</v>
      </c>
      <c r="AA539" s="133"/>
      <c r="AB539" s="133"/>
      <c r="AC539" s="133">
        <f t="shared" si="40"/>
        <v>0</v>
      </c>
      <c r="AD539" s="133"/>
      <c r="AE539" s="136"/>
      <c r="AG539" s="137"/>
    </row>
    <row r="540" spans="1:33" s="14" customFormat="1">
      <c r="A540" s="133">
        <f t="shared" si="43"/>
        <v>482</v>
      </c>
      <c r="B540" s="11" t="s">
        <v>738</v>
      </c>
      <c r="C540" s="133" t="s">
        <v>1684</v>
      </c>
      <c r="D540" s="133" t="s">
        <v>1885</v>
      </c>
      <c r="E540" s="133"/>
      <c r="F540" s="133" t="s">
        <v>37</v>
      </c>
      <c r="G540" s="134" t="s">
        <v>1886</v>
      </c>
      <c r="H540" s="133" t="s">
        <v>741</v>
      </c>
      <c r="I540" s="133" t="s">
        <v>741</v>
      </c>
      <c r="J540" s="133" t="s">
        <v>1887</v>
      </c>
      <c r="K540" s="133" t="s">
        <v>1114</v>
      </c>
      <c r="L540" s="133">
        <v>100</v>
      </c>
      <c r="M540" s="133"/>
      <c r="N540" s="133" t="s">
        <v>863</v>
      </c>
      <c r="O540" s="133" t="s">
        <v>1888</v>
      </c>
      <c r="P540" s="133" t="s">
        <v>766</v>
      </c>
      <c r="Q540" s="133" t="s">
        <v>96</v>
      </c>
      <c r="R540" s="133" t="s">
        <v>482</v>
      </c>
      <c r="S540" s="133"/>
      <c r="T540" s="133"/>
      <c r="U540" s="133"/>
      <c r="V540" s="133"/>
      <c r="W540" s="133"/>
      <c r="X540" s="133"/>
      <c r="Y540" s="133"/>
      <c r="Z540" s="133"/>
      <c r="AA540" s="133"/>
      <c r="AB540" s="133"/>
      <c r="AC540" s="133"/>
      <c r="AD540" s="133"/>
      <c r="AE540" s="136" t="s">
        <v>1889</v>
      </c>
      <c r="AG540" s="137" t="s">
        <v>1889</v>
      </c>
    </row>
    <row r="541" spans="1:33" s="14" customFormat="1">
      <c r="A541" s="133">
        <f t="shared" si="43"/>
        <v>483</v>
      </c>
      <c r="B541" s="11" t="s">
        <v>738</v>
      </c>
      <c r="C541" s="133" t="s">
        <v>1684</v>
      </c>
      <c r="D541" s="133" t="s">
        <v>1890</v>
      </c>
      <c r="E541" s="133"/>
      <c r="F541" s="133" t="s">
        <v>37</v>
      </c>
      <c r="G541" s="134" t="s">
        <v>1891</v>
      </c>
      <c r="H541" s="133" t="s">
        <v>741</v>
      </c>
      <c r="I541" s="133" t="s">
        <v>741</v>
      </c>
      <c r="J541" s="135" t="s">
        <v>1892</v>
      </c>
      <c r="K541" s="133" t="s">
        <v>1114</v>
      </c>
      <c r="L541" s="133">
        <v>100</v>
      </c>
      <c r="M541" s="133"/>
      <c r="N541" s="133" t="s">
        <v>59</v>
      </c>
      <c r="O541" s="133">
        <v>184312610</v>
      </c>
      <c r="P541" s="133" t="s">
        <v>95</v>
      </c>
      <c r="Q541" s="133">
        <v>1</v>
      </c>
      <c r="R541" s="133" t="s">
        <v>482</v>
      </c>
      <c r="S541" s="133"/>
      <c r="T541" s="133"/>
      <c r="U541" s="133"/>
      <c r="V541" s="133"/>
      <c r="W541" s="133"/>
      <c r="X541" s="133"/>
      <c r="Y541" s="133"/>
      <c r="Z541" s="133"/>
      <c r="AA541" s="133"/>
      <c r="AB541" s="133"/>
      <c r="AC541" s="133">
        <f t="shared" si="40"/>
        <v>0</v>
      </c>
      <c r="AD541" s="133"/>
      <c r="AE541" s="136"/>
      <c r="AG541" s="137"/>
    </row>
    <row r="542" spans="1:33" s="14" customFormat="1">
      <c r="A542" s="133">
        <f t="shared" si="43"/>
        <v>484</v>
      </c>
      <c r="B542" s="11" t="s">
        <v>738</v>
      </c>
      <c r="C542" s="133" t="s">
        <v>1684</v>
      </c>
      <c r="D542" s="133" t="s">
        <v>1893</v>
      </c>
      <c r="E542" s="133"/>
      <c r="F542" s="133" t="s">
        <v>37</v>
      </c>
      <c r="G542" s="134" t="s">
        <v>1894</v>
      </c>
      <c r="H542" s="133" t="s">
        <v>741</v>
      </c>
      <c r="I542" s="133" t="s">
        <v>741</v>
      </c>
      <c r="J542" s="135" t="s">
        <v>1895</v>
      </c>
      <c r="K542" s="133" t="s">
        <v>1114</v>
      </c>
      <c r="L542" s="133">
        <v>100</v>
      </c>
      <c r="M542" s="133"/>
      <c r="N542" s="133" t="s">
        <v>863</v>
      </c>
      <c r="O542" s="133" t="s">
        <v>1896</v>
      </c>
      <c r="P542" s="133">
        <v>2012</v>
      </c>
      <c r="Q542" s="133">
        <v>1</v>
      </c>
      <c r="R542" s="133">
        <v>2</v>
      </c>
      <c r="S542" s="133">
        <v>0</v>
      </c>
      <c r="T542" s="133">
        <v>0</v>
      </c>
      <c r="U542" s="133">
        <v>0</v>
      </c>
      <c r="V542" s="133">
        <v>0</v>
      </c>
      <c r="W542" s="133">
        <v>0</v>
      </c>
      <c r="X542" s="133">
        <v>0</v>
      </c>
      <c r="Y542" s="133"/>
      <c r="Z542" s="133">
        <v>0</v>
      </c>
      <c r="AA542" s="133"/>
      <c r="AB542" s="133"/>
      <c r="AC542" s="133">
        <f t="shared" si="40"/>
        <v>0</v>
      </c>
      <c r="AD542" s="133"/>
      <c r="AE542" s="136"/>
      <c r="AG542" s="137"/>
    </row>
    <row r="543" spans="1:33" s="14" customFormat="1">
      <c r="A543" s="133">
        <f t="shared" si="43"/>
        <v>485</v>
      </c>
      <c r="B543" s="11" t="s">
        <v>738</v>
      </c>
      <c r="C543" s="133" t="s">
        <v>1684</v>
      </c>
      <c r="D543" s="133" t="s">
        <v>1897</v>
      </c>
      <c r="E543" s="133"/>
      <c r="F543" s="133" t="s">
        <v>37</v>
      </c>
      <c r="G543" s="134" t="s">
        <v>1285</v>
      </c>
      <c r="H543" s="133" t="s">
        <v>741</v>
      </c>
      <c r="I543" s="133" t="s">
        <v>741</v>
      </c>
      <c r="J543" s="135" t="s">
        <v>1898</v>
      </c>
      <c r="K543" s="133" t="s">
        <v>1114</v>
      </c>
      <c r="L543" s="133">
        <v>160</v>
      </c>
      <c r="M543" s="133"/>
      <c r="N543" s="133" t="s">
        <v>59</v>
      </c>
      <c r="O543" s="133" t="s">
        <v>1899</v>
      </c>
      <c r="P543" s="133" t="s">
        <v>255</v>
      </c>
      <c r="Q543" s="133">
        <v>1</v>
      </c>
      <c r="R543" s="133">
        <v>2</v>
      </c>
      <c r="S543" s="133">
        <v>0</v>
      </c>
      <c r="T543" s="133">
        <v>0</v>
      </c>
      <c r="U543" s="133">
        <v>0</v>
      </c>
      <c r="V543" s="133">
        <v>0</v>
      </c>
      <c r="W543" s="133">
        <v>0</v>
      </c>
      <c r="X543" s="133">
        <v>0</v>
      </c>
      <c r="Y543" s="133"/>
      <c r="Z543" s="133">
        <v>0</v>
      </c>
      <c r="AA543" s="133"/>
      <c r="AB543" s="133"/>
      <c r="AC543" s="133">
        <f t="shared" si="40"/>
        <v>0</v>
      </c>
      <c r="AD543" s="133"/>
      <c r="AE543" s="136"/>
      <c r="AG543" s="137"/>
    </row>
    <row r="544" spans="1:33" s="14" customFormat="1">
      <c r="A544" s="133">
        <f t="shared" si="43"/>
        <v>486</v>
      </c>
      <c r="B544" s="11" t="s">
        <v>738</v>
      </c>
      <c r="C544" s="133" t="s">
        <v>1684</v>
      </c>
      <c r="D544" s="133" t="s">
        <v>1900</v>
      </c>
      <c r="E544" s="133"/>
      <c r="F544" s="133" t="s">
        <v>37</v>
      </c>
      <c r="G544" s="134" t="s">
        <v>1879</v>
      </c>
      <c r="H544" s="133" t="s">
        <v>246</v>
      </c>
      <c r="I544" s="133" t="s">
        <v>246</v>
      </c>
      <c r="J544" s="135" t="s">
        <v>1901</v>
      </c>
      <c r="K544" s="133" t="s">
        <v>1114</v>
      </c>
      <c r="L544" s="133">
        <v>200</v>
      </c>
      <c r="M544" s="133"/>
      <c r="N544" s="133" t="s">
        <v>43</v>
      </c>
      <c r="O544" s="133">
        <v>70135</v>
      </c>
      <c r="P544" s="133"/>
      <c r="Q544" s="133">
        <v>1</v>
      </c>
      <c r="R544" s="133">
        <v>2</v>
      </c>
      <c r="S544" s="133">
        <v>0</v>
      </c>
      <c r="T544" s="133">
        <v>0</v>
      </c>
      <c r="U544" s="133">
        <v>0</v>
      </c>
      <c r="V544" s="133">
        <v>0</v>
      </c>
      <c r="W544" s="133">
        <v>0</v>
      </c>
      <c r="X544" s="133">
        <v>0</v>
      </c>
      <c r="Y544" s="133"/>
      <c r="Z544" s="133">
        <v>0</v>
      </c>
      <c r="AA544" s="133"/>
      <c r="AB544" s="133"/>
      <c r="AC544" s="133">
        <f t="shared" si="40"/>
        <v>0</v>
      </c>
      <c r="AD544" s="133"/>
      <c r="AE544" s="136"/>
      <c r="AG544" s="137"/>
    </row>
    <row r="545" spans="1:33" s="14" customFormat="1">
      <c r="A545" s="133">
        <f t="shared" si="43"/>
        <v>487</v>
      </c>
      <c r="B545" s="11" t="s">
        <v>738</v>
      </c>
      <c r="C545" s="133" t="s">
        <v>1684</v>
      </c>
      <c r="D545" s="133" t="s">
        <v>1902</v>
      </c>
      <c r="E545" s="133"/>
      <c r="F545" s="133" t="s">
        <v>37</v>
      </c>
      <c r="G545" s="134" t="s">
        <v>1903</v>
      </c>
      <c r="H545" s="133" t="s">
        <v>741</v>
      </c>
      <c r="I545" s="133" t="s">
        <v>741</v>
      </c>
      <c r="J545" s="135" t="s">
        <v>1904</v>
      </c>
      <c r="K545" s="133" t="s">
        <v>1114</v>
      </c>
      <c r="L545" s="133">
        <v>100</v>
      </c>
      <c r="M545" s="133"/>
      <c r="N545" s="133" t="s">
        <v>424</v>
      </c>
      <c r="O545" s="133">
        <v>6009096</v>
      </c>
      <c r="P545" s="133"/>
      <c r="Q545" s="133">
        <v>1</v>
      </c>
      <c r="R545" s="133">
        <v>2</v>
      </c>
      <c r="S545" s="133">
        <v>0</v>
      </c>
      <c r="T545" s="133">
        <v>0</v>
      </c>
      <c r="U545" s="133">
        <v>0</v>
      </c>
      <c r="V545" s="133">
        <v>0</v>
      </c>
      <c r="W545" s="133">
        <v>0</v>
      </c>
      <c r="X545" s="133">
        <v>0</v>
      </c>
      <c r="Y545" s="133"/>
      <c r="Z545" s="133">
        <v>0</v>
      </c>
      <c r="AA545" s="133"/>
      <c r="AB545" s="133"/>
      <c r="AC545" s="133">
        <f t="shared" si="40"/>
        <v>0</v>
      </c>
      <c r="AD545" s="133"/>
      <c r="AE545" s="136"/>
      <c r="AG545" s="137"/>
    </row>
    <row r="546" spans="1:33" s="14" customFormat="1">
      <c r="A546" s="133">
        <f t="shared" si="43"/>
        <v>488</v>
      </c>
      <c r="B546" s="11" t="s">
        <v>738</v>
      </c>
      <c r="C546" s="133" t="s">
        <v>1684</v>
      </c>
      <c r="D546" s="133" t="s">
        <v>1905</v>
      </c>
      <c r="E546" s="133"/>
      <c r="F546" s="133" t="s">
        <v>37</v>
      </c>
      <c r="G546" s="134" t="s">
        <v>1906</v>
      </c>
      <c r="H546" s="133" t="s">
        <v>741</v>
      </c>
      <c r="I546" s="133" t="s">
        <v>741</v>
      </c>
      <c r="J546" s="135" t="s">
        <v>1907</v>
      </c>
      <c r="K546" s="133" t="s">
        <v>1114</v>
      </c>
      <c r="L546" s="133">
        <v>100</v>
      </c>
      <c r="M546" s="133"/>
      <c r="N546" s="133" t="s">
        <v>664</v>
      </c>
      <c r="O546" s="133">
        <v>20083458</v>
      </c>
      <c r="P546" s="133">
        <v>2008</v>
      </c>
      <c r="Q546" s="133">
        <v>1</v>
      </c>
      <c r="R546" s="133">
        <v>2</v>
      </c>
      <c r="S546" s="133">
        <v>0</v>
      </c>
      <c r="T546" s="133">
        <v>0</v>
      </c>
      <c r="U546" s="133">
        <v>0</v>
      </c>
      <c r="V546" s="133">
        <v>0</v>
      </c>
      <c r="W546" s="133">
        <v>0</v>
      </c>
      <c r="X546" s="133">
        <v>0</v>
      </c>
      <c r="Y546" s="133"/>
      <c r="Z546" s="133">
        <v>0</v>
      </c>
      <c r="AA546" s="133"/>
      <c r="AB546" s="133"/>
      <c r="AC546" s="133">
        <f t="shared" si="40"/>
        <v>0</v>
      </c>
      <c r="AD546" s="133"/>
      <c r="AE546" s="136"/>
      <c r="AG546" s="137"/>
    </row>
    <row r="547" spans="1:33" s="14" customFormat="1">
      <c r="A547" s="133">
        <f t="shared" si="43"/>
        <v>489</v>
      </c>
      <c r="B547" s="11" t="s">
        <v>738</v>
      </c>
      <c r="C547" s="133" t="s">
        <v>1908</v>
      </c>
      <c r="D547" s="133" t="s">
        <v>1909</v>
      </c>
      <c r="E547" s="133"/>
      <c r="F547" s="133" t="s">
        <v>37</v>
      </c>
      <c r="G547" s="134" t="s">
        <v>1910</v>
      </c>
      <c r="H547" s="133" t="s">
        <v>39</v>
      </c>
      <c r="I547" s="133" t="s">
        <v>40</v>
      </c>
      <c r="J547" s="135" t="s">
        <v>1911</v>
      </c>
      <c r="K547" s="133" t="s">
        <v>1114</v>
      </c>
      <c r="L547" s="133">
        <v>400</v>
      </c>
      <c r="M547" s="133"/>
      <c r="N547" s="133" t="s">
        <v>93</v>
      </c>
      <c r="O547" s="133" t="s">
        <v>1912</v>
      </c>
      <c r="P547" s="133" t="s">
        <v>255</v>
      </c>
      <c r="Q547" s="133">
        <v>1</v>
      </c>
      <c r="R547" s="133">
        <v>4</v>
      </c>
      <c r="S547" s="133">
        <v>0</v>
      </c>
      <c r="T547" s="133">
        <v>0</v>
      </c>
      <c r="U547" s="133">
        <v>2</v>
      </c>
      <c r="V547" s="133">
        <v>1</v>
      </c>
      <c r="W547" s="133">
        <v>1</v>
      </c>
      <c r="X547" s="133">
        <v>0</v>
      </c>
      <c r="Y547" s="133"/>
      <c r="Z547" s="133">
        <v>0</v>
      </c>
      <c r="AA547" s="133"/>
      <c r="AB547" s="133"/>
      <c r="AC547" s="133">
        <f t="shared" si="40"/>
        <v>4</v>
      </c>
      <c r="AD547" s="133"/>
      <c r="AE547" s="136"/>
      <c r="AG547" s="137"/>
    </row>
    <row r="548" spans="1:33" s="14" customFormat="1">
      <c r="A548" s="133">
        <f t="shared" si="43"/>
        <v>490</v>
      </c>
      <c r="B548" s="11" t="s">
        <v>738</v>
      </c>
      <c r="C548" s="133" t="s">
        <v>1684</v>
      </c>
      <c r="D548" s="133" t="s">
        <v>1913</v>
      </c>
      <c r="E548" s="133"/>
      <c r="F548" s="133" t="s">
        <v>37</v>
      </c>
      <c r="G548" s="134" t="s">
        <v>1914</v>
      </c>
      <c r="H548" s="133" t="s">
        <v>246</v>
      </c>
      <c r="I548" s="133" t="s">
        <v>246</v>
      </c>
      <c r="J548" s="135" t="s">
        <v>1915</v>
      </c>
      <c r="K548" s="133" t="s">
        <v>1114</v>
      </c>
      <c r="L548" s="133">
        <v>160</v>
      </c>
      <c r="M548" s="133"/>
      <c r="N548" s="133" t="s">
        <v>424</v>
      </c>
      <c r="O548" s="133" t="s">
        <v>1916</v>
      </c>
      <c r="P548" s="133" t="s">
        <v>95</v>
      </c>
      <c r="Q548" s="133">
        <v>1</v>
      </c>
      <c r="R548" s="133">
        <v>2</v>
      </c>
      <c r="S548" s="133">
        <v>0</v>
      </c>
      <c r="T548" s="133">
        <v>0</v>
      </c>
      <c r="U548" s="133">
        <v>0</v>
      </c>
      <c r="V548" s="133">
        <v>0</v>
      </c>
      <c r="W548" s="133">
        <v>0</v>
      </c>
      <c r="X548" s="133">
        <v>0</v>
      </c>
      <c r="Y548" s="133"/>
      <c r="Z548" s="133">
        <v>0</v>
      </c>
      <c r="AA548" s="133"/>
      <c r="AB548" s="133"/>
      <c r="AC548" s="133">
        <f t="shared" ref="AC548:AC625" si="48">SUM(U548:AB548)</f>
        <v>0</v>
      </c>
      <c r="AD548" s="133"/>
      <c r="AE548" s="136"/>
      <c r="AG548" s="137"/>
    </row>
    <row r="549" spans="1:33" s="14" customFormat="1">
      <c r="A549" s="133">
        <f t="shared" si="43"/>
        <v>491</v>
      </c>
      <c r="B549" s="11" t="s">
        <v>738</v>
      </c>
      <c r="C549" s="133" t="s">
        <v>1684</v>
      </c>
      <c r="D549" s="133" t="s">
        <v>1917</v>
      </c>
      <c r="E549" s="133"/>
      <c r="F549" s="133" t="s">
        <v>37</v>
      </c>
      <c r="G549" s="134" t="s">
        <v>1918</v>
      </c>
      <c r="H549" s="133" t="s">
        <v>246</v>
      </c>
      <c r="I549" s="133" t="s">
        <v>246</v>
      </c>
      <c r="J549" s="135" t="s">
        <v>1919</v>
      </c>
      <c r="K549" s="133" t="s">
        <v>1114</v>
      </c>
      <c r="L549" s="133">
        <v>100</v>
      </c>
      <c r="M549" s="133"/>
      <c r="N549" s="133" t="s">
        <v>424</v>
      </c>
      <c r="O549" s="133">
        <v>7009208</v>
      </c>
      <c r="P549" s="133"/>
      <c r="Q549" s="133">
        <v>1</v>
      </c>
      <c r="R549" s="133">
        <v>2</v>
      </c>
      <c r="S549" s="133">
        <v>0</v>
      </c>
      <c r="T549" s="133">
        <v>0</v>
      </c>
      <c r="U549" s="133">
        <v>0</v>
      </c>
      <c r="V549" s="133">
        <v>0</v>
      </c>
      <c r="W549" s="133">
        <v>0</v>
      </c>
      <c r="X549" s="133">
        <v>0</v>
      </c>
      <c r="Y549" s="133"/>
      <c r="Z549" s="133">
        <v>0</v>
      </c>
      <c r="AA549" s="133"/>
      <c r="AB549" s="133"/>
      <c r="AC549" s="133">
        <f t="shared" si="48"/>
        <v>0</v>
      </c>
      <c r="AD549" s="133"/>
      <c r="AE549" s="136"/>
      <c r="AG549" s="137"/>
    </row>
    <row r="550" spans="1:33" s="14" customFormat="1">
      <c r="A550" s="133">
        <f t="shared" si="43"/>
        <v>492</v>
      </c>
      <c r="B550" s="11" t="s">
        <v>738</v>
      </c>
      <c r="C550" s="133" t="s">
        <v>1684</v>
      </c>
      <c r="D550" s="133" t="s">
        <v>1920</v>
      </c>
      <c r="E550" s="133"/>
      <c r="F550" s="133" t="s">
        <v>63</v>
      </c>
      <c r="G550" s="134" t="s">
        <v>1921</v>
      </c>
      <c r="H550" s="133" t="s">
        <v>39</v>
      </c>
      <c r="I550" s="133" t="s">
        <v>40</v>
      </c>
      <c r="J550" s="135" t="s">
        <v>1922</v>
      </c>
      <c r="K550" s="133" t="s">
        <v>1114</v>
      </c>
      <c r="L550" s="133"/>
      <c r="M550" s="133">
        <v>400</v>
      </c>
      <c r="N550" s="133" t="s">
        <v>1923</v>
      </c>
      <c r="O550" s="133">
        <v>901137</v>
      </c>
      <c r="P550" s="133"/>
      <c r="Q550" s="133"/>
      <c r="R550" s="133"/>
      <c r="S550" s="133" t="s">
        <v>45</v>
      </c>
      <c r="T550" s="133" t="s">
        <v>46</v>
      </c>
      <c r="U550" s="133">
        <v>1</v>
      </c>
      <c r="V550" s="133">
        <v>0</v>
      </c>
      <c r="W550" s="133">
        <v>1</v>
      </c>
      <c r="X550" s="133">
        <v>1</v>
      </c>
      <c r="Y550" s="133"/>
      <c r="Z550" s="133">
        <v>0</v>
      </c>
      <c r="AA550" s="133"/>
      <c r="AB550" s="133"/>
      <c r="AC550" s="133">
        <f t="shared" si="48"/>
        <v>3</v>
      </c>
      <c r="AD550" s="133"/>
      <c r="AE550" s="136"/>
      <c r="AG550" s="137"/>
    </row>
    <row r="551" spans="1:33" s="14" customFormat="1">
      <c r="A551" s="133">
        <f t="shared" si="43"/>
        <v>493</v>
      </c>
      <c r="B551" s="11" t="s">
        <v>738</v>
      </c>
      <c r="C551" s="133" t="s">
        <v>1684</v>
      </c>
      <c r="D551" s="133" t="s">
        <v>1924</v>
      </c>
      <c r="E551" s="133"/>
      <c r="F551" s="133" t="s">
        <v>37</v>
      </c>
      <c r="G551" s="134" t="s">
        <v>1925</v>
      </c>
      <c r="H551" s="133" t="s">
        <v>39</v>
      </c>
      <c r="I551" s="133" t="s">
        <v>40</v>
      </c>
      <c r="J551" s="135" t="s">
        <v>1926</v>
      </c>
      <c r="K551" s="133" t="s">
        <v>1114</v>
      </c>
      <c r="L551" s="133">
        <v>630</v>
      </c>
      <c r="M551" s="133"/>
      <c r="N551" s="133" t="s">
        <v>93</v>
      </c>
      <c r="O551" s="133" t="s">
        <v>1927</v>
      </c>
      <c r="P551" s="133" t="s">
        <v>95</v>
      </c>
      <c r="Q551" s="133"/>
      <c r="R551" s="133">
        <v>4</v>
      </c>
      <c r="S551" s="133" t="s">
        <v>45</v>
      </c>
      <c r="T551" s="133" t="s">
        <v>46</v>
      </c>
      <c r="U551" s="133">
        <v>3</v>
      </c>
      <c r="V551" s="133">
        <v>1</v>
      </c>
      <c r="W551" s="133">
        <v>0</v>
      </c>
      <c r="X551" s="133">
        <v>0</v>
      </c>
      <c r="Y551" s="133"/>
      <c r="Z551" s="133">
        <v>0</v>
      </c>
      <c r="AA551" s="133"/>
      <c r="AB551" s="133"/>
      <c r="AC551" s="133">
        <f t="shared" si="48"/>
        <v>4</v>
      </c>
      <c r="AD551" s="133"/>
      <c r="AE551" s="136" t="s">
        <v>1928</v>
      </c>
      <c r="AG551" s="137"/>
    </row>
    <row r="552" spans="1:33" s="14" customFormat="1">
      <c r="A552" s="133">
        <f t="shared" si="43"/>
        <v>494</v>
      </c>
      <c r="B552" s="11" t="s">
        <v>738</v>
      </c>
      <c r="C552" s="133" t="s">
        <v>1684</v>
      </c>
      <c r="D552" s="133" t="s">
        <v>1929</v>
      </c>
      <c r="E552" s="133"/>
      <c r="F552" s="133" t="s">
        <v>37</v>
      </c>
      <c r="G552" s="134" t="s">
        <v>1930</v>
      </c>
      <c r="H552" s="133" t="s">
        <v>246</v>
      </c>
      <c r="I552" s="133" t="s">
        <v>246</v>
      </c>
      <c r="J552" s="135" t="s">
        <v>1931</v>
      </c>
      <c r="K552" s="133" t="s">
        <v>1114</v>
      </c>
      <c r="L552" s="133">
        <v>160</v>
      </c>
      <c r="M552" s="133"/>
      <c r="N552" s="133" t="s">
        <v>59</v>
      </c>
      <c r="O552" s="133" t="s">
        <v>1932</v>
      </c>
      <c r="P552" s="133">
        <v>2010</v>
      </c>
      <c r="Q552" s="133">
        <v>1</v>
      </c>
      <c r="R552" s="133">
        <v>3</v>
      </c>
      <c r="S552" s="133">
        <v>0</v>
      </c>
      <c r="T552" s="133">
        <v>0</v>
      </c>
      <c r="U552" s="133">
        <v>0</v>
      </c>
      <c r="V552" s="133">
        <v>0</v>
      </c>
      <c r="W552" s="133">
        <v>0</v>
      </c>
      <c r="X552" s="133">
        <v>0</v>
      </c>
      <c r="Y552" s="133"/>
      <c r="Z552" s="133">
        <v>0</v>
      </c>
      <c r="AA552" s="133"/>
      <c r="AB552" s="133"/>
      <c r="AC552" s="133">
        <f t="shared" si="48"/>
        <v>0</v>
      </c>
      <c r="AD552" s="133"/>
      <c r="AE552" s="136"/>
      <c r="AG552" s="137"/>
    </row>
    <row r="553" spans="1:33" s="14" customFormat="1">
      <c r="A553" s="133">
        <f t="shared" si="43"/>
        <v>495</v>
      </c>
      <c r="B553" s="11" t="s">
        <v>738</v>
      </c>
      <c r="C553" s="133" t="s">
        <v>1684</v>
      </c>
      <c r="D553" s="133" t="s">
        <v>1933</v>
      </c>
      <c r="E553" s="133"/>
      <c r="F553" s="133" t="s">
        <v>37</v>
      </c>
      <c r="G553" s="134" t="s">
        <v>1934</v>
      </c>
      <c r="H553" s="133" t="s">
        <v>246</v>
      </c>
      <c r="I553" s="133" t="s">
        <v>246</v>
      </c>
      <c r="J553" s="135" t="s">
        <v>1935</v>
      </c>
      <c r="K553" s="133" t="s">
        <v>1114</v>
      </c>
      <c r="L553" s="133">
        <v>250</v>
      </c>
      <c r="M553" s="133"/>
      <c r="N553" s="133" t="s">
        <v>424</v>
      </c>
      <c r="O553" s="133" t="s">
        <v>1936</v>
      </c>
      <c r="P553" s="133" t="s">
        <v>95</v>
      </c>
      <c r="Q553" s="133">
        <v>1</v>
      </c>
      <c r="R553" s="133">
        <v>3</v>
      </c>
      <c r="S553" s="133">
        <v>0</v>
      </c>
      <c r="T553" s="133">
        <v>0</v>
      </c>
      <c r="U553" s="133">
        <v>0</v>
      </c>
      <c r="V553" s="133">
        <v>0</v>
      </c>
      <c r="W553" s="133">
        <v>0</v>
      </c>
      <c r="X553" s="133">
        <v>0</v>
      </c>
      <c r="Y553" s="133"/>
      <c r="Z553" s="133">
        <v>0</v>
      </c>
      <c r="AA553" s="133"/>
      <c r="AB553" s="133"/>
      <c r="AC553" s="133">
        <f t="shared" si="48"/>
        <v>0</v>
      </c>
      <c r="AD553" s="133"/>
      <c r="AE553" s="136" t="s">
        <v>1187</v>
      </c>
      <c r="AG553" s="137"/>
    </row>
    <row r="554" spans="1:33" s="14" customFormat="1">
      <c r="A554" s="133">
        <f t="shared" si="43"/>
        <v>496</v>
      </c>
      <c r="B554" s="11" t="s">
        <v>738</v>
      </c>
      <c r="C554" s="133" t="s">
        <v>1684</v>
      </c>
      <c r="D554" s="133" t="s">
        <v>1937</v>
      </c>
      <c r="E554" s="133"/>
      <c r="F554" s="133" t="s">
        <v>37</v>
      </c>
      <c r="G554" s="134" t="s">
        <v>1938</v>
      </c>
      <c r="H554" s="133" t="s">
        <v>741</v>
      </c>
      <c r="I554" s="133" t="s">
        <v>741</v>
      </c>
      <c r="J554" s="135" t="s">
        <v>1939</v>
      </c>
      <c r="K554" s="133" t="s">
        <v>1114</v>
      </c>
      <c r="L554" s="133">
        <v>50</v>
      </c>
      <c r="M554" s="133"/>
      <c r="N554" s="133" t="s">
        <v>93</v>
      </c>
      <c r="O554" s="133" t="s">
        <v>1940</v>
      </c>
      <c r="P554" s="133">
        <v>2010</v>
      </c>
      <c r="Q554" s="133">
        <v>1</v>
      </c>
      <c r="R554" s="133">
        <v>1</v>
      </c>
      <c r="S554" s="133">
        <v>0</v>
      </c>
      <c r="T554" s="133">
        <v>0</v>
      </c>
      <c r="U554" s="133">
        <v>0</v>
      </c>
      <c r="V554" s="133">
        <v>0</v>
      </c>
      <c r="W554" s="133">
        <v>0</v>
      </c>
      <c r="X554" s="133">
        <v>0</v>
      </c>
      <c r="Y554" s="133"/>
      <c r="Z554" s="133">
        <v>0</v>
      </c>
      <c r="AA554" s="133"/>
      <c r="AB554" s="133"/>
      <c r="AC554" s="133">
        <f t="shared" si="48"/>
        <v>0</v>
      </c>
      <c r="AD554" s="133"/>
      <c r="AE554" s="136"/>
      <c r="AG554" s="137"/>
    </row>
    <row r="555" spans="1:33" s="14" customFormat="1">
      <c r="A555" s="133">
        <f t="shared" si="43"/>
        <v>497</v>
      </c>
      <c r="B555" s="11" t="s">
        <v>738</v>
      </c>
      <c r="C555" s="133" t="s">
        <v>1684</v>
      </c>
      <c r="D555" s="133" t="s">
        <v>1941</v>
      </c>
      <c r="E555" s="133"/>
      <c r="F555" s="133" t="s">
        <v>37</v>
      </c>
      <c r="G555" s="134" t="s">
        <v>1942</v>
      </c>
      <c r="H555" s="133" t="s">
        <v>246</v>
      </c>
      <c r="I555" s="133" t="s">
        <v>246</v>
      </c>
      <c r="J555" s="133" t="s">
        <v>1943</v>
      </c>
      <c r="K555" s="133" t="s">
        <v>1114</v>
      </c>
      <c r="L555" s="133">
        <v>250</v>
      </c>
      <c r="M555" s="133"/>
      <c r="N555" s="133" t="s">
        <v>424</v>
      </c>
      <c r="O555" s="133" t="s">
        <v>1944</v>
      </c>
      <c r="P555" s="133" t="s">
        <v>95</v>
      </c>
      <c r="Q555" s="133">
        <v>1</v>
      </c>
      <c r="R555" s="133">
        <v>1</v>
      </c>
      <c r="S555" s="133">
        <v>0</v>
      </c>
      <c r="T555" s="133">
        <v>0</v>
      </c>
      <c r="U555" s="133">
        <v>0</v>
      </c>
      <c r="V555" s="133">
        <v>0</v>
      </c>
      <c r="W555" s="133">
        <v>0</v>
      </c>
      <c r="X555" s="133">
        <v>0</v>
      </c>
      <c r="Y555" s="133"/>
      <c r="Z555" s="133">
        <v>0</v>
      </c>
      <c r="AA555" s="133"/>
      <c r="AB555" s="133"/>
      <c r="AC555" s="133">
        <f t="shared" si="48"/>
        <v>0</v>
      </c>
      <c r="AD555" s="133"/>
      <c r="AE555" s="136"/>
      <c r="AG555" s="137"/>
    </row>
    <row r="556" spans="1:33" s="14" customFormat="1">
      <c r="A556" s="133">
        <f t="shared" si="43"/>
        <v>498</v>
      </c>
      <c r="B556" s="11" t="s">
        <v>738</v>
      </c>
      <c r="C556" s="133" t="s">
        <v>1684</v>
      </c>
      <c r="D556" s="133" t="s">
        <v>1945</v>
      </c>
      <c r="E556" s="133"/>
      <c r="F556" s="133" t="s">
        <v>37</v>
      </c>
      <c r="G556" s="134" t="s">
        <v>1946</v>
      </c>
      <c r="H556" s="133" t="s">
        <v>741</v>
      </c>
      <c r="I556" s="133" t="s">
        <v>741</v>
      </c>
      <c r="J556" s="135" t="s">
        <v>1947</v>
      </c>
      <c r="K556" s="133" t="s">
        <v>1114</v>
      </c>
      <c r="L556" s="133">
        <v>100</v>
      </c>
      <c r="M556" s="133"/>
      <c r="N556" s="133" t="s">
        <v>43</v>
      </c>
      <c r="O556" s="133">
        <v>49565</v>
      </c>
      <c r="P556" s="133"/>
      <c r="Q556" s="133">
        <v>1</v>
      </c>
      <c r="R556" s="133">
        <v>2</v>
      </c>
      <c r="S556" s="133">
        <v>0</v>
      </c>
      <c r="T556" s="133">
        <v>0</v>
      </c>
      <c r="U556" s="133">
        <v>0</v>
      </c>
      <c r="V556" s="133">
        <v>0</v>
      </c>
      <c r="W556" s="133">
        <v>0</v>
      </c>
      <c r="X556" s="133">
        <v>0</v>
      </c>
      <c r="Y556" s="133"/>
      <c r="Z556" s="133">
        <v>0</v>
      </c>
      <c r="AA556" s="133"/>
      <c r="AB556" s="133"/>
      <c r="AC556" s="133">
        <f t="shared" si="48"/>
        <v>0</v>
      </c>
      <c r="AD556" s="133"/>
      <c r="AE556" s="136"/>
      <c r="AG556" s="137"/>
    </row>
    <row r="557" spans="1:33" s="14" customFormat="1">
      <c r="A557" s="133">
        <f t="shared" si="43"/>
        <v>499</v>
      </c>
      <c r="B557" s="11" t="s">
        <v>738</v>
      </c>
      <c r="C557" s="133" t="s">
        <v>1684</v>
      </c>
      <c r="D557" s="133" t="s">
        <v>1948</v>
      </c>
      <c r="E557" s="133"/>
      <c r="F557" s="133" t="s">
        <v>37</v>
      </c>
      <c r="G557" s="134" t="s">
        <v>1949</v>
      </c>
      <c r="H557" s="133" t="s">
        <v>741</v>
      </c>
      <c r="I557" s="133" t="s">
        <v>741</v>
      </c>
      <c r="J557" s="133">
        <v>1181</v>
      </c>
      <c r="K557" s="133" t="s">
        <v>1114</v>
      </c>
      <c r="L557" s="133">
        <v>100</v>
      </c>
      <c r="M557" s="133"/>
      <c r="N557" s="133" t="s">
        <v>424</v>
      </c>
      <c r="O557" s="133" t="s">
        <v>1950</v>
      </c>
      <c r="P557" s="133">
        <v>2007</v>
      </c>
      <c r="Q557" s="133">
        <v>1</v>
      </c>
      <c r="R557" s="133" t="s">
        <v>482</v>
      </c>
      <c r="S557" s="133"/>
      <c r="T557" s="133"/>
      <c r="U557" s="133"/>
      <c r="V557" s="133"/>
      <c r="W557" s="133"/>
      <c r="X557" s="133"/>
      <c r="Y557" s="133"/>
      <c r="Z557" s="133"/>
      <c r="AA557" s="133"/>
      <c r="AB557" s="133"/>
      <c r="AC557" s="133">
        <f t="shared" si="48"/>
        <v>0</v>
      </c>
      <c r="AD557" s="133"/>
      <c r="AE557" s="136"/>
      <c r="AG557" s="137"/>
    </row>
    <row r="558" spans="1:33" s="14" customFormat="1">
      <c r="A558" s="133">
        <f t="shared" si="43"/>
        <v>500</v>
      </c>
      <c r="B558" s="11" t="s">
        <v>738</v>
      </c>
      <c r="C558" s="133" t="s">
        <v>1684</v>
      </c>
      <c r="D558" s="133" t="s">
        <v>1951</v>
      </c>
      <c r="E558" s="133"/>
      <c r="F558" s="133" t="s">
        <v>37</v>
      </c>
      <c r="G558" s="134" t="s">
        <v>1156</v>
      </c>
      <c r="H558" s="133" t="s">
        <v>741</v>
      </c>
      <c r="I558" s="133" t="s">
        <v>741</v>
      </c>
      <c r="J558" s="135" t="s">
        <v>1952</v>
      </c>
      <c r="K558" s="133" t="s">
        <v>1114</v>
      </c>
      <c r="L558" s="133">
        <v>100</v>
      </c>
      <c r="M558" s="133"/>
      <c r="N558" s="133" t="s">
        <v>59</v>
      </c>
      <c r="O558" s="133" t="s">
        <v>1953</v>
      </c>
      <c r="P558" s="133" t="s">
        <v>95</v>
      </c>
      <c r="Q558" s="133">
        <v>1</v>
      </c>
      <c r="R558" s="133">
        <v>2</v>
      </c>
      <c r="S558" s="133">
        <v>0</v>
      </c>
      <c r="T558" s="133">
        <v>0</v>
      </c>
      <c r="U558" s="133">
        <v>0</v>
      </c>
      <c r="V558" s="133">
        <v>0</v>
      </c>
      <c r="W558" s="133">
        <v>0</v>
      </c>
      <c r="X558" s="133">
        <v>0</v>
      </c>
      <c r="Y558" s="133"/>
      <c r="Z558" s="133">
        <v>0</v>
      </c>
      <c r="AA558" s="133"/>
      <c r="AB558" s="133"/>
      <c r="AC558" s="133">
        <f t="shared" si="48"/>
        <v>0</v>
      </c>
      <c r="AD558" s="133"/>
      <c r="AE558" s="136"/>
      <c r="AG558" s="137"/>
    </row>
    <row r="559" spans="1:33" s="14" customFormat="1">
      <c r="A559" s="133">
        <f t="shared" si="43"/>
        <v>501</v>
      </c>
      <c r="B559" s="11" t="s">
        <v>738</v>
      </c>
      <c r="C559" s="133" t="s">
        <v>1684</v>
      </c>
      <c r="D559" s="133" t="s">
        <v>1954</v>
      </c>
      <c r="E559" s="133"/>
      <c r="F559" s="133" t="s">
        <v>37</v>
      </c>
      <c r="G559" s="134" t="s">
        <v>1955</v>
      </c>
      <c r="H559" s="133" t="s">
        <v>246</v>
      </c>
      <c r="I559" s="133" t="s">
        <v>246</v>
      </c>
      <c r="J559" s="135" t="s">
        <v>1956</v>
      </c>
      <c r="K559" s="133" t="s">
        <v>1114</v>
      </c>
      <c r="L559" s="133">
        <v>250</v>
      </c>
      <c r="M559" s="133"/>
      <c r="N559" s="133" t="s">
        <v>424</v>
      </c>
      <c r="O559" s="133" t="s">
        <v>1957</v>
      </c>
      <c r="P559" s="133">
        <v>2007</v>
      </c>
      <c r="Q559" s="133">
        <v>1</v>
      </c>
      <c r="R559" s="133">
        <v>2</v>
      </c>
      <c r="S559" s="133">
        <v>0</v>
      </c>
      <c r="T559" s="133">
        <v>0</v>
      </c>
      <c r="U559" s="133">
        <v>0</v>
      </c>
      <c r="V559" s="133">
        <v>0</v>
      </c>
      <c r="W559" s="133">
        <v>0</v>
      </c>
      <c r="X559" s="133">
        <v>0</v>
      </c>
      <c r="Y559" s="133"/>
      <c r="Z559" s="133">
        <v>0</v>
      </c>
      <c r="AA559" s="133"/>
      <c r="AB559" s="133"/>
      <c r="AC559" s="133">
        <f t="shared" si="48"/>
        <v>0</v>
      </c>
      <c r="AD559" s="133"/>
      <c r="AE559" s="136"/>
      <c r="AG559" s="137"/>
    </row>
    <row r="560" spans="1:33" s="14" customFormat="1">
      <c r="A560" s="133">
        <f>A558+1</f>
        <v>501</v>
      </c>
      <c r="B560" s="11" t="s">
        <v>738</v>
      </c>
      <c r="C560" s="133" t="s">
        <v>1908</v>
      </c>
      <c r="D560" s="133" t="s">
        <v>1958</v>
      </c>
      <c r="E560" s="133"/>
      <c r="F560" s="133" t="s">
        <v>63</v>
      </c>
      <c r="G560" s="134" t="s">
        <v>1959</v>
      </c>
      <c r="H560" s="133" t="s">
        <v>246</v>
      </c>
      <c r="I560" s="133" t="s">
        <v>246</v>
      </c>
      <c r="J560" s="133" t="s">
        <v>1960</v>
      </c>
      <c r="K560" s="133" t="s">
        <v>1114</v>
      </c>
      <c r="L560" s="133">
        <v>160</v>
      </c>
      <c r="M560" s="133"/>
      <c r="N560" s="133" t="s">
        <v>1961</v>
      </c>
      <c r="O560" s="133" t="s">
        <v>1962</v>
      </c>
      <c r="P560" s="133" t="s">
        <v>766</v>
      </c>
      <c r="Q560" s="133" t="s">
        <v>96</v>
      </c>
      <c r="R560" s="133" t="s">
        <v>96</v>
      </c>
      <c r="S560" s="133"/>
      <c r="T560" s="133"/>
      <c r="U560" s="133"/>
      <c r="V560" s="133"/>
      <c r="W560" s="133"/>
      <c r="X560" s="133"/>
      <c r="Y560" s="133"/>
      <c r="Z560" s="133"/>
      <c r="AA560" s="133"/>
      <c r="AB560" s="133"/>
      <c r="AC560" s="133"/>
      <c r="AD560" s="133"/>
      <c r="AE560" s="136" t="s">
        <v>1963</v>
      </c>
      <c r="AG560" s="137" t="s">
        <v>1963</v>
      </c>
    </row>
    <row r="561" spans="1:33" s="93" customFormat="1">
      <c r="A561" s="141">
        <f>A559+1</f>
        <v>502</v>
      </c>
      <c r="B561" s="89" t="s">
        <v>738</v>
      </c>
      <c r="C561" s="141" t="s">
        <v>1908</v>
      </c>
      <c r="D561" s="141" t="s">
        <v>1964</v>
      </c>
      <c r="E561" s="141"/>
      <c r="F561" s="141" t="s">
        <v>63</v>
      </c>
      <c r="G561" s="142" t="s">
        <v>1965</v>
      </c>
      <c r="H561" s="141" t="s">
        <v>246</v>
      </c>
      <c r="I561" s="141" t="s">
        <v>246</v>
      </c>
      <c r="J561" s="141"/>
      <c r="K561" s="141" t="s">
        <v>1114</v>
      </c>
      <c r="L561" s="141">
        <v>160</v>
      </c>
      <c r="M561" s="141"/>
      <c r="N561" s="141" t="s">
        <v>59</v>
      </c>
      <c r="O561" s="141">
        <v>-253305825</v>
      </c>
      <c r="P561" s="141">
        <v>2025</v>
      </c>
      <c r="Q561" s="141" t="s">
        <v>96</v>
      </c>
      <c r="R561" s="141" t="s">
        <v>96</v>
      </c>
      <c r="S561" s="141"/>
      <c r="T561" s="141"/>
      <c r="U561" s="141"/>
      <c r="V561" s="141"/>
      <c r="W561" s="141"/>
      <c r="X561" s="141"/>
      <c r="Y561" s="141"/>
      <c r="Z561" s="141"/>
      <c r="AA561" s="141"/>
      <c r="AB561" s="141"/>
      <c r="AC561" s="141"/>
      <c r="AD561" s="141"/>
      <c r="AE561" s="143" t="s">
        <v>1963</v>
      </c>
      <c r="AG561" s="144" t="s">
        <v>1963</v>
      </c>
    </row>
    <row r="562" spans="1:33" s="14" customFormat="1">
      <c r="A562" s="133">
        <f t="shared" si="43"/>
        <v>503</v>
      </c>
      <c r="B562" s="11" t="s">
        <v>738</v>
      </c>
      <c r="C562" s="133" t="s">
        <v>1908</v>
      </c>
      <c r="D562" s="133" t="s">
        <v>1966</v>
      </c>
      <c r="E562" s="133"/>
      <c r="F562" s="133" t="s">
        <v>63</v>
      </c>
      <c r="G562" s="134" t="s">
        <v>1967</v>
      </c>
      <c r="H562" s="133" t="s">
        <v>741</v>
      </c>
      <c r="I562" s="133" t="s">
        <v>741</v>
      </c>
      <c r="J562" s="133" t="s">
        <v>1968</v>
      </c>
      <c r="K562" s="133" t="s">
        <v>1114</v>
      </c>
      <c r="L562" s="133">
        <v>100</v>
      </c>
      <c r="M562" s="133"/>
      <c r="N562" s="133"/>
      <c r="O562" s="133"/>
      <c r="P562" s="133"/>
      <c r="Q562" s="133">
        <v>1</v>
      </c>
      <c r="R562" s="133" t="s">
        <v>96</v>
      </c>
      <c r="S562" s="133">
        <v>0</v>
      </c>
      <c r="T562" s="133">
        <v>0</v>
      </c>
      <c r="U562" s="133">
        <v>0</v>
      </c>
      <c r="V562" s="133">
        <v>0</v>
      </c>
      <c r="W562" s="133">
        <v>0</v>
      </c>
      <c r="X562" s="133">
        <v>0</v>
      </c>
      <c r="Y562" s="133"/>
      <c r="Z562" s="133">
        <v>0</v>
      </c>
      <c r="AA562" s="133"/>
      <c r="AB562" s="133"/>
      <c r="AC562" s="133">
        <f t="shared" ref="AC562" si="49">SUM(U562:AB562)</f>
        <v>0</v>
      </c>
      <c r="AD562" s="133"/>
      <c r="AE562" s="136"/>
      <c r="AG562" s="137"/>
    </row>
    <row r="563" spans="1:33" s="37" customFormat="1">
      <c r="A563" s="154">
        <f t="shared" si="43"/>
        <v>504</v>
      </c>
      <c r="B563" s="33" t="s">
        <v>738</v>
      </c>
      <c r="C563" s="154" t="s">
        <v>1908</v>
      </c>
      <c r="D563" s="154" t="s">
        <v>1969</v>
      </c>
      <c r="E563" s="154"/>
      <c r="F563" s="154" t="s">
        <v>63</v>
      </c>
      <c r="G563" s="155" t="s">
        <v>1970</v>
      </c>
      <c r="H563" s="154" t="s">
        <v>39</v>
      </c>
      <c r="I563" s="154" t="s">
        <v>40</v>
      </c>
      <c r="J563" s="157">
        <v>1106</v>
      </c>
      <c r="K563" s="154" t="s">
        <v>1114</v>
      </c>
      <c r="L563" s="154"/>
      <c r="M563" s="154"/>
      <c r="N563" s="154"/>
      <c r="O563" s="154"/>
      <c r="P563" s="154"/>
      <c r="Q563" s="154"/>
      <c r="R563" s="154"/>
      <c r="S563" s="154" t="s">
        <v>45</v>
      </c>
      <c r="T563" s="154" t="s">
        <v>89</v>
      </c>
      <c r="U563" s="154">
        <v>2</v>
      </c>
      <c r="V563" s="154">
        <v>0</v>
      </c>
      <c r="W563" s="154">
        <v>1</v>
      </c>
      <c r="X563" s="154">
        <v>0</v>
      </c>
      <c r="Y563" s="154"/>
      <c r="Z563" s="154">
        <v>0</v>
      </c>
      <c r="AA563" s="154"/>
      <c r="AB563" s="154"/>
      <c r="AC563" s="154">
        <f t="shared" si="48"/>
        <v>3</v>
      </c>
      <c r="AD563" s="154"/>
      <c r="AE563" s="157"/>
      <c r="AG563" s="158"/>
    </row>
    <row r="564" spans="1:33" s="14" customFormat="1">
      <c r="A564" s="133">
        <f t="shared" si="43"/>
        <v>505</v>
      </c>
      <c r="B564" s="11" t="s">
        <v>738</v>
      </c>
      <c r="C564" s="133" t="s">
        <v>1908</v>
      </c>
      <c r="D564" s="133" t="s">
        <v>1971</v>
      </c>
      <c r="E564" s="133"/>
      <c r="F564" s="133" t="s">
        <v>37</v>
      </c>
      <c r="G564" s="134" t="s">
        <v>1972</v>
      </c>
      <c r="H564" s="133" t="s">
        <v>246</v>
      </c>
      <c r="I564" s="133" t="s">
        <v>246</v>
      </c>
      <c r="J564" s="135" t="s">
        <v>1973</v>
      </c>
      <c r="K564" s="133" t="s">
        <v>1114</v>
      </c>
      <c r="L564" s="133">
        <v>100</v>
      </c>
      <c r="M564" s="133"/>
      <c r="N564" s="133" t="s">
        <v>664</v>
      </c>
      <c r="O564" s="133" t="s">
        <v>1974</v>
      </c>
      <c r="P564" s="133">
        <v>2008</v>
      </c>
      <c r="Q564" s="133">
        <v>1</v>
      </c>
      <c r="R564" s="133">
        <v>2</v>
      </c>
      <c r="S564" s="133">
        <v>0</v>
      </c>
      <c r="T564" s="133">
        <v>0</v>
      </c>
      <c r="U564" s="133">
        <v>0</v>
      </c>
      <c r="V564" s="133">
        <v>0</v>
      </c>
      <c r="W564" s="133">
        <v>0</v>
      </c>
      <c r="X564" s="133">
        <v>0</v>
      </c>
      <c r="Y564" s="133"/>
      <c r="Z564" s="133">
        <v>0</v>
      </c>
      <c r="AA564" s="133"/>
      <c r="AB564" s="133"/>
      <c r="AC564" s="133">
        <f t="shared" si="48"/>
        <v>0</v>
      </c>
      <c r="AD564" s="133"/>
      <c r="AE564" s="136"/>
      <c r="AG564" s="137"/>
    </row>
    <row r="565" spans="1:33" s="14" customFormat="1">
      <c r="A565" s="133">
        <f t="shared" si="43"/>
        <v>506</v>
      </c>
      <c r="B565" s="11" t="s">
        <v>738</v>
      </c>
      <c r="C565" s="133" t="s">
        <v>1908</v>
      </c>
      <c r="D565" s="133" t="s">
        <v>1971</v>
      </c>
      <c r="E565" s="133"/>
      <c r="F565" s="133" t="s">
        <v>37</v>
      </c>
      <c r="G565" s="134" t="s">
        <v>1975</v>
      </c>
      <c r="H565" s="133" t="s">
        <v>246</v>
      </c>
      <c r="I565" s="133" t="s">
        <v>246</v>
      </c>
      <c r="J565" s="135" t="s">
        <v>1976</v>
      </c>
      <c r="K565" s="133" t="s">
        <v>1429</v>
      </c>
      <c r="L565" s="133">
        <v>160</v>
      </c>
      <c r="M565" s="133"/>
      <c r="N565" s="133" t="s">
        <v>93</v>
      </c>
      <c r="O565" s="133" t="s">
        <v>1977</v>
      </c>
      <c r="P565" s="133">
        <v>1985</v>
      </c>
      <c r="Q565" s="133">
        <v>1</v>
      </c>
      <c r="R565" s="133">
        <v>2</v>
      </c>
      <c r="S565" s="133">
        <v>0</v>
      </c>
      <c r="T565" s="133">
        <v>0</v>
      </c>
      <c r="U565" s="133">
        <v>0</v>
      </c>
      <c r="V565" s="133">
        <v>0</v>
      </c>
      <c r="W565" s="133">
        <v>0</v>
      </c>
      <c r="X565" s="133">
        <v>0</v>
      </c>
      <c r="Y565" s="133"/>
      <c r="Z565" s="133">
        <v>0</v>
      </c>
      <c r="AA565" s="133"/>
      <c r="AB565" s="133"/>
      <c r="AC565" s="133">
        <f t="shared" si="48"/>
        <v>0</v>
      </c>
      <c r="AD565" s="133"/>
      <c r="AE565" s="136"/>
      <c r="AG565" s="137"/>
    </row>
    <row r="566" spans="1:33" s="99" customFormat="1">
      <c r="A566" s="130">
        <f t="shared" si="43"/>
        <v>507</v>
      </c>
      <c r="B566" s="96" t="s">
        <v>738</v>
      </c>
      <c r="C566" s="130" t="s">
        <v>1908</v>
      </c>
      <c r="D566" s="130" t="s">
        <v>1978</v>
      </c>
      <c r="E566" s="130"/>
      <c r="F566" s="130" t="s">
        <v>37</v>
      </c>
      <c r="G566" s="139" t="s">
        <v>1979</v>
      </c>
      <c r="H566" s="130" t="s">
        <v>246</v>
      </c>
      <c r="I566" s="130" t="s">
        <v>246</v>
      </c>
      <c r="J566" s="130">
        <v>1187</v>
      </c>
      <c r="K566" s="130" t="s">
        <v>1429</v>
      </c>
      <c r="L566" s="130">
        <v>100</v>
      </c>
      <c r="M566" s="130"/>
      <c r="N566" s="129" t="s">
        <v>324</v>
      </c>
      <c r="O566" s="129" t="s">
        <v>1980</v>
      </c>
      <c r="P566" s="129">
        <v>2025</v>
      </c>
      <c r="Q566" s="130">
        <v>1</v>
      </c>
      <c r="R566" s="130" t="s">
        <v>482</v>
      </c>
      <c r="S566" s="130"/>
      <c r="T566" s="130"/>
      <c r="U566" s="130"/>
      <c r="V566" s="130"/>
      <c r="W566" s="130"/>
      <c r="X566" s="130"/>
      <c r="Y566" s="130"/>
      <c r="Z566" s="130"/>
      <c r="AA566" s="130"/>
      <c r="AB566" s="130"/>
      <c r="AC566" s="130">
        <f t="shared" si="48"/>
        <v>0</v>
      </c>
      <c r="AD566" s="130"/>
      <c r="AE566" s="131"/>
      <c r="AG566" s="132"/>
    </row>
    <row r="567" spans="1:33" s="99" customFormat="1">
      <c r="A567" s="130">
        <f t="shared" si="43"/>
        <v>508</v>
      </c>
      <c r="B567" s="96" t="s">
        <v>738</v>
      </c>
      <c r="C567" s="130" t="s">
        <v>1908</v>
      </c>
      <c r="D567" s="130" t="s">
        <v>1981</v>
      </c>
      <c r="E567" s="130"/>
      <c r="F567" s="130" t="s">
        <v>37</v>
      </c>
      <c r="G567" s="139" t="s">
        <v>1982</v>
      </c>
      <c r="H567" s="130" t="s">
        <v>246</v>
      </c>
      <c r="I567" s="130" t="s">
        <v>246</v>
      </c>
      <c r="J567" s="140" t="s">
        <v>1983</v>
      </c>
      <c r="K567" s="130" t="s">
        <v>1429</v>
      </c>
      <c r="L567" s="130">
        <v>100</v>
      </c>
      <c r="M567" s="130"/>
      <c r="N567" s="130" t="s">
        <v>43</v>
      </c>
      <c r="O567" s="130" t="s">
        <v>1984</v>
      </c>
      <c r="P567" s="130">
        <v>1986</v>
      </c>
      <c r="Q567" s="130">
        <v>1</v>
      </c>
      <c r="R567" s="130">
        <v>4</v>
      </c>
      <c r="S567" s="130">
        <v>0</v>
      </c>
      <c r="T567" s="130">
        <v>0</v>
      </c>
      <c r="U567" s="130">
        <v>0</v>
      </c>
      <c r="V567" s="130">
        <v>0</v>
      </c>
      <c r="W567" s="130">
        <v>0</v>
      </c>
      <c r="X567" s="130">
        <v>0</v>
      </c>
      <c r="Y567" s="130"/>
      <c r="Z567" s="130">
        <v>0</v>
      </c>
      <c r="AA567" s="130"/>
      <c r="AB567" s="130"/>
      <c r="AC567" s="130">
        <f t="shared" si="48"/>
        <v>0</v>
      </c>
      <c r="AD567" s="130"/>
      <c r="AE567" s="131"/>
      <c r="AG567" s="132"/>
    </row>
    <row r="568" spans="1:33" s="99" customFormat="1">
      <c r="A568" s="130">
        <f t="shared" si="43"/>
        <v>509</v>
      </c>
      <c r="B568" s="96" t="s">
        <v>738</v>
      </c>
      <c r="C568" s="130" t="s">
        <v>1908</v>
      </c>
      <c r="D568" s="130" t="s">
        <v>1985</v>
      </c>
      <c r="E568" s="130"/>
      <c r="F568" s="130" t="s">
        <v>37</v>
      </c>
      <c r="G568" s="139" t="s">
        <v>1986</v>
      </c>
      <c r="H568" s="130" t="s">
        <v>246</v>
      </c>
      <c r="I568" s="130" t="s">
        <v>246</v>
      </c>
      <c r="J568" s="140" t="s">
        <v>1987</v>
      </c>
      <c r="K568" s="130" t="s">
        <v>1429</v>
      </c>
      <c r="L568" s="130">
        <v>100</v>
      </c>
      <c r="M568" s="130"/>
      <c r="N568" s="130" t="s">
        <v>43</v>
      </c>
      <c r="O568" s="130">
        <v>84756</v>
      </c>
      <c r="P568" s="130" t="s">
        <v>1026</v>
      </c>
      <c r="Q568" s="130">
        <v>1</v>
      </c>
      <c r="R568" s="130">
        <v>3</v>
      </c>
      <c r="S568" s="130">
        <v>0</v>
      </c>
      <c r="T568" s="130">
        <v>0</v>
      </c>
      <c r="U568" s="130">
        <v>0</v>
      </c>
      <c r="V568" s="130">
        <v>0</v>
      </c>
      <c r="W568" s="130">
        <v>0</v>
      </c>
      <c r="X568" s="130">
        <v>0</v>
      </c>
      <c r="Y568" s="130"/>
      <c r="Z568" s="130">
        <v>0</v>
      </c>
      <c r="AA568" s="130"/>
      <c r="AB568" s="130"/>
      <c r="AC568" s="130">
        <f t="shared" si="48"/>
        <v>0</v>
      </c>
      <c r="AD568" s="130"/>
      <c r="AE568" s="131"/>
      <c r="AG568" s="132"/>
    </row>
    <row r="569" spans="1:33" s="99" customFormat="1">
      <c r="A569" s="130">
        <f t="shared" si="43"/>
        <v>510</v>
      </c>
      <c r="B569" s="96" t="s">
        <v>738</v>
      </c>
      <c r="C569" s="130" t="s">
        <v>1908</v>
      </c>
      <c r="D569" s="130" t="s">
        <v>1988</v>
      </c>
      <c r="E569" s="130"/>
      <c r="F569" s="130" t="s">
        <v>37</v>
      </c>
      <c r="G569" s="139" t="s">
        <v>1989</v>
      </c>
      <c r="H569" s="130" t="s">
        <v>741</v>
      </c>
      <c r="I569" s="130" t="s">
        <v>741</v>
      </c>
      <c r="J569" s="140" t="s">
        <v>1990</v>
      </c>
      <c r="K569" s="130" t="s">
        <v>1429</v>
      </c>
      <c r="L569" s="130">
        <v>100</v>
      </c>
      <c r="M569" s="130"/>
      <c r="N569" s="130" t="s">
        <v>424</v>
      </c>
      <c r="O569" s="130" t="s">
        <v>1991</v>
      </c>
      <c r="P569" s="130">
        <v>2007</v>
      </c>
      <c r="Q569" s="130">
        <v>1</v>
      </c>
      <c r="R569" s="130">
        <v>2</v>
      </c>
      <c r="S569" s="130">
        <v>0</v>
      </c>
      <c r="T569" s="130">
        <v>0</v>
      </c>
      <c r="U569" s="130">
        <v>0</v>
      </c>
      <c r="V569" s="130">
        <v>0</v>
      </c>
      <c r="W569" s="130">
        <v>0</v>
      </c>
      <c r="X569" s="130">
        <v>0</v>
      </c>
      <c r="Y569" s="130"/>
      <c r="Z569" s="130">
        <v>0</v>
      </c>
      <c r="AA569" s="130"/>
      <c r="AB569" s="130"/>
      <c r="AC569" s="130">
        <f t="shared" si="48"/>
        <v>0</v>
      </c>
      <c r="AD569" s="130"/>
      <c r="AE569" s="131"/>
      <c r="AG569" s="132"/>
    </row>
    <row r="570" spans="1:33" s="99" customFormat="1">
      <c r="A570" s="130">
        <f t="shared" si="43"/>
        <v>511</v>
      </c>
      <c r="B570" s="96" t="s">
        <v>738</v>
      </c>
      <c r="C570" s="130" t="s">
        <v>1908</v>
      </c>
      <c r="D570" s="130" t="s">
        <v>1992</v>
      </c>
      <c r="E570" s="130"/>
      <c r="F570" s="130" t="s">
        <v>37</v>
      </c>
      <c r="G570" s="139" t="s">
        <v>1993</v>
      </c>
      <c r="H570" s="130" t="s">
        <v>741</v>
      </c>
      <c r="I570" s="130" t="s">
        <v>741</v>
      </c>
      <c r="J570" s="140" t="s">
        <v>1994</v>
      </c>
      <c r="K570" s="130" t="s">
        <v>1429</v>
      </c>
      <c r="L570" s="130">
        <v>100</v>
      </c>
      <c r="M570" s="130"/>
      <c r="N570" s="130" t="s">
        <v>59</v>
      </c>
      <c r="O570" s="130">
        <v>213301823</v>
      </c>
      <c r="P570" s="130">
        <v>2021</v>
      </c>
      <c r="Q570" s="130">
        <v>1</v>
      </c>
      <c r="R570" s="130">
        <v>2</v>
      </c>
      <c r="S570" s="130">
        <v>0</v>
      </c>
      <c r="T570" s="130">
        <v>0</v>
      </c>
      <c r="U570" s="130">
        <v>0</v>
      </c>
      <c r="V570" s="130">
        <v>0</v>
      </c>
      <c r="W570" s="130">
        <v>0</v>
      </c>
      <c r="X570" s="130">
        <v>0</v>
      </c>
      <c r="Y570" s="130"/>
      <c r="Z570" s="130">
        <v>0</v>
      </c>
      <c r="AA570" s="130"/>
      <c r="AB570" s="130"/>
      <c r="AC570" s="130">
        <f t="shared" si="48"/>
        <v>0</v>
      </c>
      <c r="AD570" s="130"/>
      <c r="AE570" s="131"/>
      <c r="AG570" s="132"/>
    </row>
    <row r="571" spans="1:33" s="99" customFormat="1">
      <c r="A571" s="130">
        <f t="shared" si="43"/>
        <v>512</v>
      </c>
      <c r="B571" s="96" t="s">
        <v>738</v>
      </c>
      <c r="C571" s="130" t="s">
        <v>1908</v>
      </c>
      <c r="D571" s="130" t="s">
        <v>1995</v>
      </c>
      <c r="E571" s="130"/>
      <c r="F571" s="130" t="s">
        <v>37</v>
      </c>
      <c r="G571" s="139" t="s">
        <v>1996</v>
      </c>
      <c r="H571" s="130" t="s">
        <v>741</v>
      </c>
      <c r="I571" s="130" t="s">
        <v>741</v>
      </c>
      <c r="J571" s="130"/>
      <c r="K571" s="130" t="s">
        <v>1429</v>
      </c>
      <c r="L571" s="130">
        <v>100</v>
      </c>
      <c r="M571" s="130"/>
      <c r="N571" s="130" t="s">
        <v>863</v>
      </c>
      <c r="O571" s="130" t="s">
        <v>1997</v>
      </c>
      <c r="P571" s="130" t="s">
        <v>444</v>
      </c>
      <c r="Q571" s="130">
        <v>1</v>
      </c>
      <c r="R571" s="130">
        <v>2</v>
      </c>
      <c r="S571" s="130">
        <v>0</v>
      </c>
      <c r="T571" s="130">
        <v>0</v>
      </c>
      <c r="U571" s="130">
        <v>0</v>
      </c>
      <c r="V571" s="130">
        <v>0</v>
      </c>
      <c r="W571" s="130">
        <v>0</v>
      </c>
      <c r="X571" s="130">
        <v>0</v>
      </c>
      <c r="Y571" s="130"/>
      <c r="Z571" s="130">
        <v>0</v>
      </c>
      <c r="AA571" s="130"/>
      <c r="AB571" s="130"/>
      <c r="AC571" s="130">
        <f t="shared" si="48"/>
        <v>0</v>
      </c>
      <c r="AD571" s="130"/>
      <c r="AE571" s="131"/>
      <c r="AG571" s="132"/>
    </row>
    <row r="572" spans="1:33" s="99" customFormat="1">
      <c r="A572" s="130">
        <f t="shared" si="43"/>
        <v>513</v>
      </c>
      <c r="B572" s="96" t="s">
        <v>738</v>
      </c>
      <c r="C572" s="130" t="s">
        <v>1908</v>
      </c>
      <c r="D572" s="130" t="s">
        <v>1998</v>
      </c>
      <c r="E572" s="130"/>
      <c r="F572" s="130" t="s">
        <v>37</v>
      </c>
      <c r="G572" s="139" t="s">
        <v>1999</v>
      </c>
      <c r="H572" s="130" t="s">
        <v>741</v>
      </c>
      <c r="I572" s="130" t="s">
        <v>741</v>
      </c>
      <c r="J572" s="140" t="s">
        <v>2000</v>
      </c>
      <c r="K572" s="130" t="s">
        <v>1429</v>
      </c>
      <c r="L572" s="130">
        <v>100</v>
      </c>
      <c r="M572" s="130"/>
      <c r="N572" s="130" t="s">
        <v>2001</v>
      </c>
      <c r="O572" s="130">
        <v>973455</v>
      </c>
      <c r="P572" s="130">
        <v>1997</v>
      </c>
      <c r="Q572" s="130">
        <v>1</v>
      </c>
      <c r="R572" s="130">
        <v>2</v>
      </c>
      <c r="S572" s="130">
        <v>0</v>
      </c>
      <c r="T572" s="130">
        <v>0</v>
      </c>
      <c r="U572" s="130">
        <v>0</v>
      </c>
      <c r="V572" s="130">
        <v>0</v>
      </c>
      <c r="W572" s="130">
        <v>0</v>
      </c>
      <c r="X572" s="130">
        <v>0</v>
      </c>
      <c r="Y572" s="130"/>
      <c r="Z572" s="130">
        <v>0</v>
      </c>
      <c r="AA572" s="130"/>
      <c r="AB572" s="130"/>
      <c r="AC572" s="130">
        <f t="shared" si="48"/>
        <v>0</v>
      </c>
      <c r="AD572" s="130"/>
      <c r="AE572" s="131"/>
      <c r="AG572" s="132"/>
    </row>
    <row r="573" spans="1:33" s="99" customFormat="1">
      <c r="A573" s="130">
        <f>A571+1</f>
        <v>513</v>
      </c>
      <c r="B573" s="96" t="s">
        <v>738</v>
      </c>
      <c r="C573" s="130" t="s">
        <v>1908</v>
      </c>
      <c r="D573" s="130" t="s">
        <v>2002</v>
      </c>
      <c r="E573" s="130"/>
      <c r="F573" s="130" t="s">
        <v>37</v>
      </c>
      <c r="G573" s="139" t="s">
        <v>2003</v>
      </c>
      <c r="H573" s="130" t="s">
        <v>246</v>
      </c>
      <c r="I573" s="130" t="s">
        <v>246</v>
      </c>
      <c r="J573" s="140" t="s">
        <v>2004</v>
      </c>
      <c r="K573" s="130" t="s">
        <v>1429</v>
      </c>
      <c r="L573" s="130">
        <v>250</v>
      </c>
      <c r="M573" s="130"/>
      <c r="N573" s="130" t="s">
        <v>424</v>
      </c>
      <c r="O573" s="130">
        <v>240320309</v>
      </c>
      <c r="P573" s="130">
        <v>2024</v>
      </c>
      <c r="Q573" s="130">
        <v>1</v>
      </c>
      <c r="R573" s="130">
        <v>3</v>
      </c>
      <c r="S573" s="130">
        <v>0</v>
      </c>
      <c r="T573" s="130">
        <v>0</v>
      </c>
      <c r="U573" s="130">
        <v>0</v>
      </c>
      <c r="V573" s="130">
        <v>0</v>
      </c>
      <c r="W573" s="130">
        <v>0</v>
      </c>
      <c r="X573" s="130">
        <v>0</v>
      </c>
      <c r="Y573" s="130"/>
      <c r="Z573" s="130">
        <v>0</v>
      </c>
      <c r="AA573" s="130"/>
      <c r="AB573" s="130"/>
      <c r="AC573" s="130">
        <f t="shared" si="48"/>
        <v>0</v>
      </c>
      <c r="AD573" s="130"/>
      <c r="AE573" s="131" t="s">
        <v>2005</v>
      </c>
      <c r="AG573" s="132"/>
    </row>
    <row r="574" spans="1:33" s="69" customFormat="1">
      <c r="A574" s="169">
        <f>A572+1</f>
        <v>514</v>
      </c>
      <c r="B574" s="64" t="s">
        <v>738</v>
      </c>
      <c r="C574" s="169" t="s">
        <v>1908</v>
      </c>
      <c r="D574" s="169" t="s">
        <v>2006</v>
      </c>
      <c r="E574" s="169"/>
      <c r="F574" s="169" t="s">
        <v>37</v>
      </c>
      <c r="G574" s="170" t="s">
        <v>2007</v>
      </c>
      <c r="H574" s="169" t="s">
        <v>246</v>
      </c>
      <c r="I574" s="169" t="s">
        <v>246</v>
      </c>
      <c r="J574" s="169"/>
      <c r="K574" s="169" t="s">
        <v>1429</v>
      </c>
      <c r="L574" s="169">
        <v>250</v>
      </c>
      <c r="M574" s="169"/>
      <c r="N574" s="169" t="s">
        <v>424</v>
      </c>
      <c r="O574" s="169">
        <v>250320404</v>
      </c>
      <c r="P574" s="169">
        <v>2025</v>
      </c>
      <c r="Q574" s="169">
        <v>1</v>
      </c>
      <c r="R574" s="169">
        <v>4</v>
      </c>
      <c r="S574" s="169">
        <v>0</v>
      </c>
      <c r="T574" s="169">
        <v>0</v>
      </c>
      <c r="U574" s="169">
        <v>0</v>
      </c>
      <c r="V574" s="169">
        <v>0</v>
      </c>
      <c r="W574" s="169">
        <v>0</v>
      </c>
      <c r="X574" s="169">
        <v>0</v>
      </c>
      <c r="Y574" s="169"/>
      <c r="Z574" s="169">
        <v>0</v>
      </c>
      <c r="AA574" s="169"/>
      <c r="AB574" s="169"/>
      <c r="AC574" s="169">
        <f t="shared" si="48"/>
        <v>0</v>
      </c>
      <c r="AD574" s="169"/>
      <c r="AE574" s="172" t="s">
        <v>2008</v>
      </c>
      <c r="AG574" s="173"/>
    </row>
    <row r="575" spans="1:33" s="99" customFormat="1">
      <c r="A575" s="130">
        <f t="shared" ref="A575:A635" si="50">A574+1</f>
        <v>515</v>
      </c>
      <c r="B575" s="96" t="s">
        <v>738</v>
      </c>
      <c r="C575" s="130" t="s">
        <v>1908</v>
      </c>
      <c r="D575" s="130" t="s">
        <v>2009</v>
      </c>
      <c r="E575" s="130"/>
      <c r="F575" s="130" t="s">
        <v>37</v>
      </c>
      <c r="G575" s="139" t="s">
        <v>2010</v>
      </c>
      <c r="H575" s="130" t="s">
        <v>741</v>
      </c>
      <c r="I575" s="130" t="s">
        <v>741</v>
      </c>
      <c r="J575" s="130"/>
      <c r="K575" s="130" t="s">
        <v>1429</v>
      </c>
      <c r="L575" s="130">
        <v>160</v>
      </c>
      <c r="M575" s="130"/>
      <c r="N575" s="130" t="s">
        <v>93</v>
      </c>
      <c r="O575" s="130" t="s">
        <v>2011</v>
      </c>
      <c r="P575" s="130" t="s">
        <v>95</v>
      </c>
      <c r="Q575" s="130">
        <v>1</v>
      </c>
      <c r="R575" s="130" t="s">
        <v>482</v>
      </c>
      <c r="S575" s="130">
        <v>0</v>
      </c>
      <c r="T575" s="130">
        <v>0</v>
      </c>
      <c r="U575" s="130">
        <v>0</v>
      </c>
      <c r="V575" s="130">
        <v>0</v>
      </c>
      <c r="W575" s="130">
        <v>0</v>
      </c>
      <c r="X575" s="130">
        <v>0</v>
      </c>
      <c r="Y575" s="130"/>
      <c r="Z575" s="130">
        <v>0</v>
      </c>
      <c r="AA575" s="130"/>
      <c r="AB575" s="130"/>
      <c r="AC575" s="130">
        <f t="shared" si="48"/>
        <v>0</v>
      </c>
      <c r="AD575" s="130"/>
      <c r="AE575" s="131"/>
      <c r="AG575" s="132"/>
    </row>
    <row r="576" spans="1:33" s="99" customFormat="1">
      <c r="A576" s="130">
        <f t="shared" si="50"/>
        <v>516</v>
      </c>
      <c r="B576" s="96" t="s">
        <v>738</v>
      </c>
      <c r="C576" s="130" t="s">
        <v>1908</v>
      </c>
      <c r="D576" s="130" t="s">
        <v>2012</v>
      </c>
      <c r="E576" s="130"/>
      <c r="F576" s="130" t="s">
        <v>37</v>
      </c>
      <c r="G576" s="139" t="s">
        <v>2013</v>
      </c>
      <c r="H576" s="130" t="s">
        <v>246</v>
      </c>
      <c r="I576" s="130" t="s">
        <v>246</v>
      </c>
      <c r="J576" s="140" t="s">
        <v>2014</v>
      </c>
      <c r="K576" s="130" t="s">
        <v>1429</v>
      </c>
      <c r="L576" s="130">
        <v>200</v>
      </c>
      <c r="M576" s="130"/>
      <c r="N576" s="188" t="s">
        <v>424</v>
      </c>
      <c r="O576" s="129" t="s">
        <v>2015</v>
      </c>
      <c r="P576" s="188" t="s">
        <v>2016</v>
      </c>
      <c r="Q576" s="130">
        <v>1</v>
      </c>
      <c r="R576" s="130">
        <v>2</v>
      </c>
      <c r="S576" s="130">
        <v>0</v>
      </c>
      <c r="T576" s="130">
        <v>0</v>
      </c>
      <c r="U576" s="130">
        <v>0</v>
      </c>
      <c r="V576" s="130">
        <v>0</v>
      </c>
      <c r="W576" s="130">
        <v>0</v>
      </c>
      <c r="X576" s="130">
        <v>0</v>
      </c>
      <c r="Y576" s="130"/>
      <c r="Z576" s="130">
        <v>0</v>
      </c>
      <c r="AA576" s="130"/>
      <c r="AB576" s="130"/>
      <c r="AC576" s="130">
        <f t="shared" si="48"/>
        <v>0</v>
      </c>
      <c r="AD576" s="130"/>
      <c r="AE576" s="131" t="s">
        <v>2017</v>
      </c>
      <c r="AG576" s="132"/>
    </row>
    <row r="577" spans="1:33" s="99" customFormat="1">
      <c r="A577" s="130">
        <f t="shared" si="50"/>
        <v>517</v>
      </c>
      <c r="B577" s="96" t="s">
        <v>738</v>
      </c>
      <c r="C577" s="130" t="s">
        <v>1908</v>
      </c>
      <c r="D577" s="130" t="s">
        <v>2018</v>
      </c>
      <c r="E577" s="130"/>
      <c r="F577" s="130" t="s">
        <v>37</v>
      </c>
      <c r="G577" s="139" t="s">
        <v>2019</v>
      </c>
      <c r="H577" s="130" t="s">
        <v>246</v>
      </c>
      <c r="I577" s="130" t="s">
        <v>246</v>
      </c>
      <c r="J577" s="140" t="s">
        <v>2020</v>
      </c>
      <c r="K577" s="130" t="s">
        <v>1429</v>
      </c>
      <c r="L577" s="130">
        <v>160</v>
      </c>
      <c r="M577" s="130"/>
      <c r="N577" s="130" t="s">
        <v>93</v>
      </c>
      <c r="O577" s="130">
        <v>85111</v>
      </c>
      <c r="P577" s="130">
        <v>1985</v>
      </c>
      <c r="Q577" s="130">
        <v>1</v>
      </c>
      <c r="R577" s="130">
        <v>3</v>
      </c>
      <c r="S577" s="130">
        <v>0</v>
      </c>
      <c r="T577" s="130">
        <v>0</v>
      </c>
      <c r="U577" s="130">
        <v>0</v>
      </c>
      <c r="V577" s="130">
        <v>0</v>
      </c>
      <c r="W577" s="130">
        <v>0</v>
      </c>
      <c r="X577" s="130">
        <v>0</v>
      </c>
      <c r="Y577" s="130"/>
      <c r="Z577" s="130">
        <v>0</v>
      </c>
      <c r="AA577" s="130"/>
      <c r="AB577" s="130"/>
      <c r="AC577" s="130">
        <f t="shared" si="48"/>
        <v>0</v>
      </c>
      <c r="AD577" s="130"/>
      <c r="AE577" s="131"/>
      <c r="AG577" s="132"/>
    </row>
    <row r="578" spans="1:33" s="14" customFormat="1">
      <c r="A578" s="133">
        <f t="shared" si="50"/>
        <v>518</v>
      </c>
      <c r="B578" s="11" t="s">
        <v>738</v>
      </c>
      <c r="C578" s="133" t="s">
        <v>1908</v>
      </c>
      <c r="D578" s="133" t="s">
        <v>2021</v>
      </c>
      <c r="E578" s="133"/>
      <c r="F578" s="133" t="s">
        <v>37</v>
      </c>
      <c r="G578" s="134" t="s">
        <v>2022</v>
      </c>
      <c r="H578" s="133" t="s">
        <v>246</v>
      </c>
      <c r="I578" s="133" t="s">
        <v>246</v>
      </c>
      <c r="J578" s="133"/>
      <c r="K578" s="133" t="s">
        <v>1429</v>
      </c>
      <c r="L578" s="133">
        <v>160</v>
      </c>
      <c r="M578" s="133"/>
      <c r="N578" s="133" t="s">
        <v>59</v>
      </c>
      <c r="O578" s="133" t="s">
        <v>2023</v>
      </c>
      <c r="P578" s="133" t="s">
        <v>444</v>
      </c>
      <c r="Q578" s="133">
        <v>1</v>
      </c>
      <c r="R578" s="133" t="s">
        <v>84</v>
      </c>
      <c r="S578" s="133">
        <v>0</v>
      </c>
      <c r="T578" s="133">
        <v>0</v>
      </c>
      <c r="U578" s="133">
        <v>0</v>
      </c>
      <c r="V578" s="133">
        <v>0</v>
      </c>
      <c r="W578" s="133">
        <v>0</v>
      </c>
      <c r="X578" s="133">
        <v>0</v>
      </c>
      <c r="Y578" s="133"/>
      <c r="Z578" s="133">
        <v>0</v>
      </c>
      <c r="AA578" s="133"/>
      <c r="AB578" s="133"/>
      <c r="AC578" s="133">
        <f t="shared" si="48"/>
        <v>0</v>
      </c>
      <c r="AD578" s="133"/>
      <c r="AE578" s="136" t="s">
        <v>2024</v>
      </c>
      <c r="AG578" s="137"/>
    </row>
    <row r="579" spans="1:33" s="14" customFormat="1">
      <c r="A579" s="133">
        <f t="shared" si="50"/>
        <v>519</v>
      </c>
      <c r="B579" s="11" t="s">
        <v>738</v>
      </c>
      <c r="C579" s="133" t="s">
        <v>1908</v>
      </c>
      <c r="D579" s="133" t="s">
        <v>2025</v>
      </c>
      <c r="E579" s="133"/>
      <c r="F579" s="133" t="s">
        <v>37</v>
      </c>
      <c r="G579" s="134" t="s">
        <v>2026</v>
      </c>
      <c r="H579" s="133" t="s">
        <v>246</v>
      </c>
      <c r="I579" s="133" t="s">
        <v>246</v>
      </c>
      <c r="J579" s="135" t="s">
        <v>2027</v>
      </c>
      <c r="K579" s="133" t="s">
        <v>1429</v>
      </c>
      <c r="L579" s="133">
        <v>160</v>
      </c>
      <c r="M579" s="133"/>
      <c r="N579" s="133" t="s">
        <v>753</v>
      </c>
      <c r="O579" s="133">
        <v>69542</v>
      </c>
      <c r="P579" s="133"/>
      <c r="Q579" s="133">
        <v>1</v>
      </c>
      <c r="R579" s="133">
        <v>4</v>
      </c>
      <c r="S579" s="133">
        <v>0</v>
      </c>
      <c r="T579" s="133">
        <v>0</v>
      </c>
      <c r="U579" s="133">
        <v>0</v>
      </c>
      <c r="V579" s="133">
        <v>0</v>
      </c>
      <c r="W579" s="133">
        <v>0</v>
      </c>
      <c r="X579" s="133">
        <v>0</v>
      </c>
      <c r="Y579" s="133"/>
      <c r="Z579" s="133">
        <v>0</v>
      </c>
      <c r="AA579" s="133"/>
      <c r="AB579" s="133"/>
      <c r="AC579" s="133">
        <f t="shared" si="48"/>
        <v>0</v>
      </c>
      <c r="AD579" s="133"/>
      <c r="AE579" s="136"/>
      <c r="AG579" s="137"/>
    </row>
    <row r="580" spans="1:33" s="14" customFormat="1">
      <c r="A580" s="133">
        <f t="shared" si="50"/>
        <v>520</v>
      </c>
      <c r="B580" s="11" t="s">
        <v>738</v>
      </c>
      <c r="C580" s="133" t="s">
        <v>1908</v>
      </c>
      <c r="D580" s="133" t="s">
        <v>2028</v>
      </c>
      <c r="E580" s="133"/>
      <c r="F580" s="133" t="s">
        <v>37</v>
      </c>
      <c r="G580" s="134" t="s">
        <v>2029</v>
      </c>
      <c r="H580" s="133" t="s">
        <v>246</v>
      </c>
      <c r="I580" s="133" t="s">
        <v>246</v>
      </c>
      <c r="J580" s="133">
        <v>1182</v>
      </c>
      <c r="K580" s="133" t="s">
        <v>1429</v>
      </c>
      <c r="L580" s="133">
        <v>100</v>
      </c>
      <c r="M580" s="133"/>
      <c r="N580" s="133" t="s">
        <v>59</v>
      </c>
      <c r="O580" s="133" t="s">
        <v>2030</v>
      </c>
      <c r="P580" s="133">
        <v>2015</v>
      </c>
      <c r="Q580" s="133">
        <v>1</v>
      </c>
      <c r="R580" s="133" t="s">
        <v>482</v>
      </c>
      <c r="S580" s="133"/>
      <c r="T580" s="133"/>
      <c r="U580" s="133"/>
      <c r="V580" s="133"/>
      <c r="W580" s="133"/>
      <c r="X580" s="133"/>
      <c r="Y580" s="133"/>
      <c r="Z580" s="133"/>
      <c r="AA580" s="133"/>
      <c r="AB580" s="133"/>
      <c r="AC580" s="133">
        <f t="shared" si="48"/>
        <v>0</v>
      </c>
      <c r="AD580" s="133"/>
      <c r="AE580" s="136"/>
      <c r="AG580" s="137"/>
    </row>
    <row r="581" spans="1:33" s="14" customFormat="1">
      <c r="A581" s="133">
        <f t="shared" si="50"/>
        <v>521</v>
      </c>
      <c r="B581" s="11" t="s">
        <v>738</v>
      </c>
      <c r="C581" s="133" t="s">
        <v>1908</v>
      </c>
      <c r="D581" s="133" t="s">
        <v>2031</v>
      </c>
      <c r="E581" s="133"/>
      <c r="F581" s="133" t="s">
        <v>37</v>
      </c>
      <c r="G581" s="134" t="s">
        <v>2032</v>
      </c>
      <c r="H581" s="133" t="s">
        <v>246</v>
      </c>
      <c r="I581" s="133" t="s">
        <v>246</v>
      </c>
      <c r="J581" s="135" t="s">
        <v>2033</v>
      </c>
      <c r="K581" s="133" t="s">
        <v>1429</v>
      </c>
      <c r="L581" s="133">
        <v>100</v>
      </c>
      <c r="M581" s="133"/>
      <c r="N581" s="133" t="s">
        <v>1254</v>
      </c>
      <c r="O581" s="133" t="s">
        <v>2034</v>
      </c>
      <c r="P581" s="133">
        <v>1980</v>
      </c>
      <c r="Q581" s="133">
        <v>1</v>
      </c>
      <c r="R581" s="133">
        <v>2</v>
      </c>
      <c r="S581" s="133">
        <v>0</v>
      </c>
      <c r="T581" s="133">
        <v>0</v>
      </c>
      <c r="U581" s="133">
        <v>0</v>
      </c>
      <c r="V581" s="133">
        <v>0</v>
      </c>
      <c r="W581" s="133">
        <v>0</v>
      </c>
      <c r="X581" s="133">
        <v>0</v>
      </c>
      <c r="Y581" s="133"/>
      <c r="Z581" s="133">
        <v>0</v>
      </c>
      <c r="AA581" s="133"/>
      <c r="AB581" s="133"/>
      <c r="AC581" s="133">
        <f t="shared" si="48"/>
        <v>0</v>
      </c>
      <c r="AD581" s="133"/>
      <c r="AE581" s="136"/>
      <c r="AG581" s="137"/>
    </row>
    <row r="582" spans="1:33" s="14" customFormat="1">
      <c r="A582" s="133">
        <f t="shared" si="50"/>
        <v>522</v>
      </c>
      <c r="B582" s="11" t="s">
        <v>738</v>
      </c>
      <c r="C582" s="133" t="s">
        <v>1908</v>
      </c>
      <c r="D582" s="133" t="s">
        <v>2035</v>
      </c>
      <c r="E582" s="133"/>
      <c r="F582" s="133" t="s">
        <v>37</v>
      </c>
      <c r="G582" s="134" t="s">
        <v>2036</v>
      </c>
      <c r="H582" s="133" t="s">
        <v>246</v>
      </c>
      <c r="I582" s="133" t="s">
        <v>246</v>
      </c>
      <c r="J582" s="135" t="s">
        <v>2037</v>
      </c>
      <c r="K582" s="133" t="s">
        <v>1429</v>
      </c>
      <c r="L582" s="133">
        <v>160</v>
      </c>
      <c r="M582" s="133"/>
      <c r="N582" s="133" t="s">
        <v>93</v>
      </c>
      <c r="O582" s="133" t="s">
        <v>2038</v>
      </c>
      <c r="P582" s="133" t="s">
        <v>2039</v>
      </c>
      <c r="Q582" s="133">
        <v>1</v>
      </c>
      <c r="R582" s="133">
        <v>2</v>
      </c>
      <c r="S582" s="133">
        <v>0</v>
      </c>
      <c r="T582" s="133">
        <v>0</v>
      </c>
      <c r="U582" s="133">
        <v>0</v>
      </c>
      <c r="V582" s="133">
        <v>0</v>
      </c>
      <c r="W582" s="133">
        <v>0</v>
      </c>
      <c r="X582" s="133">
        <v>0</v>
      </c>
      <c r="Y582" s="133"/>
      <c r="Z582" s="133">
        <v>0</v>
      </c>
      <c r="AA582" s="133"/>
      <c r="AB582" s="133"/>
      <c r="AC582" s="133">
        <f t="shared" si="48"/>
        <v>0</v>
      </c>
      <c r="AD582" s="133"/>
      <c r="AE582" s="136" t="s">
        <v>2017</v>
      </c>
      <c r="AG582" s="137"/>
    </row>
    <row r="583" spans="1:33" s="14" customFormat="1">
      <c r="A583" s="133">
        <f t="shared" si="50"/>
        <v>523</v>
      </c>
      <c r="B583" s="11" t="s">
        <v>738</v>
      </c>
      <c r="C583" s="133" t="s">
        <v>1908</v>
      </c>
      <c r="D583" s="133" t="s">
        <v>2040</v>
      </c>
      <c r="E583" s="133"/>
      <c r="F583" s="133" t="s">
        <v>37</v>
      </c>
      <c r="G583" s="134" t="s">
        <v>1378</v>
      </c>
      <c r="H583" s="133" t="s">
        <v>246</v>
      </c>
      <c r="I583" s="133" t="s">
        <v>246</v>
      </c>
      <c r="J583" s="135" t="s">
        <v>2041</v>
      </c>
      <c r="K583" s="133" t="s">
        <v>1429</v>
      </c>
      <c r="L583" s="133">
        <v>160</v>
      </c>
      <c r="M583" s="133"/>
      <c r="N583" s="133" t="s">
        <v>753</v>
      </c>
      <c r="O583" s="133" t="s">
        <v>2042</v>
      </c>
      <c r="P583" s="133">
        <v>1985</v>
      </c>
      <c r="Q583" s="133">
        <v>1</v>
      </c>
      <c r="R583" s="133">
        <v>3</v>
      </c>
      <c r="S583" s="133">
        <v>0</v>
      </c>
      <c r="T583" s="133">
        <v>0</v>
      </c>
      <c r="U583" s="133">
        <v>0</v>
      </c>
      <c r="V583" s="133">
        <v>0</v>
      </c>
      <c r="W583" s="133">
        <v>0</v>
      </c>
      <c r="X583" s="133">
        <v>0</v>
      </c>
      <c r="Y583" s="133"/>
      <c r="Z583" s="133">
        <v>0</v>
      </c>
      <c r="AA583" s="133"/>
      <c r="AB583" s="133"/>
      <c r="AC583" s="133">
        <f t="shared" si="48"/>
        <v>0</v>
      </c>
      <c r="AD583" s="133"/>
      <c r="AE583" s="136"/>
      <c r="AG583" s="137"/>
    </row>
    <row r="584" spans="1:33" s="14" customFormat="1">
      <c r="A584" s="133">
        <f t="shared" si="50"/>
        <v>524</v>
      </c>
      <c r="B584" s="11" t="s">
        <v>738</v>
      </c>
      <c r="C584" s="133" t="s">
        <v>1908</v>
      </c>
      <c r="D584" s="133" t="s">
        <v>2043</v>
      </c>
      <c r="E584" s="133"/>
      <c r="F584" s="133" t="s">
        <v>37</v>
      </c>
      <c r="G584" s="134" t="s">
        <v>1993</v>
      </c>
      <c r="H584" s="133" t="s">
        <v>741</v>
      </c>
      <c r="I584" s="133" t="s">
        <v>741</v>
      </c>
      <c r="J584" s="135" t="s">
        <v>2044</v>
      </c>
      <c r="K584" s="133" t="s">
        <v>1429</v>
      </c>
      <c r="L584" s="133">
        <v>100</v>
      </c>
      <c r="M584" s="133"/>
      <c r="N584" s="133" t="s">
        <v>424</v>
      </c>
      <c r="O584" s="133" t="s">
        <v>2045</v>
      </c>
      <c r="P584" s="133">
        <v>2010</v>
      </c>
      <c r="Q584" s="133">
        <v>1</v>
      </c>
      <c r="R584" s="133">
        <v>2</v>
      </c>
      <c r="S584" s="133">
        <v>0</v>
      </c>
      <c r="T584" s="133">
        <v>0</v>
      </c>
      <c r="U584" s="133">
        <v>0</v>
      </c>
      <c r="V584" s="133">
        <v>0</v>
      </c>
      <c r="W584" s="133">
        <v>0</v>
      </c>
      <c r="X584" s="133">
        <v>0</v>
      </c>
      <c r="Y584" s="133"/>
      <c r="Z584" s="133">
        <v>0</v>
      </c>
      <c r="AA584" s="133"/>
      <c r="AB584" s="133"/>
      <c r="AC584" s="133">
        <f t="shared" si="48"/>
        <v>0</v>
      </c>
      <c r="AD584" s="133"/>
      <c r="AE584" s="136"/>
      <c r="AG584" s="137"/>
    </row>
    <row r="585" spans="1:33" s="14" customFormat="1">
      <c r="A585" s="133">
        <f t="shared" si="50"/>
        <v>525</v>
      </c>
      <c r="B585" s="11" t="s">
        <v>738</v>
      </c>
      <c r="C585" s="133" t="s">
        <v>1908</v>
      </c>
      <c r="D585" s="133" t="s">
        <v>2046</v>
      </c>
      <c r="E585" s="133"/>
      <c r="F585" s="133" t="s">
        <v>37</v>
      </c>
      <c r="G585" s="134" t="s">
        <v>2047</v>
      </c>
      <c r="H585" s="133" t="s">
        <v>741</v>
      </c>
      <c r="I585" s="133" t="s">
        <v>741</v>
      </c>
      <c r="J585" s="135" t="s">
        <v>2048</v>
      </c>
      <c r="K585" s="133" t="s">
        <v>1429</v>
      </c>
      <c r="L585" s="133">
        <v>50</v>
      </c>
      <c r="M585" s="133"/>
      <c r="N585" s="133" t="s">
        <v>59</v>
      </c>
      <c r="O585" s="133" t="s">
        <v>2049</v>
      </c>
      <c r="P585" s="133" t="s">
        <v>766</v>
      </c>
      <c r="Q585" s="133" t="s">
        <v>96</v>
      </c>
      <c r="R585" s="133">
        <v>2</v>
      </c>
      <c r="S585" s="133">
        <v>0</v>
      </c>
      <c r="T585" s="133">
        <v>0</v>
      </c>
      <c r="U585" s="133">
        <v>0</v>
      </c>
      <c r="V585" s="133">
        <v>0</v>
      </c>
      <c r="W585" s="133">
        <v>0</v>
      </c>
      <c r="X585" s="133">
        <v>0</v>
      </c>
      <c r="Y585" s="133"/>
      <c r="Z585" s="133">
        <v>0</v>
      </c>
      <c r="AA585" s="133"/>
      <c r="AB585" s="133"/>
      <c r="AC585" s="133">
        <f t="shared" si="48"/>
        <v>0</v>
      </c>
      <c r="AD585" s="133">
        <v>2</v>
      </c>
      <c r="AE585" s="136" t="s">
        <v>2050</v>
      </c>
      <c r="AG585" s="137" t="s">
        <v>2050</v>
      </c>
    </row>
    <row r="586" spans="1:33" s="99" customFormat="1">
      <c r="A586" s="130">
        <f t="shared" si="50"/>
        <v>526</v>
      </c>
      <c r="B586" s="96" t="s">
        <v>738</v>
      </c>
      <c r="C586" s="130" t="s">
        <v>1908</v>
      </c>
      <c r="D586" s="130" t="s">
        <v>2051</v>
      </c>
      <c r="E586" s="130"/>
      <c r="F586" s="130" t="s">
        <v>37</v>
      </c>
      <c r="G586" s="139" t="s">
        <v>2052</v>
      </c>
      <c r="H586" s="130" t="s">
        <v>246</v>
      </c>
      <c r="I586" s="130" t="s">
        <v>246</v>
      </c>
      <c r="J586" s="140" t="s">
        <v>2053</v>
      </c>
      <c r="K586" s="130" t="s">
        <v>1429</v>
      </c>
      <c r="L586" s="130">
        <v>250</v>
      </c>
      <c r="M586" s="130"/>
      <c r="N586" s="130" t="s">
        <v>424</v>
      </c>
      <c r="O586" s="130">
        <v>18034538</v>
      </c>
      <c r="P586" s="130">
        <v>2018</v>
      </c>
      <c r="Q586" s="130">
        <v>1</v>
      </c>
      <c r="R586" s="130">
        <v>3</v>
      </c>
      <c r="S586" s="130">
        <v>0</v>
      </c>
      <c r="T586" s="130">
        <v>0</v>
      </c>
      <c r="U586" s="130">
        <v>0</v>
      </c>
      <c r="V586" s="130">
        <v>0</v>
      </c>
      <c r="W586" s="130">
        <v>0</v>
      </c>
      <c r="X586" s="130">
        <v>0</v>
      </c>
      <c r="Y586" s="130"/>
      <c r="Z586" s="130">
        <v>0</v>
      </c>
      <c r="AA586" s="130"/>
      <c r="AB586" s="130"/>
      <c r="AC586" s="130">
        <f t="shared" si="48"/>
        <v>0</v>
      </c>
      <c r="AD586" s="130"/>
      <c r="AE586" s="131" t="s">
        <v>1529</v>
      </c>
      <c r="AG586" s="132"/>
    </row>
    <row r="587" spans="1:33" s="14" customFormat="1">
      <c r="A587" s="133">
        <f t="shared" si="50"/>
        <v>527</v>
      </c>
      <c r="B587" s="11" t="s">
        <v>738</v>
      </c>
      <c r="C587" s="133" t="s">
        <v>1908</v>
      </c>
      <c r="D587" s="133" t="s">
        <v>2054</v>
      </c>
      <c r="E587" s="133"/>
      <c r="F587" s="133" t="s">
        <v>37</v>
      </c>
      <c r="G587" s="134" t="s">
        <v>2055</v>
      </c>
      <c r="H587" s="133" t="s">
        <v>741</v>
      </c>
      <c r="I587" s="133" t="s">
        <v>741</v>
      </c>
      <c r="J587" s="135" t="s">
        <v>2056</v>
      </c>
      <c r="K587" s="133" t="s">
        <v>1429</v>
      </c>
      <c r="L587" s="133">
        <v>200</v>
      </c>
      <c r="M587" s="133"/>
      <c r="N587" s="133" t="s">
        <v>424</v>
      </c>
      <c r="O587" s="133" t="s">
        <v>2057</v>
      </c>
      <c r="P587" s="133">
        <v>2011</v>
      </c>
      <c r="Q587" s="133">
        <v>1</v>
      </c>
      <c r="R587" s="133">
        <v>2</v>
      </c>
      <c r="S587" s="133">
        <v>0</v>
      </c>
      <c r="T587" s="133">
        <v>0</v>
      </c>
      <c r="U587" s="133">
        <v>0</v>
      </c>
      <c r="V587" s="133">
        <v>0</v>
      </c>
      <c r="W587" s="133">
        <v>0</v>
      </c>
      <c r="X587" s="133">
        <v>0</v>
      </c>
      <c r="Y587" s="133"/>
      <c r="Z587" s="133">
        <v>0</v>
      </c>
      <c r="AA587" s="133"/>
      <c r="AB587" s="133"/>
      <c r="AC587" s="133">
        <f t="shared" si="48"/>
        <v>0</v>
      </c>
      <c r="AD587" s="133"/>
      <c r="AE587" s="136"/>
      <c r="AG587" s="137"/>
    </row>
    <row r="588" spans="1:33" s="14" customFormat="1">
      <c r="A588" s="133">
        <f t="shared" si="50"/>
        <v>528</v>
      </c>
      <c r="B588" s="11" t="s">
        <v>738</v>
      </c>
      <c r="C588" s="133" t="s">
        <v>1908</v>
      </c>
      <c r="D588" s="133" t="s">
        <v>2058</v>
      </c>
      <c r="E588" s="133"/>
      <c r="F588" s="133" t="s">
        <v>37</v>
      </c>
      <c r="G588" s="134" t="s">
        <v>2059</v>
      </c>
      <c r="H588" s="133" t="s">
        <v>246</v>
      </c>
      <c r="I588" s="133" t="s">
        <v>246</v>
      </c>
      <c r="J588" s="135" t="s">
        <v>2060</v>
      </c>
      <c r="K588" s="133" t="s">
        <v>1429</v>
      </c>
      <c r="L588" s="133">
        <v>50</v>
      </c>
      <c r="M588" s="133"/>
      <c r="N588" s="133" t="s">
        <v>424</v>
      </c>
      <c r="O588" s="133" t="s">
        <v>2061</v>
      </c>
      <c r="P588" s="133">
        <v>2001</v>
      </c>
      <c r="Q588" s="133">
        <v>1</v>
      </c>
      <c r="R588" s="133">
        <v>2</v>
      </c>
      <c r="S588" s="133">
        <v>0</v>
      </c>
      <c r="T588" s="133">
        <v>0</v>
      </c>
      <c r="U588" s="133">
        <v>0</v>
      </c>
      <c r="V588" s="133">
        <v>0</v>
      </c>
      <c r="W588" s="133">
        <v>0</v>
      </c>
      <c r="X588" s="133">
        <v>0</v>
      </c>
      <c r="Y588" s="133"/>
      <c r="Z588" s="133">
        <v>0</v>
      </c>
      <c r="AA588" s="133"/>
      <c r="AB588" s="133"/>
      <c r="AC588" s="133">
        <f t="shared" si="48"/>
        <v>0</v>
      </c>
      <c r="AD588" s="133"/>
      <c r="AE588" s="136"/>
      <c r="AG588" s="137"/>
    </row>
    <row r="589" spans="1:33" s="14" customFormat="1">
      <c r="A589" s="133">
        <f t="shared" si="50"/>
        <v>529</v>
      </c>
      <c r="B589" s="11" t="s">
        <v>738</v>
      </c>
      <c r="C589" s="133" t="s">
        <v>1908</v>
      </c>
      <c r="D589" s="133" t="s">
        <v>2062</v>
      </c>
      <c r="E589" s="133"/>
      <c r="F589" s="133" t="s">
        <v>37</v>
      </c>
      <c r="G589" s="134" t="s">
        <v>2063</v>
      </c>
      <c r="H589" s="133" t="s">
        <v>741</v>
      </c>
      <c r="I589" s="133" t="s">
        <v>741</v>
      </c>
      <c r="J589" s="135" t="s">
        <v>2064</v>
      </c>
      <c r="K589" s="133" t="s">
        <v>1429</v>
      </c>
      <c r="L589" s="133">
        <v>100</v>
      </c>
      <c r="M589" s="133"/>
      <c r="N589" s="133" t="s">
        <v>59</v>
      </c>
      <c r="O589" s="133" t="s">
        <v>2065</v>
      </c>
      <c r="P589" s="133" t="s">
        <v>95</v>
      </c>
      <c r="Q589" s="133">
        <v>1</v>
      </c>
      <c r="R589" s="133">
        <v>2</v>
      </c>
      <c r="S589" s="133">
        <v>0</v>
      </c>
      <c r="T589" s="133">
        <v>0</v>
      </c>
      <c r="U589" s="133">
        <v>0</v>
      </c>
      <c r="V589" s="133">
        <v>0</v>
      </c>
      <c r="W589" s="133">
        <v>0</v>
      </c>
      <c r="X589" s="133">
        <v>0</v>
      </c>
      <c r="Y589" s="133"/>
      <c r="Z589" s="133">
        <v>0</v>
      </c>
      <c r="AA589" s="133"/>
      <c r="AB589" s="133"/>
      <c r="AC589" s="133">
        <f t="shared" si="48"/>
        <v>0</v>
      </c>
      <c r="AD589" s="133"/>
      <c r="AE589" s="136"/>
      <c r="AG589" s="137"/>
    </row>
    <row r="590" spans="1:33" s="14" customFormat="1">
      <c r="A590" s="133">
        <f t="shared" si="50"/>
        <v>530</v>
      </c>
      <c r="B590" s="11" t="s">
        <v>738</v>
      </c>
      <c r="C590" s="133" t="s">
        <v>1908</v>
      </c>
      <c r="D590" s="133" t="s">
        <v>2066</v>
      </c>
      <c r="E590" s="133"/>
      <c r="F590" s="133" t="s">
        <v>37</v>
      </c>
      <c r="G590" s="134" t="s">
        <v>2067</v>
      </c>
      <c r="H590" s="133" t="s">
        <v>246</v>
      </c>
      <c r="I590" s="133" t="s">
        <v>246</v>
      </c>
      <c r="J590" s="135" t="s">
        <v>2068</v>
      </c>
      <c r="K590" s="133" t="s">
        <v>1429</v>
      </c>
      <c r="L590" s="133">
        <v>160</v>
      </c>
      <c r="M590" s="133"/>
      <c r="N590" s="133" t="s">
        <v>93</v>
      </c>
      <c r="O590" s="133" t="s">
        <v>2069</v>
      </c>
      <c r="P590" s="133" t="s">
        <v>643</v>
      </c>
      <c r="Q590" s="133">
        <v>1</v>
      </c>
      <c r="R590" s="133">
        <v>3</v>
      </c>
      <c r="S590" s="133">
        <v>0</v>
      </c>
      <c r="T590" s="133">
        <v>0</v>
      </c>
      <c r="U590" s="133">
        <v>0</v>
      </c>
      <c r="V590" s="133">
        <v>0</v>
      </c>
      <c r="W590" s="133">
        <v>0</v>
      </c>
      <c r="X590" s="133">
        <v>0</v>
      </c>
      <c r="Y590" s="133"/>
      <c r="Z590" s="133">
        <v>0</v>
      </c>
      <c r="AA590" s="133"/>
      <c r="AB590" s="133"/>
      <c r="AC590" s="133">
        <f t="shared" si="48"/>
        <v>0</v>
      </c>
      <c r="AD590" s="133"/>
      <c r="AE590" s="136"/>
      <c r="AG590" s="137"/>
    </row>
    <row r="591" spans="1:33" s="14" customFormat="1">
      <c r="A591" s="133">
        <f t="shared" si="50"/>
        <v>531</v>
      </c>
      <c r="B591" s="11" t="s">
        <v>738</v>
      </c>
      <c r="C591" s="133" t="s">
        <v>1908</v>
      </c>
      <c r="D591" s="133" t="s">
        <v>2070</v>
      </c>
      <c r="E591" s="133"/>
      <c r="F591" s="133" t="s">
        <v>37</v>
      </c>
      <c r="G591" s="134" t="s">
        <v>2071</v>
      </c>
      <c r="H591" s="133" t="s">
        <v>741</v>
      </c>
      <c r="I591" s="133" t="s">
        <v>741</v>
      </c>
      <c r="J591" s="135" t="s">
        <v>2072</v>
      </c>
      <c r="K591" s="133" t="s">
        <v>1429</v>
      </c>
      <c r="L591" s="133">
        <v>100</v>
      </c>
      <c r="M591" s="133"/>
      <c r="N591" s="133" t="s">
        <v>424</v>
      </c>
      <c r="O591" s="133" t="s">
        <v>2073</v>
      </c>
      <c r="P591" s="133" t="s">
        <v>95</v>
      </c>
      <c r="Q591" s="133"/>
      <c r="R591" s="133">
        <v>2</v>
      </c>
      <c r="S591" s="133">
        <v>0</v>
      </c>
      <c r="T591" s="133">
        <v>0</v>
      </c>
      <c r="U591" s="133">
        <v>0</v>
      </c>
      <c r="V591" s="133">
        <v>0</v>
      </c>
      <c r="W591" s="133">
        <v>0</v>
      </c>
      <c r="X591" s="133">
        <v>0</v>
      </c>
      <c r="Y591" s="133"/>
      <c r="Z591" s="133">
        <v>0</v>
      </c>
      <c r="AA591" s="133"/>
      <c r="AB591" s="133"/>
      <c r="AC591" s="133">
        <f t="shared" si="48"/>
        <v>0</v>
      </c>
      <c r="AD591" s="133"/>
      <c r="AE591" s="136" t="s">
        <v>2074</v>
      </c>
      <c r="AG591" s="137"/>
    </row>
    <row r="592" spans="1:33" s="37" customFormat="1">
      <c r="A592" s="154">
        <f t="shared" si="50"/>
        <v>532</v>
      </c>
      <c r="B592" s="33" t="s">
        <v>738</v>
      </c>
      <c r="C592" s="154" t="s">
        <v>1908</v>
      </c>
      <c r="D592" s="154" t="s">
        <v>2075</v>
      </c>
      <c r="E592" s="154"/>
      <c r="F592" s="154" t="s">
        <v>63</v>
      </c>
      <c r="G592" s="155" t="s">
        <v>1970</v>
      </c>
      <c r="H592" s="154" t="s">
        <v>39</v>
      </c>
      <c r="I592" s="154" t="s">
        <v>40</v>
      </c>
      <c r="J592" s="156" t="s">
        <v>2076</v>
      </c>
      <c r="K592" s="154" t="s">
        <v>1114</v>
      </c>
      <c r="L592" s="154"/>
      <c r="M592" s="154"/>
      <c r="N592" s="154"/>
      <c r="O592" s="154"/>
      <c r="P592" s="154"/>
      <c r="Q592" s="154"/>
      <c r="R592" s="154"/>
      <c r="S592" s="189" t="s">
        <v>958</v>
      </c>
      <c r="T592" s="190" t="s">
        <v>89</v>
      </c>
      <c r="U592" s="154">
        <v>6</v>
      </c>
      <c r="V592" s="154">
        <v>0</v>
      </c>
      <c r="W592" s="154">
        <v>1</v>
      </c>
      <c r="X592" s="154">
        <v>0</v>
      </c>
      <c r="Y592" s="154"/>
      <c r="Z592" s="154">
        <v>0</v>
      </c>
      <c r="AA592" s="154"/>
      <c r="AB592" s="154"/>
      <c r="AC592" s="154">
        <f t="shared" si="48"/>
        <v>7</v>
      </c>
      <c r="AD592" s="154"/>
      <c r="AE592" s="157"/>
      <c r="AG592" s="158"/>
    </row>
    <row r="593" spans="1:33" s="14" customFormat="1">
      <c r="A593" s="133">
        <f t="shared" si="50"/>
        <v>533</v>
      </c>
      <c r="B593" s="11" t="s">
        <v>738</v>
      </c>
      <c r="C593" s="133" t="s">
        <v>1684</v>
      </c>
      <c r="D593" s="87" t="s">
        <v>2077</v>
      </c>
      <c r="E593" s="87"/>
      <c r="F593" s="133" t="s">
        <v>63</v>
      </c>
      <c r="G593" s="134" t="s">
        <v>1786</v>
      </c>
      <c r="H593" s="133" t="s">
        <v>246</v>
      </c>
      <c r="I593" s="133" t="s">
        <v>246</v>
      </c>
      <c r="J593" s="133" t="s">
        <v>2078</v>
      </c>
      <c r="K593" s="133" t="s">
        <v>42</v>
      </c>
      <c r="L593" s="133">
        <v>100</v>
      </c>
      <c r="M593" s="133"/>
      <c r="N593" s="133" t="s">
        <v>424</v>
      </c>
      <c r="O593" s="133" t="s">
        <v>2079</v>
      </c>
      <c r="P593" s="133" t="s">
        <v>643</v>
      </c>
      <c r="Q593" s="133">
        <v>1</v>
      </c>
      <c r="R593" s="133"/>
      <c r="S593" s="133"/>
      <c r="T593" s="133"/>
      <c r="U593" s="133"/>
      <c r="V593" s="133"/>
      <c r="W593" s="133"/>
      <c r="X593" s="133"/>
      <c r="Y593" s="133"/>
      <c r="Z593" s="133"/>
      <c r="AA593" s="133"/>
      <c r="AB593" s="133"/>
      <c r="AC593" s="133">
        <f t="shared" si="48"/>
        <v>0</v>
      </c>
      <c r="AD593" s="133"/>
      <c r="AE593" s="136" t="s">
        <v>2080</v>
      </c>
      <c r="AG593" s="137"/>
    </row>
    <row r="594" spans="1:33" s="14" customFormat="1">
      <c r="A594" s="133">
        <f t="shared" si="50"/>
        <v>534</v>
      </c>
      <c r="B594" s="11" t="s">
        <v>738</v>
      </c>
      <c r="C594" s="133" t="s">
        <v>1684</v>
      </c>
      <c r="D594" s="133" t="s">
        <v>2081</v>
      </c>
      <c r="E594" s="133"/>
      <c r="F594" s="133" t="s">
        <v>63</v>
      </c>
      <c r="G594" s="134" t="s">
        <v>2082</v>
      </c>
      <c r="H594" s="133" t="s">
        <v>246</v>
      </c>
      <c r="I594" s="133" t="s">
        <v>246</v>
      </c>
      <c r="J594" s="133">
        <v>1158</v>
      </c>
      <c r="K594" s="133" t="s">
        <v>42</v>
      </c>
      <c r="L594" s="133">
        <v>250</v>
      </c>
      <c r="M594" s="133"/>
      <c r="N594" s="133" t="s">
        <v>82</v>
      </c>
      <c r="O594" s="133" t="s">
        <v>2083</v>
      </c>
      <c r="P594" s="133" t="s">
        <v>737</v>
      </c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  <c r="AA594" s="133"/>
      <c r="AB594" s="133"/>
      <c r="AC594" s="133">
        <f t="shared" si="48"/>
        <v>0</v>
      </c>
      <c r="AD594" s="133"/>
      <c r="AE594" s="136"/>
      <c r="AG594" s="137"/>
    </row>
    <row r="595" spans="1:33" s="37" customFormat="1">
      <c r="A595" s="154">
        <f t="shared" si="50"/>
        <v>535</v>
      </c>
      <c r="B595" s="33" t="s">
        <v>738</v>
      </c>
      <c r="C595" s="154" t="s">
        <v>1908</v>
      </c>
      <c r="D595" s="154" t="s">
        <v>2084</v>
      </c>
      <c r="E595" s="154"/>
      <c r="F595" s="154" t="s">
        <v>63</v>
      </c>
      <c r="G595" s="155" t="s">
        <v>2085</v>
      </c>
      <c r="H595" s="154" t="s">
        <v>39</v>
      </c>
      <c r="I595" s="154" t="s">
        <v>40</v>
      </c>
      <c r="J595" s="157">
        <v>1102</v>
      </c>
      <c r="K595" s="154" t="s">
        <v>1114</v>
      </c>
      <c r="L595" s="154"/>
      <c r="M595" s="154"/>
      <c r="N595" s="154"/>
      <c r="O595" s="154"/>
      <c r="P595" s="154"/>
      <c r="Q595" s="154"/>
      <c r="R595" s="154"/>
      <c r="S595" s="189" t="s">
        <v>958</v>
      </c>
      <c r="T595" s="190" t="s">
        <v>89</v>
      </c>
      <c r="U595" s="189">
        <v>1</v>
      </c>
      <c r="V595" s="189"/>
      <c r="W595" s="189">
        <v>1</v>
      </c>
      <c r="X595" s="154"/>
      <c r="Y595" s="154"/>
      <c r="Z595" s="154"/>
      <c r="AA595" s="154"/>
      <c r="AB595" s="154"/>
      <c r="AC595" s="154">
        <f t="shared" si="48"/>
        <v>2</v>
      </c>
      <c r="AD595" s="154"/>
      <c r="AE595" s="157"/>
      <c r="AG595" s="158"/>
    </row>
    <row r="596" spans="1:33" s="14" customFormat="1">
      <c r="A596" s="133">
        <f t="shared" si="50"/>
        <v>536</v>
      </c>
      <c r="B596" s="11" t="s">
        <v>738</v>
      </c>
      <c r="C596" s="133" t="s">
        <v>1684</v>
      </c>
      <c r="D596" s="133" t="s">
        <v>2086</v>
      </c>
      <c r="E596" s="133"/>
      <c r="F596" s="133" t="s">
        <v>37</v>
      </c>
      <c r="G596" s="134" t="s">
        <v>1850</v>
      </c>
      <c r="H596" s="133" t="s">
        <v>741</v>
      </c>
      <c r="I596" s="133" t="s">
        <v>741</v>
      </c>
      <c r="J596" s="133" t="s">
        <v>2087</v>
      </c>
      <c r="K596" s="133" t="s">
        <v>1114</v>
      </c>
      <c r="L596" s="133">
        <v>100</v>
      </c>
      <c r="M596" s="133"/>
      <c r="N596" s="133" t="s">
        <v>93</v>
      </c>
      <c r="O596" s="133" t="s">
        <v>2088</v>
      </c>
      <c r="P596" s="133">
        <v>2012</v>
      </c>
      <c r="Q596" s="133">
        <v>1</v>
      </c>
      <c r="R596" s="133" t="s">
        <v>482</v>
      </c>
      <c r="S596" s="133"/>
      <c r="T596" s="133"/>
      <c r="U596" s="133"/>
      <c r="V596" s="133"/>
      <c r="W596" s="133"/>
      <c r="X596" s="133"/>
      <c r="Y596" s="133"/>
      <c r="Z596" s="133"/>
      <c r="AA596" s="133"/>
      <c r="AB596" s="133"/>
      <c r="AC596" s="133">
        <f t="shared" si="48"/>
        <v>0</v>
      </c>
      <c r="AD596" s="133"/>
      <c r="AE596" s="136"/>
      <c r="AG596" s="137"/>
    </row>
    <row r="597" spans="1:33" s="99" customFormat="1">
      <c r="A597" s="130">
        <f t="shared" si="50"/>
        <v>537</v>
      </c>
      <c r="B597" s="96" t="s">
        <v>738</v>
      </c>
      <c r="C597" s="130" t="s">
        <v>1908</v>
      </c>
      <c r="D597" s="130" t="s">
        <v>2089</v>
      </c>
      <c r="E597" s="130"/>
      <c r="F597" s="130" t="s">
        <v>37</v>
      </c>
      <c r="G597" s="139" t="s">
        <v>1611</v>
      </c>
      <c r="H597" s="130" t="s">
        <v>741</v>
      </c>
      <c r="I597" s="130" t="s">
        <v>741</v>
      </c>
      <c r="J597" s="140" t="s">
        <v>2090</v>
      </c>
      <c r="K597" s="130" t="s">
        <v>1429</v>
      </c>
      <c r="L597" s="130">
        <v>100</v>
      </c>
      <c r="M597" s="130"/>
      <c r="N597" s="130" t="s">
        <v>424</v>
      </c>
      <c r="O597" s="130">
        <v>7009656</v>
      </c>
      <c r="P597" s="130">
        <v>2007</v>
      </c>
      <c r="Q597" s="130">
        <v>1</v>
      </c>
      <c r="R597" s="130">
        <v>2</v>
      </c>
      <c r="S597" s="130">
        <v>0</v>
      </c>
      <c r="T597" s="130">
        <v>0</v>
      </c>
      <c r="U597" s="130">
        <v>0</v>
      </c>
      <c r="V597" s="130">
        <v>0</v>
      </c>
      <c r="W597" s="130">
        <v>0</v>
      </c>
      <c r="X597" s="130">
        <v>0</v>
      </c>
      <c r="Y597" s="130"/>
      <c r="Z597" s="130">
        <v>0</v>
      </c>
      <c r="AA597" s="130"/>
      <c r="AB597" s="130"/>
      <c r="AC597" s="130">
        <f t="shared" si="48"/>
        <v>0</v>
      </c>
      <c r="AD597" s="130"/>
      <c r="AE597" s="131"/>
      <c r="AG597" s="132"/>
    </row>
    <row r="598" spans="1:33" s="99" customFormat="1" ht="12.5" customHeight="1">
      <c r="A598" s="130">
        <f t="shared" si="50"/>
        <v>538</v>
      </c>
      <c r="B598" s="96" t="s">
        <v>738</v>
      </c>
      <c r="C598" s="130" t="s">
        <v>1684</v>
      </c>
      <c r="D598" s="130" t="s">
        <v>2091</v>
      </c>
      <c r="E598" s="130"/>
      <c r="F598" s="130" t="s">
        <v>63</v>
      </c>
      <c r="G598" s="139" t="s">
        <v>2092</v>
      </c>
      <c r="H598" s="130" t="s">
        <v>741</v>
      </c>
      <c r="I598" s="130" t="s">
        <v>741</v>
      </c>
      <c r="J598" s="131">
        <v>1056</v>
      </c>
      <c r="K598" s="130" t="s">
        <v>42</v>
      </c>
      <c r="L598" s="130">
        <v>50</v>
      </c>
      <c r="M598" s="130"/>
      <c r="N598" s="130" t="s">
        <v>641</v>
      </c>
      <c r="O598" s="130">
        <v>920669</v>
      </c>
      <c r="P598" s="130">
        <v>1992</v>
      </c>
      <c r="Q598" s="130">
        <v>1</v>
      </c>
      <c r="R598" s="130"/>
      <c r="S598" s="130"/>
      <c r="T598" s="130"/>
      <c r="U598" s="130"/>
      <c r="V598" s="130"/>
      <c r="W598" s="130"/>
      <c r="X598" s="130"/>
      <c r="Y598" s="130"/>
      <c r="Z598" s="130"/>
      <c r="AA598" s="130"/>
      <c r="AB598" s="130"/>
      <c r="AC598" s="130">
        <f t="shared" si="48"/>
        <v>0</v>
      </c>
      <c r="AD598" s="130"/>
      <c r="AE598" s="131"/>
      <c r="AG598" s="132"/>
    </row>
    <row r="599" spans="1:33" s="14" customFormat="1">
      <c r="A599" s="133">
        <f t="shared" si="50"/>
        <v>539</v>
      </c>
      <c r="B599" s="11" t="s">
        <v>738</v>
      </c>
      <c r="C599" s="133" t="s">
        <v>1684</v>
      </c>
      <c r="D599" s="133" t="s">
        <v>2093</v>
      </c>
      <c r="E599" s="133"/>
      <c r="F599" s="133" t="s">
        <v>37</v>
      </c>
      <c r="G599" s="134" t="s">
        <v>2094</v>
      </c>
      <c r="H599" s="133" t="s">
        <v>246</v>
      </c>
      <c r="I599" s="133" t="s">
        <v>246</v>
      </c>
      <c r="J599" s="133">
        <v>1076</v>
      </c>
      <c r="K599" s="133" t="s">
        <v>42</v>
      </c>
      <c r="L599" s="133">
        <v>250</v>
      </c>
      <c r="M599" s="133"/>
      <c r="N599" s="133" t="s">
        <v>863</v>
      </c>
      <c r="O599" s="133" t="s">
        <v>2095</v>
      </c>
      <c r="P599" s="133">
        <v>2007</v>
      </c>
      <c r="Q599" s="133">
        <v>1</v>
      </c>
      <c r="R599" s="133">
        <f>IF(H599="CANTOL",2,4)</f>
        <v>4</v>
      </c>
      <c r="S599" s="133"/>
      <c r="T599" s="133"/>
      <c r="U599" s="133"/>
      <c r="V599" s="133"/>
      <c r="W599" s="133"/>
      <c r="X599" s="133"/>
      <c r="Y599" s="133"/>
      <c r="Z599" s="133"/>
      <c r="AA599" s="133"/>
      <c r="AB599" s="133"/>
      <c r="AC599" s="133">
        <f t="shared" si="48"/>
        <v>0</v>
      </c>
      <c r="AD599" s="133"/>
      <c r="AE599" s="136"/>
      <c r="AG599" s="137"/>
    </row>
    <row r="600" spans="1:33" s="14" customFormat="1">
      <c r="A600" s="133">
        <f t="shared" si="50"/>
        <v>540</v>
      </c>
      <c r="B600" s="11" t="s">
        <v>738</v>
      </c>
      <c r="C600" s="133" t="s">
        <v>1684</v>
      </c>
      <c r="D600" s="133" t="s">
        <v>2096</v>
      </c>
      <c r="E600" s="133"/>
      <c r="F600" s="133" t="s">
        <v>37</v>
      </c>
      <c r="G600" s="134" t="s">
        <v>2094</v>
      </c>
      <c r="H600" s="133" t="s">
        <v>246</v>
      </c>
      <c r="I600" s="133" t="s">
        <v>246</v>
      </c>
      <c r="J600" s="133" t="s">
        <v>2097</v>
      </c>
      <c r="K600" s="133" t="s">
        <v>42</v>
      </c>
      <c r="L600" s="133">
        <v>250</v>
      </c>
      <c r="M600" s="133"/>
      <c r="N600" s="133" t="s">
        <v>664</v>
      </c>
      <c r="O600" s="133" t="s">
        <v>2098</v>
      </c>
      <c r="P600" s="133" t="s">
        <v>255</v>
      </c>
      <c r="Q600" s="133" t="s">
        <v>96</v>
      </c>
      <c r="R600" s="133" t="s">
        <v>84</v>
      </c>
      <c r="S600" s="133"/>
      <c r="T600" s="133"/>
      <c r="U600" s="133"/>
      <c r="V600" s="133"/>
      <c r="W600" s="133"/>
      <c r="X600" s="133"/>
      <c r="Y600" s="133"/>
      <c r="Z600" s="133"/>
      <c r="AA600" s="133"/>
      <c r="AB600" s="133"/>
      <c r="AC600" s="133"/>
      <c r="AD600" s="133"/>
      <c r="AE600" s="136"/>
      <c r="AG600" s="137"/>
    </row>
    <row r="601" spans="1:33" s="14" customFormat="1">
      <c r="A601" s="133">
        <f t="shared" si="50"/>
        <v>541</v>
      </c>
      <c r="B601" s="11" t="s">
        <v>738</v>
      </c>
      <c r="C601" s="133" t="s">
        <v>1684</v>
      </c>
      <c r="D601" s="133" t="s">
        <v>2099</v>
      </c>
      <c r="E601" s="133"/>
      <c r="F601" s="133" t="s">
        <v>37</v>
      </c>
      <c r="G601" s="134" t="s">
        <v>2100</v>
      </c>
      <c r="H601" s="133" t="s">
        <v>246</v>
      </c>
      <c r="I601" s="133" t="s">
        <v>246</v>
      </c>
      <c r="J601" s="133">
        <v>1075</v>
      </c>
      <c r="K601" s="133" t="s">
        <v>1114</v>
      </c>
      <c r="L601" s="133">
        <v>250</v>
      </c>
      <c r="M601" s="133"/>
      <c r="N601" s="133" t="s">
        <v>424</v>
      </c>
      <c r="O601" s="133" t="s">
        <v>2101</v>
      </c>
      <c r="P601" s="133" t="s">
        <v>95</v>
      </c>
      <c r="Q601" s="133">
        <v>1</v>
      </c>
      <c r="R601" s="133" t="s">
        <v>84</v>
      </c>
      <c r="S601" s="133"/>
      <c r="T601" s="133"/>
      <c r="U601" s="133"/>
      <c r="V601" s="133"/>
      <c r="W601" s="133"/>
      <c r="X601" s="133"/>
      <c r="Y601" s="133"/>
      <c r="Z601" s="133"/>
      <c r="AA601" s="133"/>
      <c r="AB601" s="133"/>
      <c r="AC601" s="133">
        <f t="shared" si="48"/>
        <v>0</v>
      </c>
      <c r="AD601" s="133"/>
      <c r="AE601" s="136" t="s">
        <v>1187</v>
      </c>
      <c r="AG601" s="137"/>
    </row>
    <row r="602" spans="1:33" s="193" customFormat="1">
      <c r="A602" s="133">
        <f t="shared" si="50"/>
        <v>542</v>
      </c>
      <c r="B602" s="191" t="s">
        <v>738</v>
      </c>
      <c r="C602" s="175" t="s">
        <v>1684</v>
      </c>
      <c r="D602" s="175" t="s">
        <v>2102</v>
      </c>
      <c r="E602" s="175"/>
      <c r="F602" s="175" t="s">
        <v>63</v>
      </c>
      <c r="G602" s="187" t="s">
        <v>2092</v>
      </c>
      <c r="H602" s="175" t="s">
        <v>39</v>
      </c>
      <c r="I602" s="175" t="s">
        <v>40</v>
      </c>
      <c r="J602" s="192">
        <v>1074</v>
      </c>
      <c r="K602" s="175" t="s">
        <v>42</v>
      </c>
      <c r="L602" s="175"/>
      <c r="M602" s="175" t="s">
        <v>2103</v>
      </c>
      <c r="N602" s="175"/>
      <c r="O602" s="175"/>
      <c r="P602" s="175"/>
      <c r="Q602" s="175"/>
      <c r="R602" s="175"/>
      <c r="S602" s="175" t="s">
        <v>381</v>
      </c>
      <c r="T602" s="175" t="s">
        <v>89</v>
      </c>
      <c r="U602" s="175">
        <v>1</v>
      </c>
      <c r="V602" s="175"/>
      <c r="W602" s="175">
        <v>1</v>
      </c>
      <c r="X602" s="175"/>
      <c r="Y602" s="175"/>
      <c r="Z602" s="175"/>
      <c r="AA602" s="175"/>
      <c r="AB602" s="175"/>
      <c r="AC602" s="175">
        <f t="shared" si="48"/>
        <v>2</v>
      </c>
      <c r="AD602" s="175"/>
      <c r="AE602" s="192"/>
      <c r="AG602" s="194"/>
    </row>
    <row r="603" spans="1:33" s="14" customFormat="1">
      <c r="A603" s="133">
        <f t="shared" si="50"/>
        <v>543</v>
      </c>
      <c r="B603" s="11" t="s">
        <v>738</v>
      </c>
      <c r="C603" s="133" t="s">
        <v>1908</v>
      </c>
      <c r="D603" s="133" t="s">
        <v>2104</v>
      </c>
      <c r="E603" s="133"/>
      <c r="F603" s="133" t="s">
        <v>37</v>
      </c>
      <c r="G603" s="134" t="s">
        <v>2105</v>
      </c>
      <c r="H603" s="133" t="s">
        <v>741</v>
      </c>
      <c r="I603" s="133" t="s">
        <v>741</v>
      </c>
      <c r="J603" s="136" t="s">
        <v>2106</v>
      </c>
      <c r="K603" s="133" t="s">
        <v>1429</v>
      </c>
      <c r="L603" s="133">
        <v>100</v>
      </c>
      <c r="M603" s="133"/>
      <c r="N603" s="133" t="s">
        <v>2107</v>
      </c>
      <c r="O603" s="133" t="s">
        <v>2108</v>
      </c>
      <c r="P603" s="133" t="s">
        <v>2016</v>
      </c>
      <c r="Q603" s="133" t="s">
        <v>96</v>
      </c>
      <c r="R603" s="133" t="s">
        <v>482</v>
      </c>
      <c r="S603" s="133" t="s">
        <v>381</v>
      </c>
      <c r="T603" s="133" t="s">
        <v>89</v>
      </c>
      <c r="U603" s="133"/>
      <c r="V603" s="133"/>
      <c r="W603" s="133"/>
      <c r="X603" s="133"/>
      <c r="Y603" s="133"/>
      <c r="Z603" s="133"/>
      <c r="AA603" s="133"/>
      <c r="AB603" s="133"/>
      <c r="AC603" s="133"/>
      <c r="AD603" s="133"/>
      <c r="AE603" s="136"/>
      <c r="AG603" s="137"/>
    </row>
    <row r="604" spans="1:33" s="14" customFormat="1">
      <c r="A604" s="133">
        <f t="shared" si="50"/>
        <v>544</v>
      </c>
      <c r="B604" s="11" t="s">
        <v>738</v>
      </c>
      <c r="C604" s="133" t="s">
        <v>1908</v>
      </c>
      <c r="D604" s="133" t="s">
        <v>2109</v>
      </c>
      <c r="E604" s="133"/>
      <c r="F604" s="133" t="s">
        <v>63</v>
      </c>
      <c r="G604" s="134" t="s">
        <v>2110</v>
      </c>
      <c r="H604" s="133" t="s">
        <v>246</v>
      </c>
      <c r="I604" s="133" t="s">
        <v>246</v>
      </c>
      <c r="J604" s="136">
        <v>1077</v>
      </c>
      <c r="K604" s="133" t="s">
        <v>1429</v>
      </c>
      <c r="L604" s="133">
        <v>250</v>
      </c>
      <c r="M604" s="133"/>
      <c r="N604" s="133" t="s">
        <v>59</v>
      </c>
      <c r="O604" s="133" t="s">
        <v>2111</v>
      </c>
      <c r="P604" s="133">
        <v>2013</v>
      </c>
      <c r="Q604" s="133">
        <v>1</v>
      </c>
      <c r="R604" s="133" t="s">
        <v>96</v>
      </c>
      <c r="S604" s="133"/>
      <c r="T604" s="133"/>
      <c r="U604" s="133"/>
      <c r="V604" s="133"/>
      <c r="W604" s="133"/>
      <c r="X604" s="133"/>
      <c r="Y604" s="133"/>
      <c r="Z604" s="133"/>
      <c r="AA604" s="133"/>
      <c r="AB604" s="133"/>
      <c r="AC604" s="133">
        <f t="shared" ref="AC604" si="51">SUM(U604:AB604)</f>
        <v>0</v>
      </c>
      <c r="AD604" s="133"/>
      <c r="AE604" s="136"/>
      <c r="AG604" s="137"/>
    </row>
    <row r="605" spans="1:33" s="14" customFormat="1">
      <c r="A605" s="133">
        <f t="shared" si="50"/>
        <v>545</v>
      </c>
      <c r="B605" s="11" t="s">
        <v>738</v>
      </c>
      <c r="C605" s="133" t="s">
        <v>2112</v>
      </c>
      <c r="D605" s="133" t="s">
        <v>2113</v>
      </c>
      <c r="E605" s="133"/>
      <c r="F605" s="133" t="s">
        <v>37</v>
      </c>
      <c r="G605" s="134" t="s">
        <v>2114</v>
      </c>
      <c r="H605" s="133" t="s">
        <v>246</v>
      </c>
      <c r="I605" s="133" t="s">
        <v>246</v>
      </c>
      <c r="J605" s="135" t="s">
        <v>2115</v>
      </c>
      <c r="K605" s="133" t="s">
        <v>42</v>
      </c>
      <c r="L605" s="133">
        <v>250</v>
      </c>
      <c r="M605" s="133"/>
      <c r="N605" s="133" t="s">
        <v>59</v>
      </c>
      <c r="O605" s="133" t="s">
        <v>2116</v>
      </c>
      <c r="P605" s="133">
        <v>2002</v>
      </c>
      <c r="Q605" s="133">
        <v>1</v>
      </c>
      <c r="R605" s="133">
        <v>2</v>
      </c>
      <c r="S605" s="133">
        <v>0</v>
      </c>
      <c r="T605" s="133">
        <v>0</v>
      </c>
      <c r="U605" s="133">
        <v>0</v>
      </c>
      <c r="V605" s="133">
        <v>0</v>
      </c>
      <c r="W605" s="133">
        <v>0</v>
      </c>
      <c r="X605" s="133">
        <v>0</v>
      </c>
      <c r="Y605" s="133"/>
      <c r="Z605" s="133">
        <v>0</v>
      </c>
      <c r="AA605" s="133"/>
      <c r="AB605" s="133"/>
      <c r="AC605" s="133">
        <f t="shared" si="48"/>
        <v>0</v>
      </c>
      <c r="AD605" s="133"/>
      <c r="AE605" s="136"/>
      <c r="AG605" s="137"/>
    </row>
    <row r="606" spans="1:33" s="14" customFormat="1">
      <c r="A606" s="133">
        <f t="shared" si="50"/>
        <v>546</v>
      </c>
      <c r="B606" s="11" t="s">
        <v>738</v>
      </c>
      <c r="C606" s="133" t="s">
        <v>2112</v>
      </c>
      <c r="D606" s="133" t="s">
        <v>2117</v>
      </c>
      <c r="E606" s="133"/>
      <c r="F606" s="133" t="s">
        <v>63</v>
      </c>
      <c r="G606" s="134" t="s">
        <v>2118</v>
      </c>
      <c r="H606" s="133" t="s">
        <v>246</v>
      </c>
      <c r="I606" s="133" t="s">
        <v>246</v>
      </c>
      <c r="J606" s="135" t="s">
        <v>2119</v>
      </c>
      <c r="K606" s="133" t="s">
        <v>42</v>
      </c>
      <c r="L606" s="133">
        <v>200</v>
      </c>
      <c r="M606" s="133"/>
      <c r="N606" s="133" t="s">
        <v>43</v>
      </c>
      <c r="O606" s="133">
        <v>32138</v>
      </c>
      <c r="P606" s="133">
        <v>1986</v>
      </c>
      <c r="Q606" s="133">
        <v>1</v>
      </c>
      <c r="R606" s="133"/>
      <c r="S606" s="133">
        <v>0</v>
      </c>
      <c r="T606" s="133">
        <v>0</v>
      </c>
      <c r="U606" s="133">
        <v>0</v>
      </c>
      <c r="V606" s="133">
        <v>0</v>
      </c>
      <c r="W606" s="133">
        <v>0</v>
      </c>
      <c r="X606" s="133">
        <v>0</v>
      </c>
      <c r="Y606" s="133"/>
      <c r="Z606" s="133">
        <v>0</v>
      </c>
      <c r="AA606" s="133"/>
      <c r="AB606" s="133"/>
      <c r="AC606" s="133">
        <f t="shared" si="48"/>
        <v>0</v>
      </c>
      <c r="AD606" s="133"/>
      <c r="AE606" s="136"/>
      <c r="AG606" s="137"/>
    </row>
    <row r="607" spans="1:33" s="99" customFormat="1">
      <c r="A607" s="130">
        <f>A605+1</f>
        <v>546</v>
      </c>
      <c r="B607" s="96" t="s">
        <v>738</v>
      </c>
      <c r="C607" s="130" t="s">
        <v>2112</v>
      </c>
      <c r="D607" s="130" t="s">
        <v>2120</v>
      </c>
      <c r="E607" s="130"/>
      <c r="F607" s="130" t="s">
        <v>37</v>
      </c>
      <c r="G607" s="139" t="s">
        <v>2121</v>
      </c>
      <c r="H607" s="130" t="s">
        <v>246</v>
      </c>
      <c r="I607" s="130" t="s">
        <v>39</v>
      </c>
      <c r="J607" s="140" t="s">
        <v>2122</v>
      </c>
      <c r="K607" s="130" t="s">
        <v>42</v>
      </c>
      <c r="L607" s="130">
        <v>400</v>
      </c>
      <c r="M607" s="130"/>
      <c r="N607" s="130" t="s">
        <v>43</v>
      </c>
      <c r="O607" s="130">
        <v>32183</v>
      </c>
      <c r="P607" s="130">
        <v>1986</v>
      </c>
      <c r="Q607" s="130">
        <v>1</v>
      </c>
      <c r="R607" s="130">
        <v>4</v>
      </c>
      <c r="S607" s="130" t="s">
        <v>133</v>
      </c>
      <c r="T607" s="130" t="s">
        <v>89</v>
      </c>
      <c r="U607" s="130">
        <v>1</v>
      </c>
      <c r="V607" s="130">
        <v>1</v>
      </c>
      <c r="W607" s="130">
        <v>0</v>
      </c>
      <c r="X607" s="130">
        <v>0</v>
      </c>
      <c r="Y607" s="130"/>
      <c r="Z607" s="130">
        <v>0</v>
      </c>
      <c r="AA607" s="130"/>
      <c r="AB607" s="130"/>
      <c r="AC607" s="130">
        <f t="shared" si="48"/>
        <v>2</v>
      </c>
      <c r="AD607" s="130"/>
      <c r="AE607" s="131"/>
      <c r="AG607" s="132"/>
    </row>
    <row r="608" spans="1:33" s="14" customFormat="1">
      <c r="A608" s="133">
        <f>A606+1</f>
        <v>547</v>
      </c>
      <c r="B608" s="11" t="s">
        <v>738</v>
      </c>
      <c r="C608" s="133" t="s">
        <v>2112</v>
      </c>
      <c r="D608" s="133" t="s">
        <v>2123</v>
      </c>
      <c r="E608" s="133"/>
      <c r="F608" s="133" t="s">
        <v>37</v>
      </c>
      <c r="G608" s="134" t="s">
        <v>2124</v>
      </c>
      <c r="H608" s="133" t="s">
        <v>246</v>
      </c>
      <c r="I608" s="133" t="s">
        <v>246</v>
      </c>
      <c r="J608" s="135" t="s">
        <v>2125</v>
      </c>
      <c r="K608" s="133" t="s">
        <v>42</v>
      </c>
      <c r="L608" s="133">
        <v>160</v>
      </c>
      <c r="M608" s="133"/>
      <c r="N608" s="133" t="s">
        <v>2126</v>
      </c>
      <c r="O608" s="133" t="s">
        <v>2127</v>
      </c>
      <c r="P608" s="133">
        <v>2008</v>
      </c>
      <c r="Q608" s="133">
        <v>1</v>
      </c>
      <c r="R608" s="133">
        <v>4</v>
      </c>
      <c r="S608" s="133">
        <v>0</v>
      </c>
      <c r="T608" s="133">
        <v>0</v>
      </c>
      <c r="U608" s="133">
        <v>0</v>
      </c>
      <c r="V608" s="133">
        <v>0</v>
      </c>
      <c r="W608" s="133">
        <v>0</v>
      </c>
      <c r="X608" s="133">
        <v>0</v>
      </c>
      <c r="Y608" s="133"/>
      <c r="Z608" s="133">
        <v>0</v>
      </c>
      <c r="AA608" s="133"/>
      <c r="AB608" s="133"/>
      <c r="AC608" s="133">
        <f t="shared" si="48"/>
        <v>0</v>
      </c>
      <c r="AD608" s="133"/>
      <c r="AE608" s="136"/>
      <c r="AG608" s="137"/>
    </row>
    <row r="609" spans="1:33" s="14" customFormat="1">
      <c r="A609" s="133">
        <f t="shared" si="50"/>
        <v>548</v>
      </c>
      <c r="B609" s="11" t="s">
        <v>738</v>
      </c>
      <c r="C609" s="133" t="s">
        <v>2112</v>
      </c>
      <c r="D609" s="133" t="s">
        <v>2128</v>
      </c>
      <c r="E609" s="133"/>
      <c r="F609" s="133" t="s">
        <v>63</v>
      </c>
      <c r="G609" s="134" t="s">
        <v>2129</v>
      </c>
      <c r="H609" s="133" t="s">
        <v>246</v>
      </c>
      <c r="I609" s="133" t="s">
        <v>246</v>
      </c>
      <c r="J609" s="136">
        <v>1012</v>
      </c>
      <c r="K609" s="133" t="s">
        <v>42</v>
      </c>
      <c r="L609" s="133">
        <v>250</v>
      </c>
      <c r="M609" s="133"/>
      <c r="N609" s="133" t="s">
        <v>424</v>
      </c>
      <c r="O609" s="133">
        <v>11012068</v>
      </c>
      <c r="P609" s="133">
        <v>2011</v>
      </c>
      <c r="Q609" s="133">
        <v>1</v>
      </c>
      <c r="R609" s="133"/>
      <c r="S609" s="133"/>
      <c r="T609" s="133"/>
      <c r="U609" s="133"/>
      <c r="V609" s="133"/>
      <c r="W609" s="133"/>
      <c r="X609" s="133"/>
      <c r="Y609" s="133"/>
      <c r="Z609" s="133"/>
      <c r="AA609" s="133"/>
      <c r="AB609" s="133"/>
      <c r="AC609" s="133">
        <f t="shared" si="48"/>
        <v>0</v>
      </c>
      <c r="AD609" s="133"/>
      <c r="AE609" s="136"/>
      <c r="AG609" s="137"/>
    </row>
    <row r="610" spans="1:33" s="14" customFormat="1">
      <c r="A610" s="133">
        <f t="shared" si="50"/>
        <v>549</v>
      </c>
      <c r="B610" s="11" t="s">
        <v>738</v>
      </c>
      <c r="C610" s="133" t="s">
        <v>2112</v>
      </c>
      <c r="D610" s="133" t="s">
        <v>2130</v>
      </c>
      <c r="E610" s="133"/>
      <c r="F610" s="133" t="s">
        <v>63</v>
      </c>
      <c r="G610" s="134" t="s">
        <v>2131</v>
      </c>
      <c r="H610" s="133" t="s">
        <v>246</v>
      </c>
      <c r="I610" s="133" t="s">
        <v>246</v>
      </c>
      <c r="J610" s="136">
        <v>1094</v>
      </c>
      <c r="K610" s="133" t="s">
        <v>42</v>
      </c>
      <c r="L610" s="133">
        <v>250</v>
      </c>
      <c r="M610" s="133"/>
      <c r="N610" s="133" t="s">
        <v>863</v>
      </c>
      <c r="O610" s="133" t="s">
        <v>2132</v>
      </c>
      <c r="P610" s="133">
        <v>2014</v>
      </c>
      <c r="Q610" s="133">
        <v>1</v>
      </c>
      <c r="R610" s="133"/>
      <c r="S610" s="133"/>
      <c r="T610" s="133"/>
      <c r="U610" s="133"/>
      <c r="V610" s="133"/>
      <c r="W610" s="133"/>
      <c r="X610" s="133"/>
      <c r="Y610" s="133"/>
      <c r="Z610" s="133"/>
      <c r="AA610" s="133"/>
      <c r="AB610" s="133"/>
      <c r="AC610" s="133">
        <f t="shared" si="48"/>
        <v>0</v>
      </c>
      <c r="AD610" s="133"/>
      <c r="AE610" s="136"/>
      <c r="AG610" s="137"/>
    </row>
    <row r="611" spans="1:33" s="14" customFormat="1">
      <c r="A611" s="133">
        <f t="shared" si="50"/>
        <v>550</v>
      </c>
      <c r="B611" s="11" t="s">
        <v>738</v>
      </c>
      <c r="C611" s="133" t="s">
        <v>2112</v>
      </c>
      <c r="D611" s="133" t="s">
        <v>2133</v>
      </c>
      <c r="E611" s="133"/>
      <c r="F611" s="133" t="s">
        <v>63</v>
      </c>
      <c r="G611" s="134" t="s">
        <v>2134</v>
      </c>
      <c r="H611" s="133" t="s">
        <v>246</v>
      </c>
      <c r="I611" s="133" t="s">
        <v>246</v>
      </c>
      <c r="J611" s="135" t="s">
        <v>2135</v>
      </c>
      <c r="K611" s="133" t="s">
        <v>42</v>
      </c>
      <c r="L611" s="133">
        <v>100</v>
      </c>
      <c r="M611" s="133"/>
      <c r="N611" s="133" t="s">
        <v>93</v>
      </c>
      <c r="O611" s="133">
        <v>800431005</v>
      </c>
      <c r="P611" s="133">
        <v>2008</v>
      </c>
      <c r="Q611" s="133">
        <v>1</v>
      </c>
      <c r="R611" s="133">
        <v>2</v>
      </c>
      <c r="S611" s="133">
        <v>0</v>
      </c>
      <c r="T611" s="133">
        <v>0</v>
      </c>
      <c r="U611" s="133">
        <v>0</v>
      </c>
      <c r="V611" s="133">
        <v>0</v>
      </c>
      <c r="W611" s="133">
        <v>0</v>
      </c>
      <c r="X611" s="133">
        <v>0</v>
      </c>
      <c r="Y611" s="133"/>
      <c r="Z611" s="133">
        <v>0</v>
      </c>
      <c r="AA611" s="133"/>
      <c r="AB611" s="133"/>
      <c r="AC611" s="133">
        <f t="shared" si="48"/>
        <v>0</v>
      </c>
      <c r="AD611" s="133"/>
      <c r="AE611" s="136"/>
      <c r="AG611" s="137"/>
    </row>
    <row r="612" spans="1:33" s="14" customFormat="1">
      <c r="A612" s="133">
        <f t="shared" si="50"/>
        <v>551</v>
      </c>
      <c r="B612" s="11" t="s">
        <v>738</v>
      </c>
      <c r="C612" s="133" t="s">
        <v>2112</v>
      </c>
      <c r="D612" s="133" t="s">
        <v>2136</v>
      </c>
      <c r="E612" s="133"/>
      <c r="F612" s="133" t="s">
        <v>37</v>
      </c>
      <c r="G612" s="134" t="s">
        <v>2137</v>
      </c>
      <c r="H612" s="133" t="s">
        <v>246</v>
      </c>
      <c r="I612" s="133" t="s">
        <v>246</v>
      </c>
      <c r="J612" s="133" t="s">
        <v>2138</v>
      </c>
      <c r="K612" s="133" t="s">
        <v>42</v>
      </c>
      <c r="L612" s="133">
        <v>100</v>
      </c>
      <c r="M612" s="133"/>
      <c r="N612" s="133" t="s">
        <v>59</v>
      </c>
      <c r="O612" s="133" t="s">
        <v>2139</v>
      </c>
      <c r="P612" s="133" t="s">
        <v>95</v>
      </c>
      <c r="Q612" s="133">
        <v>1</v>
      </c>
      <c r="R612" s="133" t="s">
        <v>96</v>
      </c>
      <c r="S612" s="133">
        <v>0</v>
      </c>
      <c r="T612" s="133">
        <v>0</v>
      </c>
      <c r="U612" s="133">
        <v>0</v>
      </c>
      <c r="V612" s="133">
        <v>0</v>
      </c>
      <c r="W612" s="133">
        <v>0</v>
      </c>
      <c r="X612" s="133">
        <v>0</v>
      </c>
      <c r="Y612" s="133"/>
      <c r="Z612" s="133">
        <v>0</v>
      </c>
      <c r="AA612" s="133"/>
      <c r="AB612" s="133"/>
      <c r="AC612" s="133">
        <f t="shared" si="48"/>
        <v>0</v>
      </c>
      <c r="AD612" s="133"/>
      <c r="AE612" s="136" t="s">
        <v>2140</v>
      </c>
      <c r="AG612" s="137"/>
    </row>
    <row r="613" spans="1:33" s="14" customFormat="1">
      <c r="A613" s="133">
        <f t="shared" si="50"/>
        <v>552</v>
      </c>
      <c r="B613" s="11" t="s">
        <v>738</v>
      </c>
      <c r="C613" s="133" t="s">
        <v>2112</v>
      </c>
      <c r="D613" s="133" t="s">
        <v>2141</v>
      </c>
      <c r="E613" s="133"/>
      <c r="F613" s="133" t="s">
        <v>37</v>
      </c>
      <c r="G613" s="134" t="s">
        <v>2019</v>
      </c>
      <c r="H613" s="133" t="s">
        <v>246</v>
      </c>
      <c r="I613" s="133" t="s">
        <v>246</v>
      </c>
      <c r="J613" s="135" t="s">
        <v>2142</v>
      </c>
      <c r="K613" s="133" t="s">
        <v>42</v>
      </c>
      <c r="L613" s="133">
        <v>250</v>
      </c>
      <c r="M613" s="133"/>
      <c r="N613" s="133" t="s">
        <v>59</v>
      </c>
      <c r="O613" s="133">
        <v>8131908</v>
      </c>
      <c r="P613" s="133">
        <v>2008</v>
      </c>
      <c r="Q613" s="133">
        <v>1</v>
      </c>
      <c r="R613" s="133">
        <v>3</v>
      </c>
      <c r="S613" s="133">
        <v>0</v>
      </c>
      <c r="T613" s="133">
        <v>0</v>
      </c>
      <c r="U613" s="133">
        <v>0</v>
      </c>
      <c r="V613" s="133">
        <v>0</v>
      </c>
      <c r="W613" s="133">
        <v>0</v>
      </c>
      <c r="X613" s="133">
        <v>0</v>
      </c>
      <c r="Y613" s="133"/>
      <c r="Z613" s="133">
        <v>0</v>
      </c>
      <c r="AA613" s="133"/>
      <c r="AB613" s="133"/>
      <c r="AC613" s="133">
        <f t="shared" si="48"/>
        <v>0</v>
      </c>
      <c r="AD613" s="133"/>
      <c r="AE613" s="136"/>
      <c r="AG613" s="137"/>
    </row>
    <row r="614" spans="1:33" s="193" customFormat="1">
      <c r="A614" s="133">
        <f t="shared" si="50"/>
        <v>553</v>
      </c>
      <c r="B614" s="191" t="s">
        <v>738</v>
      </c>
      <c r="C614" s="175" t="s">
        <v>2112</v>
      </c>
      <c r="D614" s="175" t="s">
        <v>2143</v>
      </c>
      <c r="E614" s="175"/>
      <c r="F614" s="175" t="s">
        <v>63</v>
      </c>
      <c r="G614" s="187" t="s">
        <v>2144</v>
      </c>
      <c r="H614" s="175" t="s">
        <v>39</v>
      </c>
      <c r="I614" s="175" t="s">
        <v>50</v>
      </c>
      <c r="J614" s="195" t="s">
        <v>2145</v>
      </c>
      <c r="K614" s="175" t="s">
        <v>42</v>
      </c>
      <c r="L614" s="175"/>
      <c r="M614" s="175"/>
      <c r="N614" s="175"/>
      <c r="O614" s="175"/>
      <c r="P614" s="175"/>
      <c r="Q614" s="175"/>
      <c r="R614" s="175"/>
      <c r="S614" s="175" t="s">
        <v>45</v>
      </c>
      <c r="T614" s="175" t="s">
        <v>89</v>
      </c>
      <c r="U614" s="175">
        <v>1</v>
      </c>
      <c r="V614" s="175">
        <v>0</v>
      </c>
      <c r="W614" s="175">
        <v>1</v>
      </c>
      <c r="X614" s="175">
        <v>0</v>
      </c>
      <c r="Y614" s="175"/>
      <c r="Z614" s="175">
        <v>0</v>
      </c>
      <c r="AA614" s="175"/>
      <c r="AB614" s="175"/>
      <c r="AC614" s="175">
        <f t="shared" si="48"/>
        <v>2</v>
      </c>
      <c r="AD614" s="175"/>
      <c r="AE614" s="192"/>
      <c r="AG614" s="194"/>
    </row>
    <row r="615" spans="1:33" s="93" customFormat="1">
      <c r="A615" s="141">
        <f t="shared" si="50"/>
        <v>554</v>
      </c>
      <c r="B615" s="89" t="s">
        <v>738</v>
      </c>
      <c r="C615" s="141" t="s">
        <v>2112</v>
      </c>
      <c r="D615" s="141" t="s">
        <v>2146</v>
      </c>
      <c r="E615" s="141"/>
      <c r="F615" s="141" t="s">
        <v>63</v>
      </c>
      <c r="G615" s="142" t="s">
        <v>2147</v>
      </c>
      <c r="H615" s="141" t="s">
        <v>741</v>
      </c>
      <c r="I615" s="141" t="s">
        <v>741</v>
      </c>
      <c r="J615" s="183"/>
      <c r="K615" s="141" t="s">
        <v>42</v>
      </c>
      <c r="L615" s="141">
        <v>100</v>
      </c>
      <c r="M615" s="141"/>
      <c r="N615" s="141" t="s">
        <v>1139</v>
      </c>
      <c r="O615" s="141">
        <v>-2510020239</v>
      </c>
      <c r="P615" s="141">
        <v>2025</v>
      </c>
      <c r="Q615" s="141">
        <v>1</v>
      </c>
      <c r="R615" s="141">
        <v>3</v>
      </c>
      <c r="S615" s="141">
        <v>0</v>
      </c>
      <c r="T615" s="141">
        <v>0</v>
      </c>
      <c r="U615" s="141">
        <v>0</v>
      </c>
      <c r="V615" s="141">
        <v>0</v>
      </c>
      <c r="W615" s="141">
        <v>0</v>
      </c>
      <c r="X615" s="141">
        <v>0</v>
      </c>
      <c r="Y615" s="141"/>
      <c r="Z615" s="141">
        <v>0</v>
      </c>
      <c r="AA615" s="141"/>
      <c r="AB615" s="141"/>
      <c r="AC615" s="141">
        <f t="shared" si="48"/>
        <v>0</v>
      </c>
      <c r="AD615" s="141"/>
      <c r="AE615" s="143"/>
      <c r="AG615" s="144"/>
    </row>
    <row r="616" spans="1:33" s="14" customFormat="1" ht="14.25" customHeight="1">
      <c r="A616" s="133">
        <f>A614+1</f>
        <v>554</v>
      </c>
      <c r="B616" s="11" t="s">
        <v>738</v>
      </c>
      <c r="C616" s="133" t="s">
        <v>2112</v>
      </c>
      <c r="D616" s="133" t="s">
        <v>2148</v>
      </c>
      <c r="E616" s="133"/>
      <c r="F616" s="133" t="s">
        <v>37</v>
      </c>
      <c r="G616" s="134" t="s">
        <v>2149</v>
      </c>
      <c r="H616" s="133" t="s">
        <v>39</v>
      </c>
      <c r="I616" s="133" t="s">
        <v>50</v>
      </c>
      <c r="J616" s="135" t="s">
        <v>2150</v>
      </c>
      <c r="K616" s="133" t="s">
        <v>42</v>
      </c>
      <c r="L616" s="133">
        <v>400</v>
      </c>
      <c r="M616" s="133"/>
      <c r="N616" s="133" t="s">
        <v>1923</v>
      </c>
      <c r="O616" s="133" t="s">
        <v>2151</v>
      </c>
      <c r="P616" s="133">
        <v>1991</v>
      </c>
      <c r="Q616" s="133"/>
      <c r="R616" s="133">
        <v>4</v>
      </c>
      <c r="S616" s="133" t="s">
        <v>45</v>
      </c>
      <c r="T616" s="133" t="s">
        <v>89</v>
      </c>
      <c r="U616" s="133">
        <v>1</v>
      </c>
      <c r="V616" s="133">
        <v>1</v>
      </c>
      <c r="W616" s="133">
        <v>0</v>
      </c>
      <c r="X616" s="133">
        <v>0</v>
      </c>
      <c r="Y616" s="133"/>
      <c r="Z616" s="133">
        <v>0</v>
      </c>
      <c r="AA616" s="133"/>
      <c r="AB616" s="133"/>
      <c r="AC616" s="133">
        <f t="shared" si="48"/>
        <v>2</v>
      </c>
      <c r="AD616" s="133"/>
      <c r="AE616" s="136"/>
      <c r="AG616" s="137"/>
    </row>
    <row r="617" spans="1:33" s="14" customFormat="1">
      <c r="A617" s="133">
        <f t="shared" si="50"/>
        <v>555</v>
      </c>
      <c r="B617" s="11" t="s">
        <v>738</v>
      </c>
      <c r="C617" s="133" t="s">
        <v>2112</v>
      </c>
      <c r="D617" s="133" t="s">
        <v>234</v>
      </c>
      <c r="E617" s="133"/>
      <c r="F617" s="133" t="s">
        <v>37</v>
      </c>
      <c r="G617" s="134" t="s">
        <v>2152</v>
      </c>
      <c r="H617" s="133" t="s">
        <v>39</v>
      </c>
      <c r="I617" s="133" t="s">
        <v>40</v>
      </c>
      <c r="J617" s="135" t="s">
        <v>2153</v>
      </c>
      <c r="K617" s="133" t="s">
        <v>42</v>
      </c>
      <c r="L617" s="133">
        <v>400</v>
      </c>
      <c r="M617" s="133"/>
      <c r="N617" s="133" t="s">
        <v>43</v>
      </c>
      <c r="O617" s="133">
        <v>56348</v>
      </c>
      <c r="P617" s="133">
        <v>1993</v>
      </c>
      <c r="Q617" s="133"/>
      <c r="R617" s="133">
        <v>4</v>
      </c>
      <c r="S617" s="133" t="s">
        <v>45</v>
      </c>
      <c r="T617" s="133" t="s">
        <v>46</v>
      </c>
      <c r="U617" s="133">
        <v>1</v>
      </c>
      <c r="V617" s="133">
        <v>1</v>
      </c>
      <c r="W617" s="133">
        <v>0</v>
      </c>
      <c r="X617" s="133">
        <v>0</v>
      </c>
      <c r="Y617" s="133"/>
      <c r="Z617" s="133">
        <v>0</v>
      </c>
      <c r="AA617" s="133"/>
      <c r="AB617" s="133"/>
      <c r="AC617" s="133">
        <f t="shared" si="48"/>
        <v>2</v>
      </c>
      <c r="AD617" s="133"/>
      <c r="AE617" s="136"/>
      <c r="AG617" s="137"/>
    </row>
    <row r="618" spans="1:33" s="14" customFormat="1">
      <c r="A618" s="133">
        <f t="shared" si="50"/>
        <v>556</v>
      </c>
      <c r="B618" s="11" t="s">
        <v>738</v>
      </c>
      <c r="C618" s="133" t="s">
        <v>2112</v>
      </c>
      <c r="D618" s="133" t="s">
        <v>2154</v>
      </c>
      <c r="E618" s="133"/>
      <c r="F618" s="133" t="s">
        <v>37</v>
      </c>
      <c r="G618" s="134" t="s">
        <v>2152</v>
      </c>
      <c r="H618" s="133" t="s">
        <v>246</v>
      </c>
      <c r="I618" s="133" t="s">
        <v>246</v>
      </c>
      <c r="J618" s="135" t="s">
        <v>2155</v>
      </c>
      <c r="K618" s="133" t="s">
        <v>42</v>
      </c>
      <c r="L618" s="133">
        <v>200</v>
      </c>
      <c r="M618" s="133"/>
      <c r="N618" s="133" t="s">
        <v>93</v>
      </c>
      <c r="O618" s="133" t="s">
        <v>2156</v>
      </c>
      <c r="P618" s="133" t="s">
        <v>766</v>
      </c>
      <c r="Q618" s="133">
        <v>1</v>
      </c>
      <c r="R618" s="133">
        <v>3</v>
      </c>
      <c r="S618" s="133"/>
      <c r="T618" s="133"/>
      <c r="U618" s="133"/>
      <c r="V618" s="133"/>
      <c r="W618" s="133"/>
      <c r="X618" s="133"/>
      <c r="Y618" s="133"/>
      <c r="Z618" s="133"/>
      <c r="AA618" s="133"/>
      <c r="AB618" s="133"/>
      <c r="AC618" s="133">
        <f t="shared" si="48"/>
        <v>0</v>
      </c>
      <c r="AD618" s="133"/>
      <c r="AE618" s="136"/>
      <c r="AG618" s="137"/>
    </row>
    <row r="619" spans="1:33" s="14" customFormat="1">
      <c r="A619" s="133">
        <f t="shared" si="50"/>
        <v>557</v>
      </c>
      <c r="B619" s="11" t="s">
        <v>738</v>
      </c>
      <c r="C619" s="133" t="s">
        <v>2112</v>
      </c>
      <c r="D619" s="133" t="s">
        <v>2157</v>
      </c>
      <c r="E619" s="133"/>
      <c r="F619" s="133" t="s">
        <v>37</v>
      </c>
      <c r="G619" s="134" t="s">
        <v>2158</v>
      </c>
      <c r="H619" s="133" t="s">
        <v>741</v>
      </c>
      <c r="I619" s="133" t="s">
        <v>741</v>
      </c>
      <c r="J619" s="135" t="s">
        <v>2159</v>
      </c>
      <c r="K619" s="133" t="s">
        <v>42</v>
      </c>
      <c r="L619" s="133">
        <v>160</v>
      </c>
      <c r="M619" s="133"/>
      <c r="N619" s="133" t="s">
        <v>664</v>
      </c>
      <c r="O619" s="133" t="s">
        <v>2160</v>
      </c>
      <c r="P619" s="133">
        <v>2010</v>
      </c>
      <c r="Q619" s="133">
        <v>1</v>
      </c>
      <c r="R619" s="133">
        <v>2</v>
      </c>
      <c r="S619" s="133">
        <v>0</v>
      </c>
      <c r="T619" s="133">
        <v>0</v>
      </c>
      <c r="U619" s="133">
        <v>0</v>
      </c>
      <c r="V619" s="133">
        <v>0</v>
      </c>
      <c r="W619" s="133">
        <v>0</v>
      </c>
      <c r="X619" s="133">
        <v>0</v>
      </c>
      <c r="Y619" s="133"/>
      <c r="Z619" s="133">
        <v>0</v>
      </c>
      <c r="AA619" s="133"/>
      <c r="AB619" s="133"/>
      <c r="AC619" s="133">
        <f t="shared" si="48"/>
        <v>0</v>
      </c>
      <c r="AD619" s="133"/>
      <c r="AE619" s="136"/>
      <c r="AG619" s="137"/>
    </row>
    <row r="620" spans="1:33" s="14" customFormat="1">
      <c r="A620" s="133">
        <f>A616+1</f>
        <v>555</v>
      </c>
      <c r="B620" s="11" t="s">
        <v>738</v>
      </c>
      <c r="C620" s="133" t="s">
        <v>2112</v>
      </c>
      <c r="D620" s="133" t="s">
        <v>2161</v>
      </c>
      <c r="E620" s="133"/>
      <c r="F620" s="133" t="s">
        <v>63</v>
      </c>
      <c r="G620" s="134" t="s">
        <v>2162</v>
      </c>
      <c r="H620" s="133" t="s">
        <v>246</v>
      </c>
      <c r="I620" s="133" t="s">
        <v>246</v>
      </c>
      <c r="J620" s="133"/>
      <c r="K620" s="133" t="s">
        <v>42</v>
      </c>
      <c r="L620" s="133">
        <v>250</v>
      </c>
      <c r="M620" s="133"/>
      <c r="N620" s="133" t="s">
        <v>119</v>
      </c>
      <c r="O620" s="133" t="s">
        <v>2163</v>
      </c>
      <c r="P620" s="133">
        <v>2024</v>
      </c>
      <c r="Q620" s="133">
        <v>1</v>
      </c>
      <c r="R620" s="133">
        <v>1</v>
      </c>
      <c r="S620" s="133">
        <v>0</v>
      </c>
      <c r="T620" s="133">
        <v>0</v>
      </c>
      <c r="U620" s="133">
        <v>0</v>
      </c>
      <c r="V620" s="133">
        <v>0</v>
      </c>
      <c r="W620" s="133">
        <v>0</v>
      </c>
      <c r="X620" s="133">
        <v>0</v>
      </c>
      <c r="Y620" s="133"/>
      <c r="Z620" s="133">
        <v>0</v>
      </c>
      <c r="AA620" s="133"/>
      <c r="AB620" s="133"/>
      <c r="AC620" s="133">
        <f t="shared" si="48"/>
        <v>0</v>
      </c>
      <c r="AD620" s="133"/>
      <c r="AE620" s="136"/>
      <c r="AG620" s="137"/>
    </row>
    <row r="621" spans="1:33" s="14" customFormat="1">
      <c r="A621" s="133">
        <f>A617+1</f>
        <v>556</v>
      </c>
      <c r="B621" s="11" t="s">
        <v>738</v>
      </c>
      <c r="C621" s="133" t="s">
        <v>2112</v>
      </c>
      <c r="D621" s="133" t="s">
        <v>2164</v>
      </c>
      <c r="E621" s="133"/>
      <c r="F621" s="133" t="s">
        <v>37</v>
      </c>
      <c r="G621" s="134" t="s">
        <v>2165</v>
      </c>
      <c r="H621" s="133" t="s">
        <v>741</v>
      </c>
      <c r="I621" s="133" t="s">
        <v>741</v>
      </c>
      <c r="J621" s="133"/>
      <c r="K621" s="133" t="s">
        <v>42</v>
      </c>
      <c r="L621" s="133">
        <v>100</v>
      </c>
      <c r="M621" s="133"/>
      <c r="N621" s="133" t="s">
        <v>93</v>
      </c>
      <c r="O621" s="133" t="s">
        <v>2166</v>
      </c>
      <c r="P621" s="133">
        <v>2024</v>
      </c>
      <c r="Q621" s="133">
        <v>1</v>
      </c>
      <c r="R621" s="133">
        <v>2</v>
      </c>
      <c r="S621" s="133">
        <v>0</v>
      </c>
      <c r="T621" s="133">
        <v>0</v>
      </c>
      <c r="U621" s="133">
        <v>0</v>
      </c>
      <c r="V621" s="133">
        <v>0</v>
      </c>
      <c r="W621" s="133">
        <v>0</v>
      </c>
      <c r="X621" s="133">
        <v>0</v>
      </c>
      <c r="Y621" s="133"/>
      <c r="Z621" s="133">
        <v>0</v>
      </c>
      <c r="AA621" s="133"/>
      <c r="AB621" s="133"/>
      <c r="AC621" s="133">
        <f t="shared" si="48"/>
        <v>0</v>
      </c>
      <c r="AD621" s="133"/>
      <c r="AE621" s="136"/>
      <c r="AG621" s="137"/>
    </row>
    <row r="622" spans="1:33" s="14" customFormat="1">
      <c r="A622" s="133">
        <f>A618+1</f>
        <v>557</v>
      </c>
      <c r="B622" s="11" t="s">
        <v>738</v>
      </c>
      <c r="C622" s="133" t="s">
        <v>2112</v>
      </c>
      <c r="D622" s="133" t="s">
        <v>2167</v>
      </c>
      <c r="E622" s="133"/>
      <c r="F622" s="133" t="s">
        <v>37</v>
      </c>
      <c r="G622" s="134" t="s">
        <v>2158</v>
      </c>
      <c r="H622" s="133" t="s">
        <v>741</v>
      </c>
      <c r="I622" s="133" t="s">
        <v>741</v>
      </c>
      <c r="J622" s="135" t="s">
        <v>2168</v>
      </c>
      <c r="K622" s="133" t="s">
        <v>42</v>
      </c>
      <c r="L622" s="133">
        <v>160</v>
      </c>
      <c r="M622" s="133"/>
      <c r="N622" s="133" t="s">
        <v>324</v>
      </c>
      <c r="O622" s="133" t="s">
        <v>2169</v>
      </c>
      <c r="P622" s="133" t="s">
        <v>444</v>
      </c>
      <c r="Q622" s="133">
        <v>1</v>
      </c>
      <c r="R622" s="133">
        <v>2</v>
      </c>
      <c r="S622" s="133">
        <v>0</v>
      </c>
      <c r="T622" s="133">
        <v>0</v>
      </c>
      <c r="U622" s="133">
        <v>0</v>
      </c>
      <c r="V622" s="133">
        <v>0</v>
      </c>
      <c r="W622" s="133">
        <v>0</v>
      </c>
      <c r="X622" s="133">
        <v>0</v>
      </c>
      <c r="Y622" s="133"/>
      <c r="Z622" s="133">
        <v>0</v>
      </c>
      <c r="AA622" s="133"/>
      <c r="AB622" s="133"/>
      <c r="AC622" s="133">
        <f t="shared" si="48"/>
        <v>0</v>
      </c>
      <c r="AD622" s="133"/>
      <c r="AE622" s="136"/>
      <c r="AG622" s="137"/>
    </row>
    <row r="623" spans="1:33" s="14" customFormat="1">
      <c r="A623" s="133">
        <f>A619+1</f>
        <v>558</v>
      </c>
      <c r="B623" s="11" t="s">
        <v>738</v>
      </c>
      <c r="C623" s="133" t="s">
        <v>2112</v>
      </c>
      <c r="D623" s="133" t="s">
        <v>2170</v>
      </c>
      <c r="E623" s="133"/>
      <c r="F623" s="133" t="s">
        <v>37</v>
      </c>
      <c r="G623" s="134" t="s">
        <v>2171</v>
      </c>
      <c r="H623" s="133" t="s">
        <v>246</v>
      </c>
      <c r="I623" s="133" t="s">
        <v>246</v>
      </c>
      <c r="J623" s="133"/>
      <c r="K623" s="133" t="s">
        <v>42</v>
      </c>
      <c r="L623" s="133">
        <v>250</v>
      </c>
      <c r="M623" s="133"/>
      <c r="N623" s="133" t="s">
        <v>59</v>
      </c>
      <c r="O623" s="133">
        <v>193310563</v>
      </c>
      <c r="P623" s="133" t="s">
        <v>444</v>
      </c>
      <c r="Q623" s="133">
        <v>1</v>
      </c>
      <c r="R623" s="133">
        <v>2</v>
      </c>
      <c r="S623" s="133">
        <v>0</v>
      </c>
      <c r="T623" s="133">
        <v>0</v>
      </c>
      <c r="U623" s="133">
        <v>0</v>
      </c>
      <c r="V623" s="133">
        <v>0</v>
      </c>
      <c r="W623" s="133">
        <v>0</v>
      </c>
      <c r="X623" s="133">
        <v>0</v>
      </c>
      <c r="Y623" s="133"/>
      <c r="Z623" s="133">
        <v>0</v>
      </c>
      <c r="AA623" s="133"/>
      <c r="AB623" s="133"/>
      <c r="AC623" s="133">
        <f t="shared" si="48"/>
        <v>0</v>
      </c>
      <c r="AD623" s="133"/>
      <c r="AE623" s="136"/>
      <c r="AG623" s="137"/>
    </row>
    <row r="624" spans="1:33" s="14" customFormat="1">
      <c r="A624" s="133">
        <f t="shared" si="50"/>
        <v>559</v>
      </c>
      <c r="B624" s="11" t="s">
        <v>738</v>
      </c>
      <c r="C624" s="133" t="s">
        <v>2112</v>
      </c>
      <c r="D624" s="133" t="s">
        <v>2172</v>
      </c>
      <c r="E624" s="133"/>
      <c r="F624" s="133" t="s">
        <v>63</v>
      </c>
      <c r="G624" s="134" t="s">
        <v>2173</v>
      </c>
      <c r="H624" s="133" t="s">
        <v>246</v>
      </c>
      <c r="I624" s="133" t="s">
        <v>246</v>
      </c>
      <c r="J624" s="135" t="s">
        <v>2174</v>
      </c>
      <c r="K624" s="133" t="s">
        <v>42</v>
      </c>
      <c r="L624" s="133">
        <v>200</v>
      </c>
      <c r="M624" s="133"/>
      <c r="N624" s="133" t="s">
        <v>753</v>
      </c>
      <c r="O624" s="133">
        <v>11301</v>
      </c>
      <c r="P624" s="133">
        <v>1980</v>
      </c>
      <c r="Q624" s="133">
        <v>1</v>
      </c>
      <c r="R624" s="133">
        <v>1</v>
      </c>
      <c r="S624" s="133">
        <v>0</v>
      </c>
      <c r="T624" s="133">
        <v>0</v>
      </c>
      <c r="U624" s="133">
        <v>0</v>
      </c>
      <c r="V624" s="133">
        <v>0</v>
      </c>
      <c r="W624" s="133">
        <v>0</v>
      </c>
      <c r="X624" s="133">
        <v>0</v>
      </c>
      <c r="Y624" s="133"/>
      <c r="Z624" s="133">
        <v>0</v>
      </c>
      <c r="AA624" s="133"/>
      <c r="AB624" s="133"/>
      <c r="AC624" s="133">
        <f t="shared" si="48"/>
        <v>0</v>
      </c>
      <c r="AD624" s="133"/>
      <c r="AE624" s="136"/>
      <c r="AG624" s="137"/>
    </row>
    <row r="625" spans="1:33" s="14" customFormat="1">
      <c r="A625" s="133">
        <f t="shared" si="50"/>
        <v>560</v>
      </c>
      <c r="B625" s="11" t="s">
        <v>738</v>
      </c>
      <c r="C625" s="133" t="s">
        <v>2112</v>
      </c>
      <c r="D625" s="133" t="s">
        <v>2175</v>
      </c>
      <c r="E625" s="133"/>
      <c r="F625" s="133" t="s">
        <v>37</v>
      </c>
      <c r="G625" s="134" t="s">
        <v>2176</v>
      </c>
      <c r="H625" s="133" t="s">
        <v>246</v>
      </c>
      <c r="I625" s="133" t="s">
        <v>246</v>
      </c>
      <c r="J625" s="135" t="s">
        <v>2177</v>
      </c>
      <c r="K625" s="133" t="s">
        <v>42</v>
      </c>
      <c r="L625" s="133">
        <v>160</v>
      </c>
      <c r="M625" s="133"/>
      <c r="N625" s="133" t="s">
        <v>43</v>
      </c>
      <c r="O625" s="133">
        <v>48768</v>
      </c>
      <c r="P625" s="133">
        <v>2009</v>
      </c>
      <c r="Q625" s="133">
        <v>1</v>
      </c>
      <c r="R625" s="133">
        <v>2</v>
      </c>
      <c r="S625" s="133">
        <v>0</v>
      </c>
      <c r="T625" s="133">
        <v>0</v>
      </c>
      <c r="U625" s="133">
        <v>0</v>
      </c>
      <c r="V625" s="133">
        <v>0</v>
      </c>
      <c r="W625" s="133">
        <v>0</v>
      </c>
      <c r="X625" s="133">
        <v>0</v>
      </c>
      <c r="Y625" s="133"/>
      <c r="Z625" s="133">
        <v>0</v>
      </c>
      <c r="AA625" s="133"/>
      <c r="AB625" s="133"/>
      <c r="AC625" s="133">
        <f t="shared" si="48"/>
        <v>0</v>
      </c>
      <c r="AD625" s="133"/>
      <c r="AE625" s="136"/>
      <c r="AG625" s="137"/>
    </row>
    <row r="626" spans="1:33" s="14" customFormat="1">
      <c r="A626" s="133">
        <f t="shared" si="50"/>
        <v>561</v>
      </c>
      <c r="B626" s="11" t="s">
        <v>738</v>
      </c>
      <c r="C626" s="133" t="s">
        <v>2112</v>
      </c>
      <c r="D626" s="133" t="s">
        <v>2178</v>
      </c>
      <c r="E626" s="133"/>
      <c r="F626" s="133" t="s">
        <v>37</v>
      </c>
      <c r="G626" s="134" t="s">
        <v>2158</v>
      </c>
      <c r="H626" s="133" t="s">
        <v>741</v>
      </c>
      <c r="I626" s="133" t="s">
        <v>741</v>
      </c>
      <c r="J626" s="135" t="s">
        <v>2179</v>
      </c>
      <c r="K626" s="133" t="s">
        <v>42</v>
      </c>
      <c r="L626" s="133">
        <v>160</v>
      </c>
      <c r="M626" s="133"/>
      <c r="N626" s="133" t="s">
        <v>59</v>
      </c>
      <c r="O626" s="133" t="s">
        <v>2180</v>
      </c>
      <c r="P626" s="133">
        <v>2009</v>
      </c>
      <c r="Q626" s="133">
        <v>1</v>
      </c>
      <c r="R626" s="133">
        <v>2</v>
      </c>
      <c r="S626" s="133">
        <v>0</v>
      </c>
      <c r="T626" s="133">
        <v>0</v>
      </c>
      <c r="U626" s="133">
        <v>0</v>
      </c>
      <c r="V626" s="133">
        <v>0</v>
      </c>
      <c r="W626" s="133">
        <v>0</v>
      </c>
      <c r="X626" s="133">
        <v>0</v>
      </c>
      <c r="Y626" s="133"/>
      <c r="Z626" s="133">
        <v>0</v>
      </c>
      <c r="AA626" s="133"/>
      <c r="AB626" s="133"/>
      <c r="AC626" s="133">
        <f t="shared" ref="AC626:AC712" si="52">SUM(U626:AB626)</f>
        <v>0</v>
      </c>
      <c r="AD626" s="133"/>
      <c r="AE626" s="136"/>
      <c r="AG626" s="137"/>
    </row>
    <row r="627" spans="1:33" s="14" customFormat="1">
      <c r="A627" s="133">
        <f t="shared" si="50"/>
        <v>562</v>
      </c>
      <c r="B627" s="11" t="s">
        <v>738</v>
      </c>
      <c r="C627" s="133" t="s">
        <v>2112</v>
      </c>
      <c r="D627" s="133" t="s">
        <v>2181</v>
      </c>
      <c r="E627" s="133"/>
      <c r="F627" s="133" t="s">
        <v>48</v>
      </c>
      <c r="G627" s="134" t="s">
        <v>2182</v>
      </c>
      <c r="H627" s="133" t="s">
        <v>246</v>
      </c>
      <c r="I627" s="133" t="s">
        <v>246</v>
      </c>
      <c r="J627" s="135" t="s">
        <v>2183</v>
      </c>
      <c r="K627" s="133" t="s">
        <v>42</v>
      </c>
      <c r="L627" s="133">
        <v>250</v>
      </c>
      <c r="M627" s="133"/>
      <c r="N627" s="133" t="s">
        <v>43</v>
      </c>
      <c r="O627" s="133" t="s">
        <v>2184</v>
      </c>
      <c r="P627" s="133">
        <v>2001</v>
      </c>
      <c r="Q627" s="133">
        <v>1</v>
      </c>
      <c r="R627" s="133">
        <v>3</v>
      </c>
      <c r="S627" s="133">
        <v>0</v>
      </c>
      <c r="T627" s="133">
        <v>0</v>
      </c>
      <c r="U627" s="133">
        <v>0</v>
      </c>
      <c r="V627" s="133">
        <v>0</v>
      </c>
      <c r="W627" s="133">
        <v>0</v>
      </c>
      <c r="X627" s="133">
        <v>0</v>
      </c>
      <c r="Y627" s="133"/>
      <c r="Z627" s="133">
        <v>0</v>
      </c>
      <c r="AA627" s="133"/>
      <c r="AB627" s="133"/>
      <c r="AC627" s="133">
        <f t="shared" si="52"/>
        <v>0</v>
      </c>
      <c r="AD627" s="133"/>
      <c r="AE627" s="136"/>
      <c r="AG627" s="137"/>
    </row>
    <row r="628" spans="1:33" s="99" customFormat="1">
      <c r="A628" s="130">
        <f t="shared" si="50"/>
        <v>563</v>
      </c>
      <c r="B628" s="96" t="s">
        <v>738</v>
      </c>
      <c r="C628" s="130" t="s">
        <v>2112</v>
      </c>
      <c r="D628" s="130" t="s">
        <v>2185</v>
      </c>
      <c r="E628" s="130"/>
      <c r="F628" s="130" t="s">
        <v>37</v>
      </c>
      <c r="G628" s="139" t="s">
        <v>2186</v>
      </c>
      <c r="H628" s="130" t="s">
        <v>741</v>
      </c>
      <c r="I628" s="130" t="s">
        <v>741</v>
      </c>
      <c r="J628" s="130" t="s">
        <v>2187</v>
      </c>
      <c r="K628" s="130" t="s">
        <v>42</v>
      </c>
      <c r="L628" s="130">
        <v>160</v>
      </c>
      <c r="M628" s="130"/>
      <c r="N628" s="130"/>
      <c r="O628" s="130"/>
      <c r="P628" s="130">
        <v>2024</v>
      </c>
      <c r="Q628" s="130" t="s">
        <v>96</v>
      </c>
      <c r="R628" s="130" t="s">
        <v>96</v>
      </c>
      <c r="S628" s="130"/>
      <c r="T628" s="130"/>
      <c r="U628" s="130"/>
      <c r="V628" s="130"/>
      <c r="W628" s="130"/>
      <c r="X628" s="130"/>
      <c r="Y628" s="130"/>
      <c r="Z628" s="130"/>
      <c r="AA628" s="130"/>
      <c r="AB628" s="130"/>
      <c r="AC628" s="130"/>
      <c r="AD628" s="130"/>
      <c r="AE628" s="131" t="s">
        <v>1963</v>
      </c>
      <c r="AG628" s="132" t="s">
        <v>1963</v>
      </c>
    </row>
    <row r="629" spans="1:33" s="99" customFormat="1">
      <c r="A629" s="130">
        <f t="shared" si="50"/>
        <v>564</v>
      </c>
      <c r="B629" s="96" t="s">
        <v>738</v>
      </c>
      <c r="C629" s="130" t="s">
        <v>2112</v>
      </c>
      <c r="D629" s="130" t="s">
        <v>2188</v>
      </c>
      <c r="E629" s="130"/>
      <c r="F629" s="130" t="s">
        <v>37</v>
      </c>
      <c r="G629" s="139" t="s">
        <v>2189</v>
      </c>
      <c r="H629" s="130" t="s">
        <v>246</v>
      </c>
      <c r="I629" s="130" t="s">
        <v>246</v>
      </c>
      <c r="J629" s="140" t="s">
        <v>2190</v>
      </c>
      <c r="K629" s="130" t="s">
        <v>42</v>
      </c>
      <c r="L629" s="130">
        <v>250</v>
      </c>
      <c r="M629" s="130"/>
      <c r="N629" s="130" t="s">
        <v>324</v>
      </c>
      <c r="O629" s="140" t="s">
        <v>2191</v>
      </c>
      <c r="P629" s="130">
        <v>2025</v>
      </c>
      <c r="Q629" s="130">
        <v>1</v>
      </c>
      <c r="R629" s="130">
        <v>2</v>
      </c>
      <c r="S629" s="130">
        <v>0</v>
      </c>
      <c r="T629" s="130" t="s">
        <v>2192</v>
      </c>
      <c r="U629" s="130">
        <v>0</v>
      </c>
      <c r="V629" s="130">
        <v>0</v>
      </c>
      <c r="W629" s="130">
        <v>0</v>
      </c>
      <c r="X629" s="130">
        <v>0</v>
      </c>
      <c r="Y629" s="130"/>
      <c r="Z629" s="130">
        <v>0</v>
      </c>
      <c r="AA629" s="130"/>
      <c r="AB629" s="130"/>
      <c r="AC629" s="130">
        <f t="shared" si="52"/>
        <v>0</v>
      </c>
      <c r="AD629" s="130"/>
      <c r="AE629" s="131"/>
      <c r="AG629" s="132"/>
    </row>
    <row r="630" spans="1:33" s="14" customFormat="1">
      <c r="A630" s="133">
        <f t="shared" si="50"/>
        <v>565</v>
      </c>
      <c r="B630" s="11" t="s">
        <v>738</v>
      </c>
      <c r="C630" s="133" t="s">
        <v>2112</v>
      </c>
      <c r="D630" s="133" t="s">
        <v>2193</v>
      </c>
      <c r="E630" s="133"/>
      <c r="F630" s="133" t="s">
        <v>63</v>
      </c>
      <c r="G630" s="134" t="s">
        <v>2194</v>
      </c>
      <c r="H630" s="133" t="s">
        <v>246</v>
      </c>
      <c r="I630" s="133" t="s">
        <v>246</v>
      </c>
      <c r="J630" s="133" t="s">
        <v>2195</v>
      </c>
      <c r="K630" s="133" t="s">
        <v>42</v>
      </c>
      <c r="L630" s="133">
        <v>250</v>
      </c>
      <c r="M630" s="133"/>
      <c r="N630" s="133" t="s">
        <v>324</v>
      </c>
      <c r="O630" s="133" t="s">
        <v>2196</v>
      </c>
      <c r="P630" s="133" t="s">
        <v>444</v>
      </c>
      <c r="Q630" s="133">
        <v>1</v>
      </c>
      <c r="R630" s="133">
        <v>1</v>
      </c>
      <c r="S630" s="133"/>
      <c r="T630" s="133"/>
      <c r="U630" s="133"/>
      <c r="V630" s="133"/>
      <c r="W630" s="133"/>
      <c r="X630" s="133"/>
      <c r="Y630" s="133"/>
      <c r="Z630" s="133"/>
      <c r="AA630" s="133"/>
      <c r="AB630" s="133"/>
      <c r="AC630" s="133">
        <f t="shared" si="52"/>
        <v>0</v>
      </c>
      <c r="AD630" s="133"/>
      <c r="AE630" s="136" t="s">
        <v>2197</v>
      </c>
      <c r="AG630" s="137"/>
    </row>
    <row r="631" spans="1:33" s="14" customFormat="1">
      <c r="A631" s="133">
        <f t="shared" si="50"/>
        <v>566</v>
      </c>
      <c r="B631" s="11" t="s">
        <v>738</v>
      </c>
      <c r="C631" s="133" t="s">
        <v>2112</v>
      </c>
      <c r="D631" s="133" t="s">
        <v>2198</v>
      </c>
      <c r="E631" s="133"/>
      <c r="F631" s="133" t="s">
        <v>37</v>
      </c>
      <c r="G631" s="134" t="s">
        <v>2199</v>
      </c>
      <c r="H631" s="133" t="s">
        <v>246</v>
      </c>
      <c r="I631" s="133" t="s">
        <v>246</v>
      </c>
      <c r="J631" s="135" t="s">
        <v>2200</v>
      </c>
      <c r="K631" s="133" t="s">
        <v>42</v>
      </c>
      <c r="L631" s="133">
        <v>160</v>
      </c>
      <c r="M631" s="133"/>
      <c r="N631" s="133" t="s">
        <v>664</v>
      </c>
      <c r="O631" s="133" t="s">
        <v>2201</v>
      </c>
      <c r="P631" s="133">
        <v>2010</v>
      </c>
      <c r="Q631" s="133">
        <v>1</v>
      </c>
      <c r="R631" s="133">
        <f>IF(H631="CANTOL",2,4)</f>
        <v>4</v>
      </c>
      <c r="S631" s="133"/>
      <c r="T631" s="133"/>
      <c r="U631" s="133"/>
      <c r="V631" s="133"/>
      <c r="W631" s="133"/>
      <c r="X631" s="133"/>
      <c r="Y631" s="133"/>
      <c r="Z631" s="133"/>
      <c r="AA631" s="133"/>
      <c r="AB631" s="133"/>
      <c r="AC631" s="133">
        <f t="shared" si="52"/>
        <v>0</v>
      </c>
      <c r="AD631" s="133"/>
      <c r="AE631" s="136"/>
      <c r="AG631" s="137"/>
    </row>
    <row r="632" spans="1:33" s="14" customFormat="1">
      <c r="A632" s="133">
        <f t="shared" si="50"/>
        <v>567</v>
      </c>
      <c r="B632" s="11" t="s">
        <v>738</v>
      </c>
      <c r="C632" s="133" t="s">
        <v>2112</v>
      </c>
      <c r="D632" s="133" t="s">
        <v>2202</v>
      </c>
      <c r="E632" s="133"/>
      <c r="F632" s="133" t="s">
        <v>37</v>
      </c>
      <c r="G632" s="134" t="s">
        <v>2199</v>
      </c>
      <c r="H632" s="133" t="s">
        <v>246</v>
      </c>
      <c r="I632" s="133" t="s">
        <v>246</v>
      </c>
      <c r="J632" s="133">
        <v>1016</v>
      </c>
      <c r="K632" s="133" t="s">
        <v>42</v>
      </c>
      <c r="L632" s="133">
        <v>250</v>
      </c>
      <c r="M632" s="133"/>
      <c r="N632" s="133" t="s">
        <v>119</v>
      </c>
      <c r="O632" s="133" t="s">
        <v>2203</v>
      </c>
      <c r="P632" s="133">
        <v>2023</v>
      </c>
      <c r="Q632" s="133">
        <v>1</v>
      </c>
      <c r="R632" s="133" t="s">
        <v>482</v>
      </c>
      <c r="S632" s="133"/>
      <c r="T632" s="133"/>
      <c r="U632" s="133"/>
      <c r="V632" s="133"/>
      <c r="W632" s="133"/>
      <c r="X632" s="133"/>
      <c r="Y632" s="133"/>
      <c r="Z632" s="133"/>
      <c r="AA632" s="133"/>
      <c r="AB632" s="133"/>
      <c r="AC632" s="133">
        <f t="shared" si="52"/>
        <v>0</v>
      </c>
      <c r="AD632" s="133"/>
      <c r="AE632" s="136"/>
      <c r="AG632" s="137"/>
    </row>
    <row r="633" spans="1:33" s="14" customFormat="1">
      <c r="A633" s="133">
        <f t="shared" si="50"/>
        <v>568</v>
      </c>
      <c r="B633" s="11" t="s">
        <v>738</v>
      </c>
      <c r="C633" s="133" t="s">
        <v>2112</v>
      </c>
      <c r="D633" s="133" t="s">
        <v>2204</v>
      </c>
      <c r="E633" s="133"/>
      <c r="F633" s="133" t="s">
        <v>63</v>
      </c>
      <c r="G633" s="134" t="s">
        <v>2205</v>
      </c>
      <c r="H633" s="133" t="s">
        <v>246</v>
      </c>
      <c r="I633" s="133" t="s">
        <v>246</v>
      </c>
      <c r="J633" s="133" t="s">
        <v>2206</v>
      </c>
      <c r="K633" s="133" t="s">
        <v>42</v>
      </c>
      <c r="L633" s="133">
        <v>250</v>
      </c>
      <c r="M633" s="133"/>
      <c r="N633" s="133" t="s">
        <v>664</v>
      </c>
      <c r="O633" s="133" t="s">
        <v>2207</v>
      </c>
      <c r="P633" s="133">
        <v>2012</v>
      </c>
      <c r="Q633" s="133">
        <v>1</v>
      </c>
      <c r="R633" s="133"/>
      <c r="S633" s="133"/>
      <c r="T633" s="133"/>
      <c r="U633" s="133"/>
      <c r="V633" s="133"/>
      <c r="W633" s="133"/>
      <c r="X633" s="133"/>
      <c r="Y633" s="133"/>
      <c r="Z633" s="133"/>
      <c r="AA633" s="133"/>
      <c r="AB633" s="133"/>
      <c r="AC633" s="133">
        <f t="shared" si="52"/>
        <v>0</v>
      </c>
      <c r="AD633" s="133"/>
      <c r="AE633" s="136"/>
      <c r="AG633" s="137"/>
    </row>
    <row r="634" spans="1:33" s="14" customFormat="1">
      <c r="A634" s="133">
        <f t="shared" si="50"/>
        <v>569</v>
      </c>
      <c r="B634" s="11" t="s">
        <v>738</v>
      </c>
      <c r="C634" s="133" t="s">
        <v>2112</v>
      </c>
      <c r="D634" s="133" t="s">
        <v>2208</v>
      </c>
      <c r="E634" s="133"/>
      <c r="F634" s="133" t="s">
        <v>63</v>
      </c>
      <c r="G634" s="134" t="s">
        <v>2209</v>
      </c>
      <c r="H634" s="133" t="s">
        <v>246</v>
      </c>
      <c r="I634" s="133" t="s">
        <v>246</v>
      </c>
      <c r="J634" s="136">
        <v>1094</v>
      </c>
      <c r="K634" s="133" t="s">
        <v>42</v>
      </c>
      <c r="L634" s="133">
        <v>250</v>
      </c>
      <c r="M634" s="133"/>
      <c r="N634" s="133" t="s">
        <v>863</v>
      </c>
      <c r="O634" s="133" t="s">
        <v>2132</v>
      </c>
      <c r="P634" s="133">
        <v>2014</v>
      </c>
      <c r="Q634" s="133">
        <v>1</v>
      </c>
      <c r="R634" s="133"/>
      <c r="S634" s="133"/>
      <c r="T634" s="133"/>
      <c r="U634" s="133"/>
      <c r="V634" s="133"/>
      <c r="W634" s="133"/>
      <c r="X634" s="133"/>
      <c r="Y634" s="133"/>
      <c r="Z634" s="133"/>
      <c r="AA634" s="133"/>
      <c r="AB634" s="133"/>
      <c r="AC634" s="133">
        <f t="shared" ref="AC634" si="53">SUM(U634:AB634)</f>
        <v>0</v>
      </c>
      <c r="AD634" s="133"/>
      <c r="AE634" s="136"/>
      <c r="AG634" s="137"/>
    </row>
    <row r="635" spans="1:33" s="14" customFormat="1">
      <c r="A635" s="133">
        <f t="shared" si="50"/>
        <v>570</v>
      </c>
      <c r="B635" s="11" t="s">
        <v>738</v>
      </c>
      <c r="C635" s="133" t="s">
        <v>2112</v>
      </c>
      <c r="D635" s="133" t="s">
        <v>2210</v>
      </c>
      <c r="E635" s="133"/>
      <c r="F635" s="133" t="s">
        <v>63</v>
      </c>
      <c r="G635" s="134" t="s">
        <v>2211</v>
      </c>
      <c r="H635" s="133" t="s">
        <v>246</v>
      </c>
      <c r="I635" s="133" t="s">
        <v>246</v>
      </c>
      <c r="J635" s="135" t="s">
        <v>2212</v>
      </c>
      <c r="K635" s="133" t="s">
        <v>42</v>
      </c>
      <c r="L635" s="133">
        <v>200</v>
      </c>
      <c r="M635" s="133"/>
      <c r="N635" s="133" t="s">
        <v>43</v>
      </c>
      <c r="O635" s="133">
        <v>580370</v>
      </c>
      <c r="P635" s="133">
        <v>2005</v>
      </c>
      <c r="Q635" s="133">
        <v>1</v>
      </c>
      <c r="R635" s="133"/>
      <c r="S635" s="133">
        <v>0</v>
      </c>
      <c r="T635" s="133">
        <v>0</v>
      </c>
      <c r="U635" s="133">
        <v>0</v>
      </c>
      <c r="V635" s="133">
        <v>0</v>
      </c>
      <c r="W635" s="133">
        <v>0</v>
      </c>
      <c r="X635" s="133">
        <v>0</v>
      </c>
      <c r="Y635" s="133"/>
      <c r="Z635" s="133">
        <v>0</v>
      </c>
      <c r="AA635" s="133"/>
      <c r="AB635" s="133"/>
      <c r="AC635" s="133">
        <f t="shared" si="52"/>
        <v>0</v>
      </c>
      <c r="AD635" s="133"/>
      <c r="AE635" s="136"/>
      <c r="AG635" s="137"/>
    </row>
    <row r="636" spans="1:33" s="14" customFormat="1">
      <c r="A636" s="133">
        <f>A634+1</f>
        <v>570</v>
      </c>
      <c r="B636" s="11" t="s">
        <v>738</v>
      </c>
      <c r="C636" s="133" t="s">
        <v>2112</v>
      </c>
      <c r="D636" s="133" t="s">
        <v>2213</v>
      </c>
      <c r="E636" s="133"/>
      <c r="F636" s="133" t="s">
        <v>37</v>
      </c>
      <c r="G636" s="134" t="s">
        <v>2214</v>
      </c>
      <c r="H636" s="133" t="s">
        <v>246</v>
      </c>
      <c r="I636" s="133" t="s">
        <v>246</v>
      </c>
      <c r="J636" s="135" t="s">
        <v>2215</v>
      </c>
      <c r="K636" s="133" t="s">
        <v>42</v>
      </c>
      <c r="L636" s="133">
        <v>200</v>
      </c>
      <c r="M636" s="133"/>
      <c r="N636" s="133" t="s">
        <v>664</v>
      </c>
      <c r="O636" s="133">
        <v>5568</v>
      </c>
      <c r="P636" s="133">
        <v>2002</v>
      </c>
      <c r="Q636" s="133">
        <v>1</v>
      </c>
      <c r="R636" s="133">
        <v>1</v>
      </c>
      <c r="S636" s="133">
        <v>0</v>
      </c>
      <c r="T636" s="133">
        <v>0</v>
      </c>
      <c r="U636" s="133">
        <v>0</v>
      </c>
      <c r="V636" s="133">
        <v>0</v>
      </c>
      <c r="W636" s="133">
        <v>0</v>
      </c>
      <c r="X636" s="133">
        <v>0</v>
      </c>
      <c r="Y636" s="133"/>
      <c r="Z636" s="133">
        <v>0</v>
      </c>
      <c r="AA636" s="133"/>
      <c r="AB636" s="133"/>
      <c r="AC636" s="133">
        <f t="shared" si="52"/>
        <v>0</v>
      </c>
      <c r="AD636" s="133"/>
      <c r="AE636" s="136"/>
      <c r="AG636" s="137"/>
    </row>
    <row r="637" spans="1:33" s="99" customFormat="1">
      <c r="A637" s="130">
        <f>A635+1</f>
        <v>571</v>
      </c>
      <c r="B637" s="96" t="s">
        <v>738</v>
      </c>
      <c r="C637" s="130" t="s">
        <v>2112</v>
      </c>
      <c r="D637" s="130" t="s">
        <v>2216</v>
      </c>
      <c r="E637" s="130"/>
      <c r="F637" s="130" t="s">
        <v>63</v>
      </c>
      <c r="G637" s="139" t="s">
        <v>2217</v>
      </c>
      <c r="H637" s="130" t="s">
        <v>246</v>
      </c>
      <c r="I637" s="130" t="s">
        <v>246</v>
      </c>
      <c r="J637" s="140"/>
      <c r="K637" s="130" t="s">
        <v>42</v>
      </c>
      <c r="L637" s="130">
        <v>250</v>
      </c>
      <c r="M637" s="130"/>
      <c r="N637" s="130" t="s">
        <v>324</v>
      </c>
      <c r="O637" s="130" t="s">
        <v>2218</v>
      </c>
      <c r="P637" s="130">
        <v>2002</v>
      </c>
      <c r="Q637" s="130">
        <v>1</v>
      </c>
      <c r="R637" s="130">
        <v>1</v>
      </c>
      <c r="S637" s="130">
        <v>0</v>
      </c>
      <c r="T637" s="130">
        <v>0</v>
      </c>
      <c r="U637" s="130">
        <v>0</v>
      </c>
      <c r="V637" s="130">
        <v>0</v>
      </c>
      <c r="W637" s="130">
        <v>0</v>
      </c>
      <c r="X637" s="130">
        <v>0</v>
      </c>
      <c r="Y637" s="130"/>
      <c r="Z637" s="130">
        <v>0</v>
      </c>
      <c r="AA637" s="130"/>
      <c r="AB637" s="130"/>
      <c r="AC637" s="130">
        <f t="shared" si="52"/>
        <v>0</v>
      </c>
      <c r="AD637" s="130"/>
      <c r="AE637" s="131"/>
      <c r="AG637" s="132"/>
    </row>
    <row r="638" spans="1:33" s="14" customFormat="1">
      <c r="A638" s="133">
        <f>A636+1</f>
        <v>571</v>
      </c>
      <c r="B638" s="11" t="s">
        <v>738</v>
      </c>
      <c r="C638" s="133" t="s">
        <v>2112</v>
      </c>
      <c r="D638" s="130" t="s">
        <v>2219</v>
      </c>
      <c r="E638" s="130"/>
      <c r="F638" s="133" t="s">
        <v>37</v>
      </c>
      <c r="G638" s="134" t="s">
        <v>2220</v>
      </c>
      <c r="H638" s="133" t="s">
        <v>246</v>
      </c>
      <c r="I638" s="133" t="s">
        <v>246</v>
      </c>
      <c r="J638" s="133" t="s">
        <v>2221</v>
      </c>
      <c r="K638" s="133" t="s">
        <v>42</v>
      </c>
      <c r="L638" s="133">
        <v>250</v>
      </c>
      <c r="M638" s="133"/>
      <c r="N638" s="133" t="s">
        <v>93</v>
      </c>
      <c r="O638" s="133" t="s">
        <v>2222</v>
      </c>
      <c r="P638" s="133" t="s">
        <v>95</v>
      </c>
      <c r="Q638" s="133">
        <v>1</v>
      </c>
      <c r="R638" s="133">
        <v>1</v>
      </c>
      <c r="S638" s="133">
        <v>0</v>
      </c>
      <c r="T638" s="133">
        <v>0</v>
      </c>
      <c r="U638" s="133">
        <v>0</v>
      </c>
      <c r="V638" s="133">
        <v>0</v>
      </c>
      <c r="W638" s="133">
        <v>0</v>
      </c>
      <c r="X638" s="133">
        <v>0</v>
      </c>
      <c r="Y638" s="133"/>
      <c r="Z638" s="133">
        <v>0</v>
      </c>
      <c r="AA638" s="133"/>
      <c r="AB638" s="133"/>
      <c r="AC638" s="133">
        <f t="shared" si="52"/>
        <v>0</v>
      </c>
      <c r="AD638" s="133"/>
      <c r="AE638" s="136"/>
      <c r="AG638" s="137"/>
    </row>
    <row r="639" spans="1:33" s="99" customFormat="1">
      <c r="A639" s="130">
        <f>A637+1</f>
        <v>572</v>
      </c>
      <c r="B639" s="96" t="s">
        <v>738</v>
      </c>
      <c r="C639" s="130" t="s">
        <v>2112</v>
      </c>
      <c r="D639" s="130" t="s">
        <v>2223</v>
      </c>
      <c r="E639" s="130"/>
      <c r="F639" s="130" t="s">
        <v>37</v>
      </c>
      <c r="G639" s="139" t="s">
        <v>2220</v>
      </c>
      <c r="H639" s="130" t="s">
        <v>246</v>
      </c>
      <c r="I639" s="130" t="s">
        <v>246</v>
      </c>
      <c r="J639" s="130"/>
      <c r="K639" s="130" t="s">
        <v>42</v>
      </c>
      <c r="L639" s="130">
        <v>100</v>
      </c>
      <c r="M639" s="130"/>
      <c r="N639" s="130" t="s">
        <v>641</v>
      </c>
      <c r="O639" s="130" t="s">
        <v>2224</v>
      </c>
      <c r="P639" s="130">
        <v>2025</v>
      </c>
      <c r="Q639" s="130">
        <v>1</v>
      </c>
      <c r="R639" s="130">
        <v>1</v>
      </c>
      <c r="S639" s="130">
        <v>0</v>
      </c>
      <c r="T639" s="130">
        <v>0</v>
      </c>
      <c r="U639" s="130">
        <v>0</v>
      </c>
      <c r="V639" s="130">
        <v>0</v>
      </c>
      <c r="W639" s="130">
        <v>0</v>
      </c>
      <c r="X639" s="130">
        <v>0</v>
      </c>
      <c r="Y639" s="130"/>
      <c r="Z639" s="130">
        <v>0</v>
      </c>
      <c r="AA639" s="130"/>
      <c r="AB639" s="130"/>
      <c r="AC639" s="130">
        <f t="shared" si="52"/>
        <v>0</v>
      </c>
      <c r="AD639" s="130"/>
      <c r="AE639" s="131"/>
      <c r="AG639" s="132"/>
    </row>
    <row r="640" spans="1:33" s="14" customFormat="1">
      <c r="A640" s="133">
        <f t="shared" ref="A640:A650" si="54">A639+1</f>
        <v>573</v>
      </c>
      <c r="B640" s="11" t="s">
        <v>738</v>
      </c>
      <c r="C640" s="133" t="s">
        <v>2112</v>
      </c>
      <c r="D640" s="133" t="s">
        <v>2225</v>
      </c>
      <c r="E640" s="133"/>
      <c r="F640" s="133" t="s">
        <v>63</v>
      </c>
      <c r="G640" s="134" t="s">
        <v>2226</v>
      </c>
      <c r="H640" s="133" t="s">
        <v>246</v>
      </c>
      <c r="I640" s="133" t="s">
        <v>246</v>
      </c>
      <c r="J640" s="135" t="s">
        <v>2227</v>
      </c>
      <c r="K640" s="133" t="s">
        <v>42</v>
      </c>
      <c r="L640" s="133">
        <v>100</v>
      </c>
      <c r="M640" s="133"/>
      <c r="N640" s="133" t="s">
        <v>641</v>
      </c>
      <c r="O640" s="133" t="s">
        <v>981</v>
      </c>
      <c r="P640" s="133">
        <v>2010</v>
      </c>
      <c r="Q640" s="133">
        <v>1</v>
      </c>
      <c r="R640" s="133"/>
      <c r="S640" s="133">
        <v>0</v>
      </c>
      <c r="T640" s="133">
        <v>0</v>
      </c>
      <c r="U640" s="133">
        <v>0</v>
      </c>
      <c r="V640" s="133">
        <v>0</v>
      </c>
      <c r="W640" s="133">
        <v>0</v>
      </c>
      <c r="X640" s="133">
        <v>0</v>
      </c>
      <c r="Y640" s="133"/>
      <c r="Z640" s="133">
        <v>0</v>
      </c>
      <c r="AA640" s="133"/>
      <c r="AB640" s="133"/>
      <c r="AC640" s="133">
        <f t="shared" si="52"/>
        <v>0</v>
      </c>
      <c r="AD640" s="133"/>
      <c r="AE640" s="136"/>
      <c r="AG640" s="137"/>
    </row>
    <row r="641" spans="1:33" s="99" customFormat="1">
      <c r="A641" s="130">
        <f t="shared" si="54"/>
        <v>574</v>
      </c>
      <c r="B641" s="96" t="s">
        <v>738</v>
      </c>
      <c r="C641" s="130" t="s">
        <v>2112</v>
      </c>
      <c r="D641" s="130" t="s">
        <v>2228</v>
      </c>
      <c r="E641" s="130"/>
      <c r="F641" s="130" t="s">
        <v>63</v>
      </c>
      <c r="G641" s="139" t="s">
        <v>2229</v>
      </c>
      <c r="H641" s="130" t="s">
        <v>246</v>
      </c>
      <c r="I641" s="130" t="s">
        <v>246</v>
      </c>
      <c r="J641" s="140" t="s">
        <v>2230</v>
      </c>
      <c r="K641" s="130" t="s">
        <v>42</v>
      </c>
      <c r="L641" s="130">
        <v>250</v>
      </c>
      <c r="M641" s="130"/>
      <c r="N641" s="130" t="s">
        <v>119</v>
      </c>
      <c r="O641" s="130" t="s">
        <v>2231</v>
      </c>
      <c r="P641" s="130">
        <v>2025</v>
      </c>
      <c r="Q641" s="130">
        <v>1</v>
      </c>
      <c r="R641" s="130">
        <v>2</v>
      </c>
      <c r="S641" s="130">
        <v>0</v>
      </c>
      <c r="T641" s="130">
        <v>0</v>
      </c>
      <c r="U641" s="130">
        <v>0</v>
      </c>
      <c r="V641" s="130">
        <v>0</v>
      </c>
      <c r="W641" s="130">
        <v>0</v>
      </c>
      <c r="X641" s="130">
        <v>0</v>
      </c>
      <c r="Y641" s="130"/>
      <c r="Z641" s="130">
        <v>0</v>
      </c>
      <c r="AA641" s="130"/>
      <c r="AB641" s="130"/>
      <c r="AC641" s="130">
        <f t="shared" si="52"/>
        <v>0</v>
      </c>
      <c r="AD641" s="130"/>
      <c r="AE641" s="131"/>
      <c r="AG641" s="132"/>
    </row>
    <row r="642" spans="1:33" s="99" customFormat="1">
      <c r="A642" s="130">
        <f>A640+1</f>
        <v>574</v>
      </c>
      <c r="B642" s="96" t="s">
        <v>738</v>
      </c>
      <c r="C642" s="130" t="s">
        <v>2112</v>
      </c>
      <c r="D642" s="130" t="s">
        <v>2232</v>
      </c>
      <c r="E642" s="130"/>
      <c r="F642" s="130" t="s">
        <v>63</v>
      </c>
      <c r="G642" s="139" t="s">
        <v>2233</v>
      </c>
      <c r="H642" s="130" t="s">
        <v>246</v>
      </c>
      <c r="I642" s="130" t="s">
        <v>246</v>
      </c>
      <c r="J642" s="130"/>
      <c r="K642" s="130" t="s">
        <v>42</v>
      </c>
      <c r="L642" s="130">
        <v>250</v>
      </c>
      <c r="M642" s="130"/>
      <c r="N642" s="130" t="s">
        <v>1045</v>
      </c>
      <c r="O642" s="130">
        <v>153308597</v>
      </c>
      <c r="P642" s="130">
        <v>2015</v>
      </c>
      <c r="Q642" s="130">
        <v>1</v>
      </c>
      <c r="R642" s="130">
        <v>2</v>
      </c>
      <c r="S642" s="130">
        <v>0</v>
      </c>
      <c r="T642" s="130">
        <v>0</v>
      </c>
      <c r="U642" s="130">
        <v>0</v>
      </c>
      <c r="V642" s="130">
        <v>0</v>
      </c>
      <c r="W642" s="130">
        <v>0</v>
      </c>
      <c r="X642" s="130">
        <v>0</v>
      </c>
      <c r="Y642" s="130"/>
      <c r="Z642" s="130">
        <v>0</v>
      </c>
      <c r="AA642" s="130"/>
      <c r="AB642" s="130"/>
      <c r="AC642" s="130">
        <f t="shared" si="52"/>
        <v>0</v>
      </c>
      <c r="AD642" s="130"/>
      <c r="AE642" s="131" t="s">
        <v>2234</v>
      </c>
      <c r="AG642" s="132"/>
    </row>
    <row r="643" spans="1:33" s="99" customFormat="1">
      <c r="A643" s="130">
        <f>A641+1</f>
        <v>575</v>
      </c>
      <c r="B643" s="96" t="s">
        <v>738</v>
      </c>
      <c r="C643" s="130" t="s">
        <v>2112</v>
      </c>
      <c r="D643" s="130" t="s">
        <v>2235</v>
      </c>
      <c r="E643" s="130"/>
      <c r="F643" s="130" t="s">
        <v>63</v>
      </c>
      <c r="G643" s="139" t="s">
        <v>2236</v>
      </c>
      <c r="H643" s="130" t="s">
        <v>246</v>
      </c>
      <c r="I643" s="130" t="s">
        <v>246</v>
      </c>
      <c r="J643" s="130"/>
      <c r="K643" s="130" t="s">
        <v>42</v>
      </c>
      <c r="L643" s="130">
        <v>250</v>
      </c>
      <c r="M643" s="130"/>
      <c r="N643" s="130" t="s">
        <v>324</v>
      </c>
      <c r="O643" s="130">
        <v>25129004</v>
      </c>
      <c r="P643" s="130">
        <v>2025</v>
      </c>
      <c r="Q643" s="130">
        <v>1</v>
      </c>
      <c r="R643" s="130">
        <v>2</v>
      </c>
      <c r="S643" s="130">
        <v>0</v>
      </c>
      <c r="T643" s="130">
        <v>0</v>
      </c>
      <c r="U643" s="130">
        <v>0</v>
      </c>
      <c r="V643" s="130">
        <v>0</v>
      </c>
      <c r="W643" s="130">
        <v>0</v>
      </c>
      <c r="X643" s="130">
        <v>0</v>
      </c>
      <c r="Y643" s="130"/>
      <c r="Z643" s="130">
        <v>0</v>
      </c>
      <c r="AA643" s="130"/>
      <c r="AB643" s="130"/>
      <c r="AC643" s="130">
        <f t="shared" si="52"/>
        <v>0</v>
      </c>
      <c r="AD643" s="130"/>
      <c r="AE643" s="131" t="s">
        <v>2234</v>
      </c>
      <c r="AG643" s="132"/>
    </row>
    <row r="644" spans="1:33" s="14" customFormat="1">
      <c r="A644" s="133">
        <f>A641+1</f>
        <v>575</v>
      </c>
      <c r="B644" s="11" t="s">
        <v>738</v>
      </c>
      <c r="C644" s="133" t="s">
        <v>2112</v>
      </c>
      <c r="D644" s="133" t="s">
        <v>2237</v>
      </c>
      <c r="E644" s="133"/>
      <c r="F644" s="133" t="s">
        <v>37</v>
      </c>
      <c r="G644" s="134" t="s">
        <v>2238</v>
      </c>
      <c r="H644" s="133" t="s">
        <v>246</v>
      </c>
      <c r="I644" s="133" t="s">
        <v>246</v>
      </c>
      <c r="J644" s="135" t="s">
        <v>2239</v>
      </c>
      <c r="K644" s="133" t="s">
        <v>42</v>
      </c>
      <c r="L644" s="133">
        <v>250</v>
      </c>
      <c r="M644" s="133"/>
      <c r="N644" s="133" t="s">
        <v>753</v>
      </c>
      <c r="O644" s="133" t="s">
        <v>2240</v>
      </c>
      <c r="P644" s="133">
        <v>1982</v>
      </c>
      <c r="Q644" s="133">
        <v>1</v>
      </c>
      <c r="R644" s="133">
        <v>4</v>
      </c>
      <c r="S644" s="133">
        <v>0</v>
      </c>
      <c r="T644" s="133">
        <v>0</v>
      </c>
      <c r="U644" s="133">
        <v>0</v>
      </c>
      <c r="V644" s="133">
        <v>0</v>
      </c>
      <c r="W644" s="133">
        <v>0</v>
      </c>
      <c r="X644" s="133">
        <v>0</v>
      </c>
      <c r="Y644" s="133"/>
      <c r="Z644" s="133">
        <v>0</v>
      </c>
      <c r="AA644" s="133"/>
      <c r="AB644" s="133"/>
      <c r="AC644" s="133">
        <f t="shared" si="52"/>
        <v>0</v>
      </c>
      <c r="AD644" s="133"/>
      <c r="AE644" s="136"/>
      <c r="AG644" s="137"/>
    </row>
    <row r="645" spans="1:33" s="14" customFormat="1">
      <c r="A645" s="133">
        <f>A643+1</f>
        <v>576</v>
      </c>
      <c r="B645" s="11" t="s">
        <v>738</v>
      </c>
      <c r="C645" s="133" t="s">
        <v>2112</v>
      </c>
      <c r="D645" s="133" t="s">
        <v>2241</v>
      </c>
      <c r="E645" s="133"/>
      <c r="F645" s="133" t="s">
        <v>63</v>
      </c>
      <c r="G645" s="134" t="s">
        <v>2242</v>
      </c>
      <c r="H645" s="133" t="s">
        <v>246</v>
      </c>
      <c r="I645" s="133" t="s">
        <v>246</v>
      </c>
      <c r="J645" s="135" t="s">
        <v>2243</v>
      </c>
      <c r="K645" s="133" t="s">
        <v>42</v>
      </c>
      <c r="L645" s="133">
        <v>250</v>
      </c>
      <c r="M645" s="133"/>
      <c r="N645" s="133" t="s">
        <v>797</v>
      </c>
      <c r="O645" s="133">
        <v>230601289</v>
      </c>
      <c r="P645" s="133">
        <v>2023</v>
      </c>
      <c r="Q645" s="133">
        <v>1</v>
      </c>
      <c r="R645" s="133">
        <v>4</v>
      </c>
      <c r="S645" s="133">
        <v>0</v>
      </c>
      <c r="T645" s="133">
        <v>0</v>
      </c>
      <c r="U645" s="133">
        <v>0</v>
      </c>
      <c r="V645" s="133">
        <v>0</v>
      </c>
      <c r="W645" s="133">
        <v>0</v>
      </c>
      <c r="X645" s="133">
        <v>0</v>
      </c>
      <c r="Y645" s="133"/>
      <c r="Z645" s="133">
        <v>0</v>
      </c>
      <c r="AA645" s="133"/>
      <c r="AB645" s="133"/>
      <c r="AC645" s="133">
        <f t="shared" si="52"/>
        <v>0</v>
      </c>
      <c r="AD645" s="133"/>
      <c r="AE645" s="136"/>
      <c r="AG645" s="137"/>
    </row>
    <row r="646" spans="1:33" s="14" customFormat="1">
      <c r="A646" s="133">
        <f t="shared" si="54"/>
        <v>577</v>
      </c>
      <c r="B646" s="11" t="s">
        <v>738</v>
      </c>
      <c r="C646" s="133" t="s">
        <v>2112</v>
      </c>
      <c r="D646" s="133" t="s">
        <v>2244</v>
      </c>
      <c r="E646" s="133"/>
      <c r="F646" s="133" t="s">
        <v>37</v>
      </c>
      <c r="G646" s="134" t="s">
        <v>2245</v>
      </c>
      <c r="H646" s="133" t="s">
        <v>246</v>
      </c>
      <c r="I646" s="133" t="s">
        <v>246</v>
      </c>
      <c r="J646" s="135" t="s">
        <v>2246</v>
      </c>
      <c r="K646" s="133" t="s">
        <v>42</v>
      </c>
      <c r="L646" s="133">
        <v>200</v>
      </c>
      <c r="M646" s="133"/>
      <c r="N646" s="133" t="s">
        <v>664</v>
      </c>
      <c r="O646" s="133" t="s">
        <v>2247</v>
      </c>
      <c r="P646" s="133">
        <v>2004</v>
      </c>
      <c r="Q646" s="133">
        <v>1</v>
      </c>
      <c r="R646" s="133">
        <v>3</v>
      </c>
      <c r="S646" s="133">
        <v>0</v>
      </c>
      <c r="T646" s="133">
        <v>0</v>
      </c>
      <c r="U646" s="133">
        <v>0</v>
      </c>
      <c r="V646" s="133">
        <v>0</v>
      </c>
      <c r="W646" s="133">
        <v>0</v>
      </c>
      <c r="X646" s="133">
        <v>0</v>
      </c>
      <c r="Y646" s="133"/>
      <c r="Z646" s="133">
        <v>0</v>
      </c>
      <c r="AA646" s="133"/>
      <c r="AB646" s="133"/>
      <c r="AC646" s="133">
        <f t="shared" si="52"/>
        <v>0</v>
      </c>
      <c r="AD646" s="133"/>
      <c r="AE646" s="136"/>
      <c r="AG646" s="137"/>
    </row>
    <row r="647" spans="1:33" s="14" customFormat="1">
      <c r="A647" s="133">
        <f>A645+1</f>
        <v>577</v>
      </c>
      <c r="B647" s="11" t="s">
        <v>738</v>
      </c>
      <c r="C647" s="133" t="s">
        <v>2112</v>
      </c>
      <c r="D647" s="133" t="s">
        <v>2248</v>
      </c>
      <c r="E647" s="133"/>
      <c r="F647" s="133" t="s">
        <v>37</v>
      </c>
      <c r="G647" s="134" t="s">
        <v>2249</v>
      </c>
      <c r="H647" s="133" t="s">
        <v>741</v>
      </c>
      <c r="I647" s="133" t="s">
        <v>741</v>
      </c>
      <c r="J647" s="135" t="s">
        <v>2250</v>
      </c>
      <c r="K647" s="133" t="s">
        <v>42</v>
      </c>
      <c r="L647" s="133">
        <v>100</v>
      </c>
      <c r="M647" s="133"/>
      <c r="N647" s="133" t="s">
        <v>93</v>
      </c>
      <c r="O647" s="133" t="s">
        <v>2251</v>
      </c>
      <c r="P647" s="133">
        <v>2024</v>
      </c>
      <c r="Q647" s="133">
        <v>1</v>
      </c>
      <c r="R647" s="133">
        <v>2</v>
      </c>
      <c r="S647" s="133">
        <v>0</v>
      </c>
      <c r="T647" s="133">
        <v>0</v>
      </c>
      <c r="U647" s="133">
        <v>0</v>
      </c>
      <c r="V647" s="133">
        <v>0</v>
      </c>
      <c r="W647" s="133">
        <v>0</v>
      </c>
      <c r="X647" s="133">
        <v>0</v>
      </c>
      <c r="Y647" s="133"/>
      <c r="Z647" s="133">
        <v>0</v>
      </c>
      <c r="AA647" s="133"/>
      <c r="AB647" s="133"/>
      <c r="AC647" s="133">
        <f t="shared" si="52"/>
        <v>0</v>
      </c>
      <c r="AD647" s="133"/>
      <c r="AE647" s="136"/>
      <c r="AG647" s="137"/>
    </row>
    <row r="648" spans="1:33" s="14" customFormat="1">
      <c r="A648" s="133">
        <f>A646+1</f>
        <v>578</v>
      </c>
      <c r="B648" s="11" t="s">
        <v>738</v>
      </c>
      <c r="C648" s="133" t="s">
        <v>2112</v>
      </c>
      <c r="D648" s="133" t="s">
        <v>2252</v>
      </c>
      <c r="E648" s="133"/>
      <c r="F648" s="133" t="s">
        <v>37</v>
      </c>
      <c r="G648" s="134" t="s">
        <v>2253</v>
      </c>
      <c r="H648" s="133" t="s">
        <v>741</v>
      </c>
      <c r="I648" s="133" t="s">
        <v>741</v>
      </c>
      <c r="J648" s="135" t="s">
        <v>2254</v>
      </c>
      <c r="K648" s="133" t="s">
        <v>42</v>
      </c>
      <c r="L648" s="133">
        <v>100</v>
      </c>
      <c r="M648" s="133"/>
      <c r="N648" s="133" t="s">
        <v>1143</v>
      </c>
      <c r="O648" s="133" t="s">
        <v>2255</v>
      </c>
      <c r="P648" s="133">
        <v>1984</v>
      </c>
      <c r="Q648" s="133">
        <v>1</v>
      </c>
      <c r="R648" s="133">
        <v>2</v>
      </c>
      <c r="S648" s="133">
        <v>0</v>
      </c>
      <c r="T648" s="133">
        <v>0</v>
      </c>
      <c r="U648" s="133">
        <v>0</v>
      </c>
      <c r="V648" s="133">
        <v>0</v>
      </c>
      <c r="W648" s="133">
        <v>0</v>
      </c>
      <c r="X648" s="133">
        <v>0</v>
      </c>
      <c r="Y648" s="133"/>
      <c r="Z648" s="133">
        <v>0</v>
      </c>
      <c r="AA648" s="133"/>
      <c r="AB648" s="133"/>
      <c r="AC648" s="133">
        <f t="shared" si="52"/>
        <v>0</v>
      </c>
      <c r="AD648" s="133"/>
      <c r="AE648" s="136"/>
      <c r="AG648" s="137"/>
    </row>
    <row r="649" spans="1:33" s="14" customFormat="1">
      <c r="A649" s="133">
        <f t="shared" si="54"/>
        <v>579</v>
      </c>
      <c r="B649" s="11" t="s">
        <v>738</v>
      </c>
      <c r="C649" s="133" t="s">
        <v>2112</v>
      </c>
      <c r="D649" s="133" t="s">
        <v>2256</v>
      </c>
      <c r="E649" s="133"/>
      <c r="F649" s="133" t="s">
        <v>37</v>
      </c>
      <c r="G649" s="134" t="s">
        <v>2257</v>
      </c>
      <c r="H649" s="133" t="s">
        <v>741</v>
      </c>
      <c r="I649" s="133" t="s">
        <v>741</v>
      </c>
      <c r="J649" s="135" t="s">
        <v>2258</v>
      </c>
      <c r="K649" s="133" t="s">
        <v>42</v>
      </c>
      <c r="L649" s="133">
        <v>50</v>
      </c>
      <c r="M649" s="133"/>
      <c r="N649" s="133" t="s">
        <v>1143</v>
      </c>
      <c r="O649" s="133" t="s">
        <v>2259</v>
      </c>
      <c r="P649" s="133">
        <v>1994</v>
      </c>
      <c r="Q649" s="133">
        <v>1</v>
      </c>
      <c r="R649" s="133">
        <v>2</v>
      </c>
      <c r="S649" s="133">
        <v>0</v>
      </c>
      <c r="T649" s="133">
        <v>0</v>
      </c>
      <c r="U649" s="133">
        <v>0</v>
      </c>
      <c r="V649" s="133">
        <v>0</v>
      </c>
      <c r="W649" s="133">
        <v>0</v>
      </c>
      <c r="X649" s="133">
        <v>0</v>
      </c>
      <c r="Y649" s="133"/>
      <c r="Z649" s="133">
        <v>0</v>
      </c>
      <c r="AA649" s="133"/>
      <c r="AB649" s="133"/>
      <c r="AC649" s="133">
        <f t="shared" si="52"/>
        <v>0</v>
      </c>
      <c r="AD649" s="133"/>
      <c r="AE649" s="136"/>
      <c r="AG649" s="137"/>
    </row>
    <row r="650" spans="1:33" s="14" customFormat="1">
      <c r="A650" s="133">
        <f t="shared" si="54"/>
        <v>580</v>
      </c>
      <c r="B650" s="11" t="s">
        <v>738</v>
      </c>
      <c r="C650" s="133" t="s">
        <v>2112</v>
      </c>
      <c r="D650" s="133" t="s">
        <v>2260</v>
      </c>
      <c r="E650" s="133"/>
      <c r="F650" s="133" t="s">
        <v>37</v>
      </c>
      <c r="G650" s="134" t="s">
        <v>2261</v>
      </c>
      <c r="H650" s="133" t="s">
        <v>246</v>
      </c>
      <c r="I650" s="133" t="s">
        <v>246</v>
      </c>
      <c r="J650" s="133"/>
      <c r="K650" s="133" t="s">
        <v>42</v>
      </c>
      <c r="L650" s="133">
        <v>250</v>
      </c>
      <c r="M650" s="133"/>
      <c r="N650" s="133" t="s">
        <v>324</v>
      </c>
      <c r="O650" s="133" t="s">
        <v>2262</v>
      </c>
      <c r="P650" s="133">
        <v>2020</v>
      </c>
      <c r="Q650" s="133">
        <v>1</v>
      </c>
      <c r="R650" s="133">
        <v>4</v>
      </c>
      <c r="S650" s="133"/>
      <c r="T650" s="133"/>
      <c r="U650" s="133"/>
      <c r="V650" s="133"/>
      <c r="W650" s="133"/>
      <c r="X650" s="133"/>
      <c r="Y650" s="133"/>
      <c r="Z650" s="133"/>
      <c r="AA650" s="133"/>
      <c r="AB650" s="133"/>
      <c r="AC650" s="133"/>
      <c r="AD650" s="133"/>
      <c r="AE650" s="136" t="s">
        <v>2263</v>
      </c>
      <c r="AG650" s="137"/>
    </row>
    <row r="651" spans="1:33" s="14" customFormat="1">
      <c r="A651" s="133">
        <f>A649+1</f>
        <v>580</v>
      </c>
      <c r="B651" s="11" t="s">
        <v>738</v>
      </c>
      <c r="C651" s="133" t="s">
        <v>2112</v>
      </c>
      <c r="D651" s="133" t="s">
        <v>2264</v>
      </c>
      <c r="E651" s="133"/>
      <c r="F651" s="133" t="s">
        <v>37</v>
      </c>
      <c r="G651" s="134" t="s">
        <v>2265</v>
      </c>
      <c r="H651" s="133" t="s">
        <v>246</v>
      </c>
      <c r="I651" s="133" t="s">
        <v>246</v>
      </c>
      <c r="J651" s="135" t="s">
        <v>2266</v>
      </c>
      <c r="K651" s="133" t="s">
        <v>42</v>
      </c>
      <c r="L651" s="133">
        <v>250</v>
      </c>
      <c r="M651" s="133"/>
      <c r="N651" s="133" t="s">
        <v>43</v>
      </c>
      <c r="O651" s="133">
        <v>84782</v>
      </c>
      <c r="P651" s="133">
        <v>2009</v>
      </c>
      <c r="Q651" s="133">
        <v>1</v>
      </c>
      <c r="R651" s="133">
        <v>3</v>
      </c>
      <c r="S651" s="133">
        <v>0</v>
      </c>
      <c r="T651" s="133">
        <v>0</v>
      </c>
      <c r="U651" s="133">
        <v>0</v>
      </c>
      <c r="V651" s="133">
        <v>0</v>
      </c>
      <c r="W651" s="133">
        <v>0</v>
      </c>
      <c r="X651" s="133">
        <v>0</v>
      </c>
      <c r="Y651" s="133"/>
      <c r="Z651" s="133">
        <v>0</v>
      </c>
      <c r="AA651" s="133"/>
      <c r="AB651" s="133"/>
      <c r="AC651" s="133">
        <f t="shared" ref="AC651" si="55">SUM(U651:AB651)</f>
        <v>0</v>
      </c>
      <c r="AD651" s="133"/>
      <c r="AE651" s="136"/>
      <c r="AG651" s="137"/>
    </row>
    <row r="652" spans="1:33" s="99" customFormat="1">
      <c r="A652" s="130">
        <f>A650+1</f>
        <v>581</v>
      </c>
      <c r="B652" s="96" t="s">
        <v>738</v>
      </c>
      <c r="C652" s="130" t="s">
        <v>2112</v>
      </c>
      <c r="D652" s="130" t="s">
        <v>2267</v>
      </c>
      <c r="E652" s="130"/>
      <c r="F652" s="130" t="s">
        <v>37</v>
      </c>
      <c r="G652" s="139" t="s">
        <v>2268</v>
      </c>
      <c r="H652" s="130" t="s">
        <v>246</v>
      </c>
      <c r="I652" s="130" t="s">
        <v>246</v>
      </c>
      <c r="J652" s="140"/>
      <c r="K652" s="130" t="s">
        <v>42</v>
      </c>
      <c r="L652" s="130">
        <v>160</v>
      </c>
      <c r="M652" s="130"/>
      <c r="N652" s="130" t="s">
        <v>324</v>
      </c>
      <c r="O652" s="130" t="s">
        <v>2269</v>
      </c>
      <c r="P652" s="130">
        <v>2025</v>
      </c>
      <c r="Q652" s="130">
        <v>1</v>
      </c>
      <c r="R652" s="130">
        <v>3</v>
      </c>
      <c r="S652" s="130">
        <v>0</v>
      </c>
      <c r="T652" s="130">
        <v>0</v>
      </c>
      <c r="U652" s="130">
        <v>0</v>
      </c>
      <c r="V652" s="130">
        <v>0</v>
      </c>
      <c r="W652" s="130">
        <v>0</v>
      </c>
      <c r="X652" s="130">
        <v>0</v>
      </c>
      <c r="Y652" s="130"/>
      <c r="Z652" s="130">
        <v>0</v>
      </c>
      <c r="AA652" s="130"/>
      <c r="AB652" s="130"/>
      <c r="AC652" s="130">
        <f t="shared" si="52"/>
        <v>0</v>
      </c>
      <c r="AD652" s="130"/>
      <c r="AE652" s="131"/>
      <c r="AG652" s="132"/>
    </row>
    <row r="653" spans="1:33" s="14" customFormat="1">
      <c r="A653" s="133">
        <f>A650+1</f>
        <v>581</v>
      </c>
      <c r="B653" s="11" t="s">
        <v>738</v>
      </c>
      <c r="C653" s="133" t="s">
        <v>2112</v>
      </c>
      <c r="D653" s="133" t="s">
        <v>2270</v>
      </c>
      <c r="E653" s="133"/>
      <c r="F653" s="133" t="s">
        <v>48</v>
      </c>
      <c r="G653" s="134" t="s">
        <v>2271</v>
      </c>
      <c r="H653" s="133" t="s">
        <v>39</v>
      </c>
      <c r="I653" s="133" t="s">
        <v>39</v>
      </c>
      <c r="J653" s="133"/>
      <c r="K653" s="133" t="s">
        <v>42</v>
      </c>
      <c r="L653" s="133">
        <v>400</v>
      </c>
      <c r="M653" s="133"/>
      <c r="N653" s="133" t="s">
        <v>93</v>
      </c>
      <c r="O653" s="133" t="s">
        <v>2272</v>
      </c>
      <c r="P653" s="133">
        <v>2024</v>
      </c>
      <c r="Q653" s="133">
        <v>1</v>
      </c>
      <c r="R653" s="133" t="s">
        <v>482</v>
      </c>
      <c r="S653" s="133">
        <v>0</v>
      </c>
      <c r="T653" s="133">
        <v>0</v>
      </c>
      <c r="U653" s="133">
        <v>0</v>
      </c>
      <c r="V653" s="133">
        <v>0</v>
      </c>
      <c r="W653" s="133">
        <v>0</v>
      </c>
      <c r="X653" s="133">
        <v>0</v>
      </c>
      <c r="Y653" s="133"/>
      <c r="Z653" s="133">
        <v>0</v>
      </c>
      <c r="AA653" s="133"/>
      <c r="AB653" s="133"/>
      <c r="AC653" s="133">
        <f t="shared" si="52"/>
        <v>0</v>
      </c>
      <c r="AD653" s="133"/>
      <c r="AE653" s="136"/>
      <c r="AG653" s="137"/>
    </row>
    <row r="654" spans="1:33" s="99" customFormat="1">
      <c r="A654" s="130">
        <f>A652+1</f>
        <v>582</v>
      </c>
      <c r="B654" s="96" t="s">
        <v>738</v>
      </c>
      <c r="C654" s="130" t="s">
        <v>2112</v>
      </c>
      <c r="D654" s="130" t="s">
        <v>2273</v>
      </c>
      <c r="E654" s="130"/>
      <c r="F654" s="130" t="s">
        <v>63</v>
      </c>
      <c r="G654" s="139" t="s">
        <v>2274</v>
      </c>
      <c r="H654" s="130" t="s">
        <v>246</v>
      </c>
      <c r="I654" s="130" t="s">
        <v>246</v>
      </c>
      <c r="J654" s="130"/>
      <c r="K654" s="130" t="s">
        <v>42</v>
      </c>
      <c r="L654" s="130">
        <v>400</v>
      </c>
      <c r="M654" s="130"/>
      <c r="N654" s="130" t="s">
        <v>93</v>
      </c>
      <c r="O654" s="130" t="s">
        <v>2272</v>
      </c>
      <c r="P654" s="130">
        <v>2024</v>
      </c>
      <c r="Q654" s="130">
        <v>1</v>
      </c>
      <c r="R654" s="130" t="s">
        <v>482</v>
      </c>
      <c r="S654" s="130">
        <v>0</v>
      </c>
      <c r="T654" s="130">
        <v>0</v>
      </c>
      <c r="U654" s="130">
        <v>0</v>
      </c>
      <c r="V654" s="130">
        <v>0</v>
      </c>
      <c r="W654" s="130">
        <v>0</v>
      </c>
      <c r="X654" s="130">
        <v>0</v>
      </c>
      <c r="Y654" s="130"/>
      <c r="Z654" s="130">
        <v>0</v>
      </c>
      <c r="AA654" s="130"/>
      <c r="AB654" s="130"/>
      <c r="AC654" s="130">
        <f t="shared" si="52"/>
        <v>0</v>
      </c>
      <c r="AD654" s="130"/>
      <c r="AE654" s="131"/>
      <c r="AG654" s="132"/>
    </row>
    <row r="655" spans="1:33" s="14" customFormat="1">
      <c r="A655" s="133">
        <f t="shared" ref="A655:A718" si="56">A654+1</f>
        <v>583</v>
      </c>
      <c r="B655" s="11" t="s">
        <v>738</v>
      </c>
      <c r="C655" s="133" t="s">
        <v>2112</v>
      </c>
      <c r="D655" s="133" t="s">
        <v>2275</v>
      </c>
      <c r="E655" s="133"/>
      <c r="F655" s="133" t="s">
        <v>37</v>
      </c>
      <c r="G655" s="134" t="s">
        <v>2276</v>
      </c>
      <c r="H655" s="133" t="s">
        <v>246</v>
      </c>
      <c r="I655" s="133" t="s">
        <v>246</v>
      </c>
      <c r="J655" s="135" t="s">
        <v>2277</v>
      </c>
      <c r="K655" s="133" t="s">
        <v>42</v>
      </c>
      <c r="L655" s="133">
        <v>400</v>
      </c>
      <c r="M655" s="133"/>
      <c r="N655" s="133" t="s">
        <v>424</v>
      </c>
      <c r="O655" s="133" t="s">
        <v>2278</v>
      </c>
      <c r="P655" s="133">
        <v>2015</v>
      </c>
      <c r="Q655" s="133">
        <v>1</v>
      </c>
      <c r="R655" s="133">
        <v>3</v>
      </c>
      <c r="S655" s="133">
        <v>0</v>
      </c>
      <c r="T655" s="133">
        <v>0</v>
      </c>
      <c r="U655" s="133">
        <v>0</v>
      </c>
      <c r="V655" s="133">
        <v>0</v>
      </c>
      <c r="W655" s="133">
        <v>0</v>
      </c>
      <c r="X655" s="133">
        <v>0</v>
      </c>
      <c r="Y655" s="133"/>
      <c r="Z655" s="133">
        <v>0</v>
      </c>
      <c r="AA655" s="133"/>
      <c r="AB655" s="133"/>
      <c r="AC655" s="133">
        <f t="shared" si="52"/>
        <v>0</v>
      </c>
      <c r="AD655" s="133"/>
      <c r="AE655" s="136"/>
      <c r="AG655" s="137"/>
    </row>
    <row r="656" spans="1:33" s="14" customFormat="1">
      <c r="A656" s="133">
        <f t="shared" si="56"/>
        <v>584</v>
      </c>
      <c r="B656" s="11" t="s">
        <v>738</v>
      </c>
      <c r="C656" s="133" t="s">
        <v>2112</v>
      </c>
      <c r="D656" s="133" t="s">
        <v>2279</v>
      </c>
      <c r="E656" s="133"/>
      <c r="F656" s="133" t="s">
        <v>37</v>
      </c>
      <c r="G656" s="134" t="s">
        <v>2280</v>
      </c>
      <c r="H656" s="133" t="s">
        <v>246</v>
      </c>
      <c r="I656" s="133" t="s">
        <v>246</v>
      </c>
      <c r="J656" s="136">
        <v>1064</v>
      </c>
      <c r="K656" s="133" t="s">
        <v>42</v>
      </c>
      <c r="L656" s="133">
        <v>250</v>
      </c>
      <c r="M656" s="133"/>
      <c r="N656" s="133" t="s">
        <v>424</v>
      </c>
      <c r="O656" s="133" t="s">
        <v>2281</v>
      </c>
      <c r="P656" s="133">
        <v>2012</v>
      </c>
      <c r="Q656" s="133">
        <v>1</v>
      </c>
      <c r="R656" s="133">
        <f>IF(H656="CANTOL",2,4)</f>
        <v>4</v>
      </c>
      <c r="S656" s="133"/>
      <c r="T656" s="133"/>
      <c r="U656" s="133"/>
      <c r="V656" s="133"/>
      <c r="W656" s="133"/>
      <c r="X656" s="133"/>
      <c r="Y656" s="133"/>
      <c r="Z656" s="133"/>
      <c r="AA656" s="133"/>
      <c r="AB656" s="133"/>
      <c r="AC656" s="133">
        <f t="shared" si="52"/>
        <v>0</v>
      </c>
      <c r="AD656" s="133"/>
      <c r="AE656" s="136"/>
      <c r="AG656" s="137"/>
    </row>
    <row r="657" spans="1:33" s="14" customFormat="1">
      <c r="A657" s="133">
        <f t="shared" si="56"/>
        <v>585</v>
      </c>
      <c r="B657" s="11" t="s">
        <v>738</v>
      </c>
      <c r="C657" s="133" t="s">
        <v>2112</v>
      </c>
      <c r="D657" s="133" t="s">
        <v>2282</v>
      </c>
      <c r="E657" s="133"/>
      <c r="F657" s="133" t="s">
        <v>37</v>
      </c>
      <c r="G657" s="134" t="s">
        <v>2283</v>
      </c>
      <c r="H657" s="133" t="s">
        <v>246</v>
      </c>
      <c r="I657" s="133" t="s">
        <v>246</v>
      </c>
      <c r="J657" s="133"/>
      <c r="K657" s="133" t="s">
        <v>42</v>
      </c>
      <c r="L657" s="133">
        <v>160</v>
      </c>
      <c r="M657" s="133"/>
      <c r="N657" s="133" t="s">
        <v>93</v>
      </c>
      <c r="O657" s="133" t="s">
        <v>2284</v>
      </c>
      <c r="P657" s="133">
        <v>2022</v>
      </c>
      <c r="Q657" s="133">
        <v>1</v>
      </c>
      <c r="R657" s="133">
        <v>4</v>
      </c>
      <c r="S657" s="133">
        <v>0</v>
      </c>
      <c r="T657" s="133">
        <v>0</v>
      </c>
      <c r="U657" s="133">
        <v>0</v>
      </c>
      <c r="V657" s="133">
        <v>0</v>
      </c>
      <c r="W657" s="133">
        <v>0</v>
      </c>
      <c r="X657" s="133">
        <v>0</v>
      </c>
      <c r="Y657" s="133"/>
      <c r="Z657" s="133">
        <v>0</v>
      </c>
      <c r="AA657" s="133"/>
      <c r="AB657" s="133"/>
      <c r="AC657" s="133">
        <f t="shared" ref="AC657" si="57">SUM(U657:AB657)</f>
        <v>0</v>
      </c>
      <c r="AD657" s="133"/>
      <c r="AE657" s="136"/>
      <c r="AG657" s="137"/>
    </row>
    <row r="658" spans="1:33" s="14" customFormat="1">
      <c r="A658" s="133">
        <f t="shared" si="56"/>
        <v>586</v>
      </c>
      <c r="B658" s="11" t="s">
        <v>738</v>
      </c>
      <c r="C658" s="133" t="s">
        <v>2112</v>
      </c>
      <c r="D658" s="133" t="s">
        <v>2285</v>
      </c>
      <c r="E658" s="133"/>
      <c r="F658" s="133" t="s">
        <v>37</v>
      </c>
      <c r="G658" s="134" t="s">
        <v>2286</v>
      </c>
      <c r="H658" s="133" t="s">
        <v>246</v>
      </c>
      <c r="I658" s="133" t="s">
        <v>246</v>
      </c>
      <c r="J658" s="135" t="s">
        <v>2287</v>
      </c>
      <c r="K658" s="133" t="s">
        <v>42</v>
      </c>
      <c r="L658" s="133">
        <v>250</v>
      </c>
      <c r="M658" s="133"/>
      <c r="N658" s="133" t="s">
        <v>664</v>
      </c>
      <c r="O658" s="133">
        <v>20071357</v>
      </c>
      <c r="P658" s="133">
        <v>2007</v>
      </c>
      <c r="Q658" s="133">
        <v>1</v>
      </c>
      <c r="R658" s="133">
        <v>4</v>
      </c>
      <c r="S658" s="133">
        <v>0</v>
      </c>
      <c r="T658" s="133">
        <v>0</v>
      </c>
      <c r="U658" s="133">
        <v>0</v>
      </c>
      <c r="V658" s="133">
        <v>0</v>
      </c>
      <c r="W658" s="133">
        <v>0</v>
      </c>
      <c r="X658" s="133">
        <v>0</v>
      </c>
      <c r="Y658" s="133"/>
      <c r="Z658" s="133">
        <v>0</v>
      </c>
      <c r="AA658" s="133"/>
      <c r="AB658" s="133"/>
      <c r="AC658" s="133">
        <f t="shared" si="52"/>
        <v>0</v>
      </c>
      <c r="AD658" s="133"/>
      <c r="AE658" s="136"/>
      <c r="AG658" s="137"/>
    </row>
    <row r="659" spans="1:33" s="14" customFormat="1">
      <c r="A659" s="133">
        <f t="shared" si="56"/>
        <v>587</v>
      </c>
      <c r="B659" s="11" t="s">
        <v>738</v>
      </c>
      <c r="C659" s="133" t="s">
        <v>2112</v>
      </c>
      <c r="D659" s="133" t="s">
        <v>2288</v>
      </c>
      <c r="E659" s="133"/>
      <c r="F659" s="133" t="s">
        <v>37</v>
      </c>
      <c r="G659" s="134" t="s">
        <v>2286</v>
      </c>
      <c r="H659" s="133" t="s">
        <v>741</v>
      </c>
      <c r="I659" s="133" t="s">
        <v>741</v>
      </c>
      <c r="J659" s="133" t="s">
        <v>2289</v>
      </c>
      <c r="K659" s="133" t="s">
        <v>42</v>
      </c>
      <c r="L659" s="133">
        <v>100</v>
      </c>
      <c r="M659" s="133"/>
      <c r="N659" s="133" t="s">
        <v>664</v>
      </c>
      <c r="O659" s="133">
        <v>1702744</v>
      </c>
      <c r="P659" s="133">
        <v>2017</v>
      </c>
      <c r="Q659" s="133">
        <v>1</v>
      </c>
      <c r="R659" s="133">
        <v>2</v>
      </c>
      <c r="S659" s="133"/>
      <c r="T659" s="133"/>
      <c r="U659" s="133"/>
      <c r="V659" s="133"/>
      <c r="W659" s="133"/>
      <c r="X659" s="133"/>
      <c r="Y659" s="133"/>
      <c r="Z659" s="133"/>
      <c r="AA659" s="133"/>
      <c r="AB659" s="133"/>
      <c r="AC659" s="133"/>
      <c r="AD659" s="133"/>
      <c r="AE659" s="136" t="s">
        <v>1678</v>
      </c>
      <c r="AG659" s="137" t="s">
        <v>1678</v>
      </c>
    </row>
    <row r="660" spans="1:33" s="14" customFormat="1">
      <c r="A660" s="133">
        <f t="shared" si="56"/>
        <v>588</v>
      </c>
      <c r="B660" s="11" t="s">
        <v>738</v>
      </c>
      <c r="C660" s="133" t="s">
        <v>2112</v>
      </c>
      <c r="D660" s="133" t="s">
        <v>2290</v>
      </c>
      <c r="E660" s="133"/>
      <c r="F660" s="133" t="s">
        <v>37</v>
      </c>
      <c r="G660" s="134" t="s">
        <v>2291</v>
      </c>
      <c r="H660" s="133" t="s">
        <v>246</v>
      </c>
      <c r="I660" s="133" t="s">
        <v>246</v>
      </c>
      <c r="J660" s="133" t="s">
        <v>2292</v>
      </c>
      <c r="K660" s="133" t="s">
        <v>42</v>
      </c>
      <c r="L660" s="133">
        <v>250</v>
      </c>
      <c r="M660" s="133"/>
      <c r="N660" s="133" t="s">
        <v>324</v>
      </c>
      <c r="O660" s="133" t="s">
        <v>2293</v>
      </c>
      <c r="P660" s="133">
        <v>2018</v>
      </c>
      <c r="Q660" s="133">
        <v>1</v>
      </c>
      <c r="R660" s="133">
        <v>1</v>
      </c>
      <c r="S660" s="133"/>
      <c r="T660" s="133"/>
      <c r="U660" s="133"/>
      <c r="V660" s="133"/>
      <c r="W660" s="133"/>
      <c r="X660" s="133"/>
      <c r="Y660" s="133"/>
      <c r="Z660" s="133"/>
      <c r="AA660" s="133"/>
      <c r="AB660" s="133"/>
      <c r="AC660" s="133"/>
      <c r="AD660" s="133"/>
      <c r="AE660" s="136"/>
      <c r="AG660" s="137"/>
    </row>
    <row r="661" spans="1:33" s="14" customFormat="1">
      <c r="A661" s="133">
        <f t="shared" si="56"/>
        <v>589</v>
      </c>
      <c r="B661" s="11" t="s">
        <v>738</v>
      </c>
      <c r="C661" s="133" t="s">
        <v>2112</v>
      </c>
      <c r="D661" s="133" t="s">
        <v>2294</v>
      </c>
      <c r="E661" s="133"/>
      <c r="F661" s="133" t="s">
        <v>63</v>
      </c>
      <c r="G661" s="134" t="s">
        <v>2295</v>
      </c>
      <c r="H661" s="133" t="s">
        <v>246</v>
      </c>
      <c r="I661" s="133" t="s">
        <v>246</v>
      </c>
      <c r="J661" s="133" t="s">
        <v>2296</v>
      </c>
      <c r="K661" s="133" t="s">
        <v>42</v>
      </c>
      <c r="L661" s="133">
        <v>160</v>
      </c>
      <c r="M661" s="133"/>
      <c r="N661" s="133" t="s">
        <v>59</v>
      </c>
      <c r="O661" s="133">
        <v>163302787</v>
      </c>
      <c r="P661" s="133">
        <v>2008</v>
      </c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  <c r="AA661" s="133"/>
      <c r="AB661" s="133"/>
      <c r="AC661" s="133"/>
      <c r="AD661" s="133"/>
      <c r="AE661" s="136"/>
      <c r="AG661" s="137"/>
    </row>
    <row r="662" spans="1:33" s="14" customFormat="1">
      <c r="A662" s="133">
        <f t="shared" si="56"/>
        <v>590</v>
      </c>
      <c r="B662" s="11" t="s">
        <v>738</v>
      </c>
      <c r="C662" s="133" t="s">
        <v>2112</v>
      </c>
      <c r="D662" s="133" t="s">
        <v>2297</v>
      </c>
      <c r="E662" s="133"/>
      <c r="F662" s="133" t="s">
        <v>63</v>
      </c>
      <c r="G662" s="134" t="s">
        <v>2298</v>
      </c>
      <c r="H662" s="133" t="s">
        <v>246</v>
      </c>
      <c r="I662" s="133" t="s">
        <v>246</v>
      </c>
      <c r="J662" s="135" t="s">
        <v>2299</v>
      </c>
      <c r="K662" s="133" t="s">
        <v>42</v>
      </c>
      <c r="L662" s="133">
        <v>160</v>
      </c>
      <c r="M662" s="133"/>
      <c r="N662" s="133" t="s">
        <v>43</v>
      </c>
      <c r="O662" s="133">
        <v>50614</v>
      </c>
      <c r="P662" s="133">
        <v>1992</v>
      </c>
      <c r="Q662" s="133">
        <v>1</v>
      </c>
      <c r="R662" s="133">
        <v>1</v>
      </c>
      <c r="S662" s="133">
        <v>0</v>
      </c>
      <c r="T662" s="133">
        <v>0</v>
      </c>
      <c r="U662" s="133">
        <v>0</v>
      </c>
      <c r="V662" s="133">
        <v>0</v>
      </c>
      <c r="W662" s="133">
        <v>0</v>
      </c>
      <c r="X662" s="133">
        <v>0</v>
      </c>
      <c r="Y662" s="133"/>
      <c r="Z662" s="133">
        <v>0</v>
      </c>
      <c r="AA662" s="133"/>
      <c r="AB662" s="133"/>
      <c r="AC662" s="133">
        <f t="shared" si="52"/>
        <v>0</v>
      </c>
      <c r="AD662" s="133"/>
      <c r="AE662" s="136"/>
      <c r="AG662" s="137"/>
    </row>
    <row r="663" spans="1:33" s="14" customFormat="1">
      <c r="A663" s="133">
        <f t="shared" si="56"/>
        <v>591</v>
      </c>
      <c r="B663" s="11" t="s">
        <v>738</v>
      </c>
      <c r="C663" s="133" t="s">
        <v>2112</v>
      </c>
      <c r="D663" s="133" t="s">
        <v>2300</v>
      </c>
      <c r="E663" s="133"/>
      <c r="F663" s="133" t="s">
        <v>63</v>
      </c>
      <c r="G663" s="134" t="s">
        <v>2301</v>
      </c>
      <c r="H663" s="133" t="s">
        <v>246</v>
      </c>
      <c r="I663" s="133" t="s">
        <v>246</v>
      </c>
      <c r="J663" s="133" t="s">
        <v>2302</v>
      </c>
      <c r="K663" s="133" t="s">
        <v>42</v>
      </c>
      <c r="L663" s="133">
        <v>250</v>
      </c>
      <c r="M663" s="133"/>
      <c r="N663" s="133" t="s">
        <v>424</v>
      </c>
      <c r="O663" s="133" t="s">
        <v>2303</v>
      </c>
      <c r="P663" s="133" t="s">
        <v>95</v>
      </c>
      <c r="Q663" s="133" t="s">
        <v>96</v>
      </c>
      <c r="R663" s="133" t="s">
        <v>96</v>
      </c>
      <c r="S663" s="133" t="s">
        <v>907</v>
      </c>
      <c r="T663" s="133" t="s">
        <v>907</v>
      </c>
      <c r="U663" s="133">
        <v>0</v>
      </c>
      <c r="V663" s="133">
        <v>0</v>
      </c>
      <c r="W663" s="133">
        <v>0</v>
      </c>
      <c r="X663" s="133">
        <v>0</v>
      </c>
      <c r="Y663" s="133"/>
      <c r="Z663" s="133"/>
      <c r="AA663" s="133"/>
      <c r="AB663" s="133"/>
      <c r="AC663" s="133"/>
      <c r="AD663" s="133"/>
      <c r="AE663" s="136" t="s">
        <v>1794</v>
      </c>
      <c r="AG663" s="137"/>
    </row>
    <row r="664" spans="1:33" s="14" customFormat="1">
      <c r="A664" s="133">
        <f t="shared" si="56"/>
        <v>592</v>
      </c>
      <c r="B664" s="11" t="s">
        <v>738</v>
      </c>
      <c r="C664" s="133" t="s">
        <v>2112</v>
      </c>
      <c r="D664" s="133" t="s">
        <v>2304</v>
      </c>
      <c r="E664" s="133"/>
      <c r="F664" s="133" t="s">
        <v>37</v>
      </c>
      <c r="G664" s="134" t="s">
        <v>2305</v>
      </c>
      <c r="H664" s="133" t="s">
        <v>246</v>
      </c>
      <c r="I664" s="133" t="s">
        <v>246</v>
      </c>
      <c r="J664" s="135" t="s">
        <v>2306</v>
      </c>
      <c r="K664" s="133" t="s">
        <v>42</v>
      </c>
      <c r="L664" s="133">
        <v>100</v>
      </c>
      <c r="M664" s="133"/>
      <c r="N664" s="133" t="s">
        <v>1143</v>
      </c>
      <c r="O664" s="133" t="s">
        <v>2307</v>
      </c>
      <c r="P664" s="133">
        <v>1984</v>
      </c>
      <c r="Q664" s="133">
        <v>1</v>
      </c>
      <c r="R664" s="133">
        <f>IF(H664="CANTOL",2,4)</f>
        <v>4</v>
      </c>
      <c r="S664" s="133">
        <v>0</v>
      </c>
      <c r="T664" s="133">
        <v>0</v>
      </c>
      <c r="U664" s="133">
        <v>0</v>
      </c>
      <c r="V664" s="133">
        <v>0</v>
      </c>
      <c r="W664" s="133">
        <v>0</v>
      </c>
      <c r="X664" s="133">
        <v>0</v>
      </c>
      <c r="Y664" s="133"/>
      <c r="Z664" s="133">
        <v>0</v>
      </c>
      <c r="AA664" s="133"/>
      <c r="AB664" s="133"/>
      <c r="AC664" s="133">
        <f t="shared" si="52"/>
        <v>0</v>
      </c>
      <c r="AD664" s="133"/>
      <c r="AE664" s="136"/>
      <c r="AG664" s="137"/>
    </row>
    <row r="665" spans="1:33" s="14" customFormat="1">
      <c r="A665" s="133">
        <f t="shared" si="56"/>
        <v>593</v>
      </c>
      <c r="B665" s="11" t="s">
        <v>738</v>
      </c>
      <c r="C665" s="133" t="s">
        <v>2112</v>
      </c>
      <c r="D665" s="133" t="s">
        <v>2308</v>
      </c>
      <c r="E665" s="133"/>
      <c r="F665" s="133" t="s">
        <v>63</v>
      </c>
      <c r="G665" s="134" t="s">
        <v>2309</v>
      </c>
      <c r="H665" s="133" t="s">
        <v>246</v>
      </c>
      <c r="I665" s="133" t="s">
        <v>246</v>
      </c>
      <c r="J665" s="135" t="s">
        <v>2310</v>
      </c>
      <c r="K665" s="133" t="s">
        <v>42</v>
      </c>
      <c r="L665" s="133">
        <v>250</v>
      </c>
      <c r="M665" s="133"/>
      <c r="N665" s="133" t="s">
        <v>324</v>
      </c>
      <c r="O665" s="133" t="s">
        <v>2311</v>
      </c>
      <c r="P665" s="133" t="s">
        <v>444</v>
      </c>
      <c r="Q665" s="133">
        <v>1</v>
      </c>
      <c r="R665" s="133">
        <v>1</v>
      </c>
      <c r="S665" s="133">
        <v>0</v>
      </c>
      <c r="T665" s="133">
        <v>0</v>
      </c>
      <c r="U665" s="133">
        <v>0</v>
      </c>
      <c r="V665" s="133">
        <v>0</v>
      </c>
      <c r="W665" s="133">
        <v>0</v>
      </c>
      <c r="X665" s="133">
        <v>0</v>
      </c>
      <c r="Y665" s="133"/>
      <c r="Z665" s="133">
        <v>0</v>
      </c>
      <c r="AA665" s="133"/>
      <c r="AB665" s="133"/>
      <c r="AC665" s="133">
        <f t="shared" si="52"/>
        <v>0</v>
      </c>
      <c r="AD665" s="133"/>
      <c r="AE665" s="136"/>
      <c r="AG665" s="137"/>
    </row>
    <row r="666" spans="1:33" s="14" customFormat="1">
      <c r="A666" s="133">
        <f t="shared" si="56"/>
        <v>594</v>
      </c>
      <c r="B666" s="11" t="s">
        <v>738</v>
      </c>
      <c r="C666" s="133" t="s">
        <v>2112</v>
      </c>
      <c r="D666" s="133" t="s">
        <v>2312</v>
      </c>
      <c r="E666" s="133"/>
      <c r="F666" s="133" t="s">
        <v>37</v>
      </c>
      <c r="G666" s="134" t="s">
        <v>2313</v>
      </c>
      <c r="H666" s="133" t="s">
        <v>246</v>
      </c>
      <c r="I666" s="133" t="s">
        <v>246</v>
      </c>
      <c r="J666" s="135" t="s">
        <v>2314</v>
      </c>
      <c r="K666" s="133" t="s">
        <v>42</v>
      </c>
      <c r="L666" s="133">
        <v>250</v>
      </c>
      <c r="M666" s="133"/>
      <c r="N666" s="133" t="s">
        <v>43</v>
      </c>
      <c r="O666" s="133" t="s">
        <v>2315</v>
      </c>
      <c r="P666" s="133">
        <v>2007</v>
      </c>
      <c r="Q666" s="133">
        <v>1</v>
      </c>
      <c r="R666" s="133">
        <v>2</v>
      </c>
      <c r="S666" s="133">
        <v>0</v>
      </c>
      <c r="T666" s="133">
        <v>0</v>
      </c>
      <c r="U666" s="133">
        <v>0</v>
      </c>
      <c r="V666" s="133">
        <v>0</v>
      </c>
      <c r="W666" s="133">
        <v>0</v>
      </c>
      <c r="X666" s="133">
        <v>0</v>
      </c>
      <c r="Y666" s="133"/>
      <c r="Z666" s="133">
        <v>0</v>
      </c>
      <c r="AA666" s="133"/>
      <c r="AB666" s="133"/>
      <c r="AC666" s="133">
        <f t="shared" si="52"/>
        <v>0</v>
      </c>
      <c r="AD666" s="133"/>
      <c r="AE666" s="136"/>
      <c r="AG666" s="137"/>
    </row>
    <row r="667" spans="1:33" s="14" customFormat="1">
      <c r="A667" s="133">
        <f t="shared" si="56"/>
        <v>595</v>
      </c>
      <c r="B667" s="11" t="s">
        <v>738</v>
      </c>
      <c r="C667" s="133" t="s">
        <v>2112</v>
      </c>
      <c r="D667" s="133" t="s">
        <v>2316</v>
      </c>
      <c r="E667" s="133"/>
      <c r="F667" s="133" t="s">
        <v>37</v>
      </c>
      <c r="G667" s="134" t="s">
        <v>2317</v>
      </c>
      <c r="H667" s="133" t="s">
        <v>741</v>
      </c>
      <c r="I667" s="133" t="s">
        <v>741</v>
      </c>
      <c r="J667" s="133" t="s">
        <v>2318</v>
      </c>
      <c r="K667" s="133" t="s">
        <v>42</v>
      </c>
      <c r="L667" s="133">
        <v>100</v>
      </c>
      <c r="M667" s="133"/>
      <c r="N667" s="133" t="s">
        <v>863</v>
      </c>
      <c r="O667" s="133" t="s">
        <v>2319</v>
      </c>
      <c r="P667" s="133" t="s">
        <v>405</v>
      </c>
      <c r="Q667" s="133"/>
      <c r="R667" s="133">
        <f>IF(H667="CANTOL",2,4)</f>
        <v>2</v>
      </c>
      <c r="S667" s="133"/>
      <c r="T667" s="133"/>
      <c r="U667" s="133"/>
      <c r="V667" s="133"/>
      <c r="W667" s="133"/>
      <c r="X667" s="133"/>
      <c r="Y667" s="133"/>
      <c r="Z667" s="133"/>
      <c r="AA667" s="133"/>
      <c r="AB667" s="133"/>
      <c r="AC667" s="133"/>
      <c r="AD667" s="133"/>
      <c r="AE667" s="136"/>
      <c r="AG667" s="137"/>
    </row>
    <row r="668" spans="1:33" s="14" customFormat="1">
      <c r="A668" s="133">
        <f t="shared" si="56"/>
        <v>596</v>
      </c>
      <c r="B668" s="11" t="s">
        <v>738</v>
      </c>
      <c r="C668" s="133" t="s">
        <v>2112</v>
      </c>
      <c r="D668" s="133" t="s">
        <v>2320</v>
      </c>
      <c r="E668" s="133"/>
      <c r="F668" s="133" t="s">
        <v>63</v>
      </c>
      <c r="G668" s="134" t="s">
        <v>2321</v>
      </c>
      <c r="H668" s="133" t="s">
        <v>246</v>
      </c>
      <c r="I668" s="133" t="s">
        <v>246</v>
      </c>
      <c r="J668" s="133" t="s">
        <v>2322</v>
      </c>
      <c r="K668" s="133" t="s">
        <v>42</v>
      </c>
      <c r="L668" s="133">
        <v>250</v>
      </c>
      <c r="M668" s="133"/>
      <c r="N668" s="133" t="s">
        <v>664</v>
      </c>
      <c r="O668" s="133" t="s">
        <v>2323</v>
      </c>
      <c r="P668" s="133" t="s">
        <v>95</v>
      </c>
      <c r="Q668" s="133" t="s">
        <v>96</v>
      </c>
      <c r="R668" s="133" t="s">
        <v>337</v>
      </c>
      <c r="S668" s="133" t="s">
        <v>907</v>
      </c>
      <c r="T668" s="133"/>
      <c r="U668" s="133"/>
      <c r="V668" s="133"/>
      <c r="W668" s="133"/>
      <c r="X668" s="133"/>
      <c r="Y668" s="133"/>
      <c r="Z668" s="133"/>
      <c r="AA668" s="133"/>
      <c r="AB668" s="133"/>
      <c r="AC668" s="133"/>
      <c r="AD668" s="133"/>
      <c r="AE668" s="136" t="s">
        <v>2324</v>
      </c>
      <c r="AG668" s="137"/>
    </row>
    <row r="669" spans="1:33" s="14" customFormat="1">
      <c r="A669" s="133">
        <f t="shared" si="56"/>
        <v>597</v>
      </c>
      <c r="B669" s="11" t="s">
        <v>738</v>
      </c>
      <c r="C669" s="133" t="s">
        <v>2112</v>
      </c>
      <c r="D669" s="133" t="s">
        <v>2325</v>
      </c>
      <c r="E669" s="133"/>
      <c r="F669" s="133" t="s">
        <v>37</v>
      </c>
      <c r="G669" s="134" t="s">
        <v>2326</v>
      </c>
      <c r="H669" s="133" t="s">
        <v>246</v>
      </c>
      <c r="I669" s="133" t="s">
        <v>246</v>
      </c>
      <c r="J669" s="135" t="s">
        <v>2327</v>
      </c>
      <c r="K669" s="133" t="s">
        <v>42</v>
      </c>
      <c r="L669" s="133">
        <v>250</v>
      </c>
      <c r="M669" s="133"/>
      <c r="N669" s="133" t="s">
        <v>424</v>
      </c>
      <c r="O669" s="133" t="s">
        <v>2328</v>
      </c>
      <c r="P669" s="133" t="s">
        <v>95</v>
      </c>
      <c r="Q669" s="133">
        <v>1</v>
      </c>
      <c r="R669" s="133">
        <v>2</v>
      </c>
      <c r="S669" s="133">
        <v>0</v>
      </c>
      <c r="T669" s="133">
        <v>0</v>
      </c>
      <c r="U669" s="133">
        <v>0</v>
      </c>
      <c r="V669" s="133">
        <v>0</v>
      </c>
      <c r="W669" s="133">
        <v>0</v>
      </c>
      <c r="X669" s="133">
        <v>0</v>
      </c>
      <c r="Y669" s="133"/>
      <c r="Z669" s="133">
        <v>0</v>
      </c>
      <c r="AA669" s="133"/>
      <c r="AB669" s="133"/>
      <c r="AC669" s="133">
        <f t="shared" si="52"/>
        <v>0</v>
      </c>
      <c r="AD669" s="133"/>
      <c r="AE669" s="136" t="s">
        <v>2329</v>
      </c>
      <c r="AG669" s="137"/>
    </row>
    <row r="670" spans="1:33" s="14" customFormat="1">
      <c r="A670" s="133">
        <f t="shared" si="56"/>
        <v>598</v>
      </c>
      <c r="B670" s="11" t="s">
        <v>738</v>
      </c>
      <c r="C670" s="133" t="s">
        <v>2112</v>
      </c>
      <c r="D670" s="133" t="s">
        <v>2330</v>
      </c>
      <c r="E670" s="133"/>
      <c r="F670" s="133" t="s">
        <v>63</v>
      </c>
      <c r="G670" s="134" t="s">
        <v>2331</v>
      </c>
      <c r="H670" s="133" t="s">
        <v>246</v>
      </c>
      <c r="I670" s="133" t="s">
        <v>246</v>
      </c>
      <c r="J670" s="136">
        <v>1093</v>
      </c>
      <c r="K670" s="133" t="s">
        <v>42</v>
      </c>
      <c r="L670" s="133">
        <v>250</v>
      </c>
      <c r="M670" s="133"/>
      <c r="N670" s="133" t="s">
        <v>863</v>
      </c>
      <c r="O670" s="133" t="s">
        <v>2332</v>
      </c>
      <c r="P670" s="133">
        <v>2014</v>
      </c>
      <c r="Q670" s="133">
        <v>1</v>
      </c>
      <c r="R670" s="133"/>
      <c r="S670" s="133"/>
      <c r="T670" s="133"/>
      <c r="U670" s="133"/>
      <c r="V670" s="133"/>
      <c r="W670" s="133"/>
      <c r="X670" s="133"/>
      <c r="Y670" s="133"/>
      <c r="Z670" s="133"/>
      <c r="AA670" s="133"/>
      <c r="AB670" s="133"/>
      <c r="AC670" s="133">
        <f t="shared" si="52"/>
        <v>0</v>
      </c>
      <c r="AD670" s="133"/>
      <c r="AE670" s="136"/>
      <c r="AG670" s="137"/>
    </row>
    <row r="671" spans="1:33" s="14" customFormat="1">
      <c r="A671" s="133">
        <f t="shared" si="56"/>
        <v>599</v>
      </c>
      <c r="B671" s="11" t="s">
        <v>738</v>
      </c>
      <c r="C671" s="133" t="s">
        <v>2112</v>
      </c>
      <c r="D671" s="133" t="s">
        <v>2333</v>
      </c>
      <c r="E671" s="133"/>
      <c r="F671" s="133" t="s">
        <v>37</v>
      </c>
      <c r="G671" s="134" t="s">
        <v>2334</v>
      </c>
      <c r="H671" s="133" t="s">
        <v>246</v>
      </c>
      <c r="I671" s="133" t="s">
        <v>246</v>
      </c>
      <c r="J671" s="133"/>
      <c r="K671" s="133" t="s">
        <v>42</v>
      </c>
      <c r="L671" s="133">
        <v>50</v>
      </c>
      <c r="M671" s="133"/>
      <c r="N671" s="133" t="s">
        <v>93</v>
      </c>
      <c r="O671" s="133" t="s">
        <v>1837</v>
      </c>
      <c r="P671" s="133" t="s">
        <v>737</v>
      </c>
      <c r="Q671" s="133" t="s">
        <v>96</v>
      </c>
      <c r="R671" s="133" t="s">
        <v>84</v>
      </c>
      <c r="S671" s="133">
        <v>0</v>
      </c>
      <c r="T671" s="133">
        <v>0</v>
      </c>
      <c r="U671" s="133">
        <v>0</v>
      </c>
      <c r="V671" s="133">
        <v>0</v>
      </c>
      <c r="W671" s="133">
        <v>0</v>
      </c>
      <c r="X671" s="133">
        <v>0</v>
      </c>
      <c r="Y671" s="133"/>
      <c r="Z671" s="133">
        <v>0</v>
      </c>
      <c r="AA671" s="133"/>
      <c r="AB671" s="133"/>
      <c r="AC671" s="133">
        <f t="shared" si="52"/>
        <v>0</v>
      </c>
      <c r="AD671" s="133"/>
      <c r="AE671" s="136"/>
      <c r="AG671" s="137"/>
    </row>
    <row r="672" spans="1:33" s="14" customFormat="1">
      <c r="A672" s="133">
        <f t="shared" si="56"/>
        <v>600</v>
      </c>
      <c r="B672" s="11" t="s">
        <v>738</v>
      </c>
      <c r="C672" s="133" t="s">
        <v>2112</v>
      </c>
      <c r="D672" s="133" t="s">
        <v>2335</v>
      </c>
      <c r="E672" s="133"/>
      <c r="F672" s="133" t="s">
        <v>37</v>
      </c>
      <c r="G672" s="134" t="s">
        <v>2336</v>
      </c>
      <c r="H672" s="133" t="s">
        <v>246</v>
      </c>
      <c r="I672" s="133" t="s">
        <v>246</v>
      </c>
      <c r="J672" s="135" t="s">
        <v>2337</v>
      </c>
      <c r="K672" s="133" t="s">
        <v>42</v>
      </c>
      <c r="L672" s="133">
        <v>250</v>
      </c>
      <c r="M672" s="133"/>
      <c r="N672" s="133" t="s">
        <v>863</v>
      </c>
      <c r="O672" s="133" t="s">
        <v>2338</v>
      </c>
      <c r="P672" s="133">
        <v>2014</v>
      </c>
      <c r="Q672" s="133">
        <v>1</v>
      </c>
      <c r="R672" s="133">
        <v>2</v>
      </c>
      <c r="S672" s="133">
        <v>0</v>
      </c>
      <c r="T672" s="133">
        <v>0</v>
      </c>
      <c r="U672" s="133">
        <v>0</v>
      </c>
      <c r="V672" s="133">
        <v>0</v>
      </c>
      <c r="W672" s="133">
        <v>0</v>
      </c>
      <c r="X672" s="133">
        <v>0</v>
      </c>
      <c r="Y672" s="133"/>
      <c r="Z672" s="133">
        <v>0</v>
      </c>
      <c r="AA672" s="133"/>
      <c r="AB672" s="133"/>
      <c r="AC672" s="133">
        <f t="shared" si="52"/>
        <v>0</v>
      </c>
      <c r="AD672" s="133"/>
      <c r="AE672" s="136"/>
      <c r="AG672" s="137"/>
    </row>
    <row r="673" spans="1:33" s="14" customFormat="1">
      <c r="A673" s="133">
        <f t="shared" si="56"/>
        <v>601</v>
      </c>
      <c r="B673" s="11" t="s">
        <v>738</v>
      </c>
      <c r="C673" s="133" t="s">
        <v>2112</v>
      </c>
      <c r="D673" s="133" t="s">
        <v>2339</v>
      </c>
      <c r="E673" s="133"/>
      <c r="F673" s="133" t="s">
        <v>63</v>
      </c>
      <c r="G673" s="134" t="s">
        <v>2340</v>
      </c>
      <c r="H673" s="133" t="s">
        <v>246</v>
      </c>
      <c r="I673" s="133" t="s">
        <v>246</v>
      </c>
      <c r="J673" s="136">
        <v>1103</v>
      </c>
      <c r="K673" s="133" t="s">
        <v>42</v>
      </c>
      <c r="L673" s="133">
        <v>250</v>
      </c>
      <c r="M673" s="133"/>
      <c r="N673" s="133" t="s">
        <v>424</v>
      </c>
      <c r="O673" s="133" t="s">
        <v>2341</v>
      </c>
      <c r="P673" s="133">
        <v>2010</v>
      </c>
      <c r="Q673" s="133">
        <v>1</v>
      </c>
      <c r="R673" s="133"/>
      <c r="S673" s="133">
        <v>0</v>
      </c>
      <c r="T673" s="133">
        <v>0</v>
      </c>
      <c r="U673" s="133">
        <v>0</v>
      </c>
      <c r="V673" s="133">
        <v>0</v>
      </c>
      <c r="W673" s="133">
        <v>0</v>
      </c>
      <c r="X673" s="133">
        <v>0</v>
      </c>
      <c r="Y673" s="133"/>
      <c r="Z673" s="133">
        <v>0</v>
      </c>
      <c r="AA673" s="133"/>
      <c r="AB673" s="133"/>
      <c r="AC673" s="133">
        <f t="shared" si="52"/>
        <v>0</v>
      </c>
      <c r="AD673" s="133"/>
      <c r="AE673" s="136"/>
      <c r="AG673" s="137"/>
    </row>
    <row r="674" spans="1:33" s="14" customFormat="1">
      <c r="A674" s="133">
        <f t="shared" si="56"/>
        <v>602</v>
      </c>
      <c r="B674" s="11" t="s">
        <v>738</v>
      </c>
      <c r="C674" s="133" t="s">
        <v>2112</v>
      </c>
      <c r="D674" s="133" t="s">
        <v>2342</v>
      </c>
      <c r="E674" s="133"/>
      <c r="F674" s="133" t="s">
        <v>37</v>
      </c>
      <c r="G674" s="134" t="s">
        <v>2343</v>
      </c>
      <c r="H674" s="133" t="s">
        <v>246</v>
      </c>
      <c r="I674" s="133" t="s">
        <v>246</v>
      </c>
      <c r="J674" s="135" t="s">
        <v>2344</v>
      </c>
      <c r="K674" s="133" t="s">
        <v>42</v>
      </c>
      <c r="L674" s="133">
        <v>250</v>
      </c>
      <c r="M674" s="133"/>
      <c r="N674" s="133" t="s">
        <v>43</v>
      </c>
      <c r="O674" s="133">
        <v>6924</v>
      </c>
      <c r="P674" s="133">
        <v>1998</v>
      </c>
      <c r="Q674" s="133">
        <v>1</v>
      </c>
      <c r="R674" s="133">
        <v>2</v>
      </c>
      <c r="S674" s="133">
        <v>0</v>
      </c>
      <c r="T674" s="133">
        <v>0</v>
      </c>
      <c r="U674" s="133">
        <v>0</v>
      </c>
      <c r="V674" s="133">
        <v>0</v>
      </c>
      <c r="W674" s="133">
        <v>0</v>
      </c>
      <c r="X674" s="133">
        <v>0</v>
      </c>
      <c r="Y674" s="133"/>
      <c r="Z674" s="133">
        <v>0</v>
      </c>
      <c r="AA674" s="133"/>
      <c r="AB674" s="133"/>
      <c r="AC674" s="133">
        <f t="shared" si="52"/>
        <v>0</v>
      </c>
      <c r="AD674" s="133"/>
      <c r="AE674" s="136"/>
      <c r="AG674" s="137"/>
    </row>
    <row r="675" spans="1:33" s="14" customFormat="1">
      <c r="A675" s="133">
        <f t="shared" si="56"/>
        <v>603</v>
      </c>
      <c r="B675" s="11" t="s">
        <v>738</v>
      </c>
      <c r="C675" s="133" t="s">
        <v>2112</v>
      </c>
      <c r="D675" s="133" t="s">
        <v>2345</v>
      </c>
      <c r="E675" s="133"/>
      <c r="F675" s="133" t="s">
        <v>37</v>
      </c>
      <c r="G675" s="134" t="s">
        <v>2346</v>
      </c>
      <c r="H675" s="133" t="s">
        <v>246</v>
      </c>
      <c r="I675" s="133" t="s">
        <v>246</v>
      </c>
      <c r="J675" s="135" t="s">
        <v>2347</v>
      </c>
      <c r="K675" s="133" t="s">
        <v>42</v>
      </c>
      <c r="L675" s="133">
        <v>160</v>
      </c>
      <c r="M675" s="133"/>
      <c r="N675" s="133" t="s">
        <v>43</v>
      </c>
      <c r="O675" s="138" t="s">
        <v>2348</v>
      </c>
      <c r="P675" s="133">
        <v>1984</v>
      </c>
      <c r="Q675" s="133">
        <v>1</v>
      </c>
      <c r="R675" s="133">
        <v>1</v>
      </c>
      <c r="S675" s="133">
        <v>0</v>
      </c>
      <c r="T675" s="133">
        <v>0</v>
      </c>
      <c r="U675" s="133">
        <v>0</v>
      </c>
      <c r="V675" s="133">
        <v>0</v>
      </c>
      <c r="W675" s="133">
        <v>0</v>
      </c>
      <c r="X675" s="133">
        <v>0</v>
      </c>
      <c r="Y675" s="133"/>
      <c r="Z675" s="133">
        <v>0</v>
      </c>
      <c r="AA675" s="133"/>
      <c r="AB675" s="133"/>
      <c r="AC675" s="133">
        <f t="shared" si="52"/>
        <v>0</v>
      </c>
      <c r="AD675" s="133"/>
      <c r="AE675" s="136"/>
      <c r="AG675" s="137"/>
    </row>
    <row r="676" spans="1:33" s="193" customFormat="1">
      <c r="A676" s="133">
        <f t="shared" si="56"/>
        <v>604</v>
      </c>
      <c r="B676" s="191" t="s">
        <v>738</v>
      </c>
      <c r="C676" s="175" t="s">
        <v>2112</v>
      </c>
      <c r="D676" s="175" t="s">
        <v>2349</v>
      </c>
      <c r="E676" s="175"/>
      <c r="F676" s="175" t="s">
        <v>63</v>
      </c>
      <c r="G676" s="187" t="s">
        <v>2350</v>
      </c>
      <c r="H676" s="175" t="s">
        <v>39</v>
      </c>
      <c r="I676" s="175" t="s">
        <v>40</v>
      </c>
      <c r="J676" s="192">
        <v>1098</v>
      </c>
      <c r="K676" s="175" t="s">
        <v>42</v>
      </c>
      <c r="L676" s="175"/>
      <c r="M676" s="175"/>
      <c r="N676" s="175"/>
      <c r="O676" s="175"/>
      <c r="P676" s="175"/>
      <c r="Q676" s="175"/>
      <c r="R676" s="175"/>
      <c r="S676" s="175" t="s">
        <v>88</v>
      </c>
      <c r="T676" s="175" t="s">
        <v>89</v>
      </c>
      <c r="U676" s="175">
        <v>1</v>
      </c>
      <c r="V676" s="175"/>
      <c r="W676" s="175">
        <v>1</v>
      </c>
      <c r="X676" s="175"/>
      <c r="Y676" s="175"/>
      <c r="Z676" s="175"/>
      <c r="AA676" s="175"/>
      <c r="AB676" s="175"/>
      <c r="AC676" s="175">
        <f t="shared" si="52"/>
        <v>2</v>
      </c>
      <c r="AD676" s="175"/>
      <c r="AE676" s="192"/>
      <c r="AG676" s="194"/>
    </row>
    <row r="677" spans="1:33" s="69" customFormat="1">
      <c r="A677" s="169">
        <f t="shared" si="56"/>
        <v>605</v>
      </c>
      <c r="B677" s="64" t="s">
        <v>738</v>
      </c>
      <c r="C677" s="169" t="s">
        <v>2112</v>
      </c>
      <c r="D677" s="169" t="s">
        <v>2351</v>
      </c>
      <c r="E677" s="169"/>
      <c r="F677" s="169" t="s">
        <v>37</v>
      </c>
      <c r="G677" s="170" t="s">
        <v>2352</v>
      </c>
      <c r="H677" s="169" t="s">
        <v>246</v>
      </c>
      <c r="I677" s="169" t="s">
        <v>246</v>
      </c>
      <c r="J677" s="172" t="s">
        <v>2353</v>
      </c>
      <c r="K677" s="169" t="s">
        <v>42</v>
      </c>
      <c r="L677" s="169">
        <v>250</v>
      </c>
      <c r="M677" s="169"/>
      <c r="N677" s="169" t="s">
        <v>59</v>
      </c>
      <c r="O677" s="169">
        <v>253305251</v>
      </c>
      <c r="P677" s="169">
        <v>2025</v>
      </c>
      <c r="Q677" s="169" t="s">
        <v>96</v>
      </c>
      <c r="R677" s="169"/>
      <c r="S677" s="169"/>
      <c r="T677" s="169"/>
      <c r="U677" s="169"/>
      <c r="V677" s="169"/>
      <c r="W677" s="169"/>
      <c r="X677" s="169"/>
      <c r="Y677" s="169"/>
      <c r="Z677" s="169"/>
      <c r="AA677" s="169"/>
      <c r="AB677" s="169"/>
      <c r="AC677" s="169"/>
      <c r="AD677" s="169"/>
      <c r="AE677" s="172" t="s">
        <v>2354</v>
      </c>
      <c r="AG677" s="173"/>
    </row>
    <row r="678" spans="1:33" s="14" customFormat="1">
      <c r="A678" s="133">
        <f t="shared" si="56"/>
        <v>606</v>
      </c>
      <c r="B678" s="11" t="s">
        <v>738</v>
      </c>
      <c r="C678" s="133" t="s">
        <v>2112</v>
      </c>
      <c r="D678" s="133" t="s">
        <v>2355</v>
      </c>
      <c r="E678" s="133"/>
      <c r="F678" s="133" t="s">
        <v>37</v>
      </c>
      <c r="G678" s="134" t="s">
        <v>2356</v>
      </c>
      <c r="H678" s="133" t="s">
        <v>741</v>
      </c>
      <c r="I678" s="133" t="s">
        <v>741</v>
      </c>
      <c r="J678" s="135" t="s">
        <v>2357</v>
      </c>
      <c r="K678" s="133" t="s">
        <v>42</v>
      </c>
      <c r="L678" s="133">
        <v>100</v>
      </c>
      <c r="M678" s="133"/>
      <c r="N678" s="133" t="s">
        <v>43</v>
      </c>
      <c r="O678" s="133"/>
      <c r="P678" s="133"/>
      <c r="Q678" s="133">
        <v>1</v>
      </c>
      <c r="R678" s="133">
        <v>2</v>
      </c>
      <c r="S678" s="133">
        <v>0</v>
      </c>
      <c r="T678" s="133">
        <v>0</v>
      </c>
      <c r="U678" s="133">
        <v>0</v>
      </c>
      <c r="V678" s="133">
        <v>0</v>
      </c>
      <c r="W678" s="133">
        <v>0</v>
      </c>
      <c r="X678" s="133">
        <v>0</v>
      </c>
      <c r="Y678" s="133"/>
      <c r="Z678" s="133">
        <v>0</v>
      </c>
      <c r="AA678" s="133"/>
      <c r="AB678" s="133"/>
      <c r="AC678" s="133">
        <f t="shared" si="52"/>
        <v>0</v>
      </c>
      <c r="AD678" s="133"/>
      <c r="AE678" s="136"/>
      <c r="AG678" s="137"/>
    </row>
    <row r="679" spans="1:33" s="14" customFormat="1">
      <c r="A679" s="133">
        <f t="shared" si="56"/>
        <v>607</v>
      </c>
      <c r="B679" s="11" t="s">
        <v>738</v>
      </c>
      <c r="C679" s="133" t="s">
        <v>2112</v>
      </c>
      <c r="D679" s="133" t="s">
        <v>2358</v>
      </c>
      <c r="E679" s="133"/>
      <c r="F679" s="133" t="s">
        <v>63</v>
      </c>
      <c r="G679" s="134" t="s">
        <v>2359</v>
      </c>
      <c r="H679" s="133" t="s">
        <v>246</v>
      </c>
      <c r="I679" s="133" t="s">
        <v>246</v>
      </c>
      <c r="J679" s="135" t="s">
        <v>2360</v>
      </c>
      <c r="K679" s="133" t="s">
        <v>42</v>
      </c>
      <c r="L679" s="133">
        <v>160</v>
      </c>
      <c r="M679" s="133">
        <v>160</v>
      </c>
      <c r="N679" s="133" t="s">
        <v>2361</v>
      </c>
      <c r="O679" s="133" t="s">
        <v>2362</v>
      </c>
      <c r="P679" s="133">
        <v>2015</v>
      </c>
      <c r="Q679" s="133">
        <v>1</v>
      </c>
      <c r="R679" s="133"/>
      <c r="S679" s="133">
        <v>0</v>
      </c>
      <c r="T679" s="133" t="s">
        <v>2192</v>
      </c>
      <c r="U679" s="133">
        <v>0</v>
      </c>
      <c r="V679" s="133">
        <v>0</v>
      </c>
      <c r="W679" s="133">
        <v>0</v>
      </c>
      <c r="X679" s="133">
        <v>0</v>
      </c>
      <c r="Y679" s="133"/>
      <c r="Z679" s="133">
        <v>0</v>
      </c>
      <c r="AA679" s="133"/>
      <c r="AB679" s="133"/>
      <c r="AC679" s="133">
        <f t="shared" si="52"/>
        <v>0</v>
      </c>
      <c r="AD679" s="133"/>
      <c r="AE679" s="136"/>
      <c r="AG679" s="137"/>
    </row>
    <row r="680" spans="1:33" s="14" customFormat="1">
      <c r="A680" s="133">
        <f t="shared" si="56"/>
        <v>608</v>
      </c>
      <c r="B680" s="11" t="s">
        <v>738</v>
      </c>
      <c r="C680" s="133" t="s">
        <v>2112</v>
      </c>
      <c r="D680" s="133" t="s">
        <v>2363</v>
      </c>
      <c r="E680" s="133"/>
      <c r="F680" s="133" t="s">
        <v>37</v>
      </c>
      <c r="G680" s="134" t="s">
        <v>2364</v>
      </c>
      <c r="H680" s="133" t="s">
        <v>246</v>
      </c>
      <c r="I680" s="133" t="s">
        <v>246</v>
      </c>
      <c r="J680" s="135" t="s">
        <v>2365</v>
      </c>
      <c r="K680" s="133" t="s">
        <v>42</v>
      </c>
      <c r="L680" s="133">
        <v>160</v>
      </c>
      <c r="M680" s="133"/>
      <c r="N680" s="133" t="s">
        <v>93</v>
      </c>
      <c r="O680" s="133" t="s">
        <v>2366</v>
      </c>
      <c r="P680" s="133">
        <v>1985</v>
      </c>
      <c r="Q680" s="133">
        <v>1</v>
      </c>
      <c r="R680" s="133">
        <f>IF(H680="CANTOL",2,4)</f>
        <v>4</v>
      </c>
      <c r="S680" s="133">
        <v>0</v>
      </c>
      <c r="T680" s="133" t="s">
        <v>2192</v>
      </c>
      <c r="U680" s="133">
        <v>0</v>
      </c>
      <c r="V680" s="133">
        <v>0</v>
      </c>
      <c r="W680" s="133">
        <v>0</v>
      </c>
      <c r="X680" s="133">
        <v>0</v>
      </c>
      <c r="Y680" s="133"/>
      <c r="Z680" s="133">
        <v>0</v>
      </c>
      <c r="AA680" s="133"/>
      <c r="AB680" s="133"/>
      <c r="AC680" s="133">
        <f t="shared" si="52"/>
        <v>0</v>
      </c>
      <c r="AD680" s="133"/>
      <c r="AE680" s="136"/>
      <c r="AG680" s="137"/>
    </row>
    <row r="681" spans="1:33" s="14" customFormat="1">
      <c r="A681" s="133">
        <f t="shared" si="56"/>
        <v>609</v>
      </c>
      <c r="B681" s="11" t="s">
        <v>738</v>
      </c>
      <c r="C681" s="133" t="s">
        <v>2112</v>
      </c>
      <c r="D681" s="133" t="s">
        <v>2367</v>
      </c>
      <c r="E681" s="133"/>
      <c r="F681" s="133" t="s">
        <v>63</v>
      </c>
      <c r="G681" s="134" t="s">
        <v>2368</v>
      </c>
      <c r="H681" s="133" t="s">
        <v>246</v>
      </c>
      <c r="I681" s="133" t="s">
        <v>246</v>
      </c>
      <c r="J681" s="135" t="s">
        <v>2369</v>
      </c>
      <c r="K681" s="133" t="s">
        <v>42</v>
      </c>
      <c r="L681" s="133">
        <v>100</v>
      </c>
      <c r="M681" s="133"/>
      <c r="N681" s="133" t="s">
        <v>424</v>
      </c>
      <c r="O681" s="133" t="s">
        <v>2370</v>
      </c>
      <c r="P681" s="133">
        <v>2010</v>
      </c>
      <c r="Q681" s="133">
        <v>1</v>
      </c>
      <c r="R681" s="133"/>
      <c r="S681" s="133"/>
      <c r="T681" s="133"/>
      <c r="U681" s="133"/>
      <c r="V681" s="133"/>
      <c r="W681" s="133"/>
      <c r="X681" s="133"/>
      <c r="Y681" s="133"/>
      <c r="Z681" s="133"/>
      <c r="AA681" s="133"/>
      <c r="AB681" s="133"/>
      <c r="AC681" s="133">
        <f t="shared" si="52"/>
        <v>0</v>
      </c>
      <c r="AD681" s="133"/>
      <c r="AE681" s="136"/>
      <c r="AG681" s="137"/>
    </row>
    <row r="682" spans="1:33" s="14" customFormat="1">
      <c r="A682" s="133">
        <f t="shared" si="56"/>
        <v>610</v>
      </c>
      <c r="B682" s="11" t="s">
        <v>738</v>
      </c>
      <c r="C682" s="133" t="s">
        <v>2112</v>
      </c>
      <c r="D682" s="133" t="s">
        <v>2371</v>
      </c>
      <c r="E682" s="133"/>
      <c r="F682" s="133" t="s">
        <v>37</v>
      </c>
      <c r="G682" s="134" t="s">
        <v>2364</v>
      </c>
      <c r="H682" s="133" t="s">
        <v>246</v>
      </c>
      <c r="I682" s="133" t="s">
        <v>246</v>
      </c>
      <c r="J682" s="135" t="s">
        <v>2372</v>
      </c>
      <c r="K682" s="133" t="s">
        <v>42</v>
      </c>
      <c r="L682" s="133">
        <v>250</v>
      </c>
      <c r="M682" s="133"/>
      <c r="N682" s="133" t="s">
        <v>863</v>
      </c>
      <c r="O682" s="133" t="s">
        <v>2373</v>
      </c>
      <c r="P682" s="133" t="s">
        <v>95</v>
      </c>
      <c r="Q682" s="133">
        <v>1</v>
      </c>
      <c r="R682" s="133">
        <v>2</v>
      </c>
      <c r="S682" s="133"/>
      <c r="T682" s="133"/>
      <c r="U682" s="133"/>
      <c r="V682" s="133"/>
      <c r="W682" s="133"/>
      <c r="X682" s="133"/>
      <c r="Y682" s="133"/>
      <c r="Z682" s="133"/>
      <c r="AA682" s="133"/>
      <c r="AB682" s="133"/>
      <c r="AC682" s="133">
        <f t="shared" si="52"/>
        <v>0</v>
      </c>
      <c r="AD682" s="133"/>
      <c r="AE682" s="136"/>
      <c r="AG682" s="137"/>
    </row>
    <row r="683" spans="1:33" s="14" customFormat="1">
      <c r="A683" s="133">
        <f>A681+1</f>
        <v>610</v>
      </c>
      <c r="B683" s="11" t="s">
        <v>738</v>
      </c>
      <c r="C683" s="133" t="s">
        <v>2112</v>
      </c>
      <c r="D683" s="133" t="s">
        <v>2374</v>
      </c>
      <c r="E683" s="133"/>
      <c r="F683" s="133" t="s">
        <v>37</v>
      </c>
      <c r="G683" s="134" t="s">
        <v>2375</v>
      </c>
      <c r="H683" s="133" t="s">
        <v>246</v>
      </c>
      <c r="I683" s="133" t="s">
        <v>246</v>
      </c>
      <c r="J683" s="133"/>
      <c r="K683" s="133" t="s">
        <v>42</v>
      </c>
      <c r="L683" s="133">
        <v>250</v>
      </c>
      <c r="M683" s="133"/>
      <c r="N683" s="133"/>
      <c r="O683" s="133"/>
      <c r="P683" s="133"/>
      <c r="Q683" s="133">
        <v>1</v>
      </c>
      <c r="R683" s="133">
        <f t="shared" ref="R683:R685" si="58">IF(H683="CANTOL",2,4)</f>
        <v>4</v>
      </c>
      <c r="S683" s="133"/>
      <c r="T683" s="133"/>
      <c r="U683" s="133"/>
      <c r="V683" s="133"/>
      <c r="W683" s="133"/>
      <c r="X683" s="133"/>
      <c r="Y683" s="133"/>
      <c r="Z683" s="133"/>
      <c r="AA683" s="133"/>
      <c r="AB683" s="133"/>
      <c r="AC683" s="133">
        <f t="shared" ref="AC683" si="59">SUM(U683:AB683)</f>
        <v>0</v>
      </c>
      <c r="AD683" s="133"/>
      <c r="AE683" s="136"/>
      <c r="AG683" s="137"/>
    </row>
    <row r="684" spans="1:33" s="14" customFormat="1">
      <c r="A684" s="133">
        <f>A682+1</f>
        <v>611</v>
      </c>
      <c r="B684" s="11" t="s">
        <v>738</v>
      </c>
      <c r="C684" s="133" t="s">
        <v>2112</v>
      </c>
      <c r="D684" s="133" t="s">
        <v>2376</v>
      </c>
      <c r="E684" s="133"/>
      <c r="F684" s="133" t="s">
        <v>37</v>
      </c>
      <c r="G684" s="134" t="s">
        <v>2364</v>
      </c>
      <c r="H684" s="133" t="s">
        <v>246</v>
      </c>
      <c r="I684" s="133" t="s">
        <v>246</v>
      </c>
      <c r="J684" s="133">
        <v>1097</v>
      </c>
      <c r="K684" s="133" t="s">
        <v>42</v>
      </c>
      <c r="L684" s="133">
        <v>250</v>
      </c>
      <c r="M684" s="133"/>
      <c r="N684" s="133" t="s">
        <v>863</v>
      </c>
      <c r="O684" s="133" t="s">
        <v>2319</v>
      </c>
      <c r="P684" s="133">
        <v>2013</v>
      </c>
      <c r="Q684" s="133">
        <v>1</v>
      </c>
      <c r="R684" s="133">
        <f t="shared" si="58"/>
        <v>4</v>
      </c>
      <c r="S684" s="133"/>
      <c r="T684" s="133"/>
      <c r="U684" s="133"/>
      <c r="V684" s="133"/>
      <c r="W684" s="133"/>
      <c r="X684" s="133"/>
      <c r="Y684" s="133"/>
      <c r="Z684" s="133"/>
      <c r="AA684" s="133"/>
      <c r="AB684" s="133"/>
      <c r="AC684" s="133">
        <f t="shared" si="52"/>
        <v>0</v>
      </c>
      <c r="AD684" s="133"/>
      <c r="AE684" s="136"/>
      <c r="AG684" s="137"/>
    </row>
    <row r="685" spans="1:33" s="14" customFormat="1">
      <c r="A685" s="133">
        <f t="shared" si="56"/>
        <v>612</v>
      </c>
      <c r="B685" s="11" t="s">
        <v>738</v>
      </c>
      <c r="C685" s="133" t="s">
        <v>2112</v>
      </c>
      <c r="D685" s="133" t="s">
        <v>2377</v>
      </c>
      <c r="E685" s="133"/>
      <c r="F685" s="133" t="s">
        <v>37</v>
      </c>
      <c r="G685" s="134" t="s">
        <v>2326</v>
      </c>
      <c r="H685" s="133" t="s">
        <v>246</v>
      </c>
      <c r="I685" s="133" t="s">
        <v>246</v>
      </c>
      <c r="J685" s="133" t="s">
        <v>2378</v>
      </c>
      <c r="K685" s="133" t="s">
        <v>42</v>
      </c>
      <c r="L685" s="133">
        <v>160</v>
      </c>
      <c r="M685" s="133"/>
      <c r="N685" s="133" t="s">
        <v>780</v>
      </c>
      <c r="O685" s="133" t="s">
        <v>2379</v>
      </c>
      <c r="P685" s="133">
        <v>1981</v>
      </c>
      <c r="Q685" s="133">
        <v>1</v>
      </c>
      <c r="R685" s="133">
        <f t="shared" si="58"/>
        <v>4</v>
      </c>
      <c r="S685" s="133">
        <v>0</v>
      </c>
      <c r="T685" s="133">
        <v>0</v>
      </c>
      <c r="U685" s="133">
        <v>0</v>
      </c>
      <c r="V685" s="133">
        <v>0</v>
      </c>
      <c r="W685" s="133">
        <v>0</v>
      </c>
      <c r="X685" s="133">
        <v>0</v>
      </c>
      <c r="Y685" s="133"/>
      <c r="Z685" s="133">
        <v>0</v>
      </c>
      <c r="AA685" s="133"/>
      <c r="AB685" s="133"/>
      <c r="AC685" s="133">
        <f t="shared" si="52"/>
        <v>0</v>
      </c>
      <c r="AD685" s="133"/>
      <c r="AE685" s="136"/>
      <c r="AG685" s="137"/>
    </row>
    <row r="686" spans="1:33" s="14" customFormat="1">
      <c r="A686" s="133">
        <f t="shared" si="56"/>
        <v>613</v>
      </c>
      <c r="B686" s="11" t="s">
        <v>738</v>
      </c>
      <c r="C686" s="133" t="s">
        <v>2112</v>
      </c>
      <c r="D686" s="133" t="s">
        <v>2380</v>
      </c>
      <c r="E686" s="133"/>
      <c r="F686" s="133" t="s">
        <v>37</v>
      </c>
      <c r="G686" s="134" t="s">
        <v>2381</v>
      </c>
      <c r="H686" s="133" t="s">
        <v>246</v>
      </c>
      <c r="I686" s="133" t="s">
        <v>246</v>
      </c>
      <c r="J686" s="133"/>
      <c r="K686" s="133" t="s">
        <v>42</v>
      </c>
      <c r="L686" s="133">
        <v>160</v>
      </c>
      <c r="M686" s="133"/>
      <c r="N686" s="133" t="s">
        <v>641</v>
      </c>
      <c r="O686" s="133" t="s">
        <v>2382</v>
      </c>
      <c r="P686" s="133" t="s">
        <v>2383</v>
      </c>
      <c r="Q686" s="133" t="s">
        <v>96</v>
      </c>
      <c r="R686" s="133">
        <v>2</v>
      </c>
      <c r="S686" s="133"/>
      <c r="T686" s="133"/>
      <c r="U686" s="133"/>
      <c r="V686" s="133"/>
      <c r="W686" s="133"/>
      <c r="X686" s="133"/>
      <c r="Y686" s="133"/>
      <c r="Z686" s="133"/>
      <c r="AA686" s="133"/>
      <c r="AB686" s="133"/>
      <c r="AC686" s="133"/>
      <c r="AD686" s="133"/>
      <c r="AE686" s="136"/>
      <c r="AG686" s="137"/>
    </row>
    <row r="687" spans="1:33" s="14" customFormat="1">
      <c r="A687" s="133">
        <f t="shared" si="56"/>
        <v>614</v>
      </c>
      <c r="B687" s="11" t="s">
        <v>738</v>
      </c>
      <c r="C687" s="133" t="s">
        <v>2112</v>
      </c>
      <c r="D687" s="133" t="s">
        <v>2384</v>
      </c>
      <c r="E687" s="133"/>
      <c r="F687" s="133" t="s">
        <v>63</v>
      </c>
      <c r="G687" s="134" t="s">
        <v>2385</v>
      </c>
      <c r="H687" s="133" t="s">
        <v>246</v>
      </c>
      <c r="I687" s="133" t="s">
        <v>246</v>
      </c>
      <c r="J687" s="136">
        <v>1014</v>
      </c>
      <c r="K687" s="133" t="s">
        <v>42</v>
      </c>
      <c r="L687" s="133">
        <v>250</v>
      </c>
      <c r="M687" s="133"/>
      <c r="N687" s="133" t="s">
        <v>59</v>
      </c>
      <c r="O687" s="133" t="s">
        <v>2386</v>
      </c>
      <c r="P687" s="133" t="s">
        <v>444</v>
      </c>
      <c r="Q687" s="133">
        <v>1</v>
      </c>
      <c r="R687" s="133"/>
      <c r="S687" s="133">
        <v>0</v>
      </c>
      <c r="T687" s="133">
        <v>0</v>
      </c>
      <c r="U687" s="133">
        <v>0</v>
      </c>
      <c r="V687" s="133">
        <v>0</v>
      </c>
      <c r="W687" s="133">
        <v>0</v>
      </c>
      <c r="X687" s="133">
        <v>0</v>
      </c>
      <c r="Y687" s="133"/>
      <c r="Z687" s="133">
        <v>0</v>
      </c>
      <c r="AA687" s="133"/>
      <c r="AB687" s="133"/>
      <c r="AC687" s="133">
        <f t="shared" si="52"/>
        <v>0</v>
      </c>
      <c r="AD687" s="133"/>
      <c r="AE687" s="136"/>
      <c r="AG687" s="137"/>
    </row>
    <row r="688" spans="1:33" s="14" customFormat="1">
      <c r="A688" s="133">
        <f t="shared" si="56"/>
        <v>615</v>
      </c>
      <c r="B688" s="11" t="s">
        <v>738</v>
      </c>
      <c r="C688" s="133" t="s">
        <v>2112</v>
      </c>
      <c r="D688" s="133" t="s">
        <v>2387</v>
      </c>
      <c r="E688" s="133"/>
      <c r="F688" s="133" t="s">
        <v>37</v>
      </c>
      <c r="G688" s="134" t="s">
        <v>2388</v>
      </c>
      <c r="H688" s="133" t="s">
        <v>246</v>
      </c>
      <c r="I688" s="133" t="s">
        <v>246</v>
      </c>
      <c r="J688" s="133">
        <v>1100</v>
      </c>
      <c r="K688" s="133" t="s">
        <v>42</v>
      </c>
      <c r="L688" s="133">
        <v>250</v>
      </c>
      <c r="M688" s="133"/>
      <c r="N688" s="133" t="s">
        <v>424</v>
      </c>
      <c r="O688" s="133" t="s">
        <v>2389</v>
      </c>
      <c r="P688" s="133">
        <v>2012</v>
      </c>
      <c r="Q688" s="133">
        <v>1</v>
      </c>
      <c r="R688" s="133">
        <f>IF(H688="CANTOL",2,4)</f>
        <v>4</v>
      </c>
      <c r="S688" s="133"/>
      <c r="T688" s="133"/>
      <c r="U688" s="133"/>
      <c r="V688" s="133"/>
      <c r="W688" s="133"/>
      <c r="X688" s="133"/>
      <c r="Y688" s="133"/>
      <c r="Z688" s="133"/>
      <c r="AA688" s="133"/>
      <c r="AB688" s="133"/>
      <c r="AC688" s="133">
        <f t="shared" si="52"/>
        <v>0</v>
      </c>
      <c r="AD688" s="133"/>
      <c r="AE688" s="136"/>
      <c r="AG688" s="137"/>
    </row>
    <row r="689" spans="1:33" s="14" customFormat="1">
      <c r="A689" s="133">
        <f t="shared" si="56"/>
        <v>616</v>
      </c>
      <c r="B689" s="11" t="s">
        <v>738</v>
      </c>
      <c r="C689" s="133" t="s">
        <v>2112</v>
      </c>
      <c r="D689" s="133" t="s">
        <v>2390</v>
      </c>
      <c r="E689" s="133"/>
      <c r="F689" s="133" t="s">
        <v>63</v>
      </c>
      <c r="G689" s="134" t="s">
        <v>2391</v>
      </c>
      <c r="H689" s="133" t="s">
        <v>246</v>
      </c>
      <c r="I689" s="133" t="s">
        <v>246</v>
      </c>
      <c r="J689" s="136">
        <v>1058</v>
      </c>
      <c r="K689" s="133" t="s">
        <v>42</v>
      </c>
      <c r="L689" s="133">
        <v>250</v>
      </c>
      <c r="M689" s="133"/>
      <c r="N689" s="133" t="s">
        <v>82</v>
      </c>
      <c r="O689" s="133" t="s">
        <v>2392</v>
      </c>
      <c r="P689" s="133" t="s">
        <v>1391</v>
      </c>
      <c r="Q689" s="133">
        <v>1</v>
      </c>
      <c r="R689" s="133"/>
      <c r="S689" s="133"/>
      <c r="T689" s="133"/>
      <c r="U689" s="133"/>
      <c r="V689" s="133"/>
      <c r="W689" s="133"/>
      <c r="X689" s="133"/>
      <c r="Y689" s="133"/>
      <c r="Z689" s="133"/>
      <c r="AA689" s="133"/>
      <c r="AB689" s="133"/>
      <c r="AC689" s="133">
        <f t="shared" si="52"/>
        <v>0</v>
      </c>
      <c r="AD689" s="133"/>
      <c r="AE689" s="136"/>
      <c r="AG689" s="137"/>
    </row>
    <row r="690" spans="1:33" s="99" customFormat="1">
      <c r="A690" s="130">
        <f t="shared" si="56"/>
        <v>617</v>
      </c>
      <c r="B690" s="96" t="s">
        <v>2393</v>
      </c>
      <c r="C690" s="130" t="s">
        <v>2394</v>
      </c>
      <c r="D690" s="130" t="s">
        <v>2395</v>
      </c>
      <c r="E690" s="130"/>
      <c r="F690" s="130" t="s">
        <v>37</v>
      </c>
      <c r="G690" s="139" t="s">
        <v>2396</v>
      </c>
      <c r="H690" s="130" t="s">
        <v>246</v>
      </c>
      <c r="I690" s="130" t="s">
        <v>246</v>
      </c>
      <c r="J690" s="131" t="s">
        <v>2397</v>
      </c>
      <c r="K690" s="130" t="s">
        <v>175</v>
      </c>
      <c r="L690" s="130">
        <v>250</v>
      </c>
      <c r="M690" s="130"/>
      <c r="N690" s="130" t="s">
        <v>2398</v>
      </c>
      <c r="O690" s="130">
        <v>250090027</v>
      </c>
      <c r="P690" s="130">
        <v>2025</v>
      </c>
      <c r="Q690" s="130">
        <v>1</v>
      </c>
      <c r="R690" s="130"/>
      <c r="S690" s="130"/>
      <c r="T690" s="130"/>
      <c r="U690" s="130"/>
      <c r="V690" s="130"/>
      <c r="W690" s="130"/>
      <c r="X690" s="130"/>
      <c r="Y690" s="130"/>
      <c r="Z690" s="130"/>
      <c r="AA690" s="130"/>
      <c r="AB690" s="130"/>
      <c r="AC690" s="130">
        <f t="shared" ref="AC690" si="60">SUM(U690:AB690)</f>
        <v>0</v>
      </c>
      <c r="AD690" s="130"/>
      <c r="AE690" s="131"/>
      <c r="AG690" s="132"/>
    </row>
    <row r="691" spans="1:33" s="14" customFormat="1">
      <c r="A691" s="133">
        <f t="shared" si="56"/>
        <v>618</v>
      </c>
      <c r="B691" s="11" t="s">
        <v>738</v>
      </c>
      <c r="C691" s="133" t="s">
        <v>2399</v>
      </c>
      <c r="D691" s="133" t="s">
        <v>2400</v>
      </c>
      <c r="E691" s="133"/>
      <c r="F691" s="133" t="s">
        <v>37</v>
      </c>
      <c r="G691" s="134" t="s">
        <v>2401</v>
      </c>
      <c r="H691" s="133" t="s">
        <v>246</v>
      </c>
      <c r="I691" s="133" t="s">
        <v>246</v>
      </c>
      <c r="J691" s="135" t="s">
        <v>2402</v>
      </c>
      <c r="K691" s="133" t="s">
        <v>42</v>
      </c>
      <c r="L691" s="133">
        <v>250</v>
      </c>
      <c r="M691" s="133"/>
      <c r="N691" s="133" t="s">
        <v>2403</v>
      </c>
      <c r="O691" s="133">
        <v>320741</v>
      </c>
      <c r="P691" s="133">
        <v>2003</v>
      </c>
      <c r="Q691" s="133">
        <v>1</v>
      </c>
      <c r="R691" s="133">
        <v>3</v>
      </c>
      <c r="S691" s="133">
        <v>0</v>
      </c>
      <c r="T691" s="133">
        <v>0</v>
      </c>
      <c r="U691" s="133">
        <v>0</v>
      </c>
      <c r="V691" s="133">
        <v>0</v>
      </c>
      <c r="W691" s="133">
        <v>0</v>
      </c>
      <c r="X691" s="133">
        <v>0</v>
      </c>
      <c r="Y691" s="133"/>
      <c r="Z691" s="133">
        <v>0</v>
      </c>
      <c r="AA691" s="133"/>
      <c r="AB691" s="133"/>
      <c r="AC691" s="133">
        <f t="shared" si="52"/>
        <v>0</v>
      </c>
      <c r="AD691" s="133"/>
      <c r="AE691" s="136"/>
      <c r="AG691" s="137"/>
    </row>
    <row r="692" spans="1:33" s="14" customFormat="1">
      <c r="A692" s="133">
        <f t="shared" si="56"/>
        <v>619</v>
      </c>
      <c r="B692" s="11" t="s">
        <v>738</v>
      </c>
      <c r="C692" s="133" t="s">
        <v>2399</v>
      </c>
      <c r="D692" s="133" t="s">
        <v>2404</v>
      </c>
      <c r="E692" s="133"/>
      <c r="F692" s="133" t="s">
        <v>37</v>
      </c>
      <c r="G692" s="134" t="s">
        <v>2401</v>
      </c>
      <c r="H692" s="133" t="s">
        <v>246</v>
      </c>
      <c r="I692" s="133" t="s">
        <v>246</v>
      </c>
      <c r="J692" s="135" t="s">
        <v>2405</v>
      </c>
      <c r="K692" s="133" t="s">
        <v>42</v>
      </c>
      <c r="L692" s="133">
        <v>250</v>
      </c>
      <c r="M692" s="133"/>
      <c r="N692" s="133" t="s">
        <v>424</v>
      </c>
      <c r="O692" s="133">
        <v>6012090</v>
      </c>
      <c r="P692" s="133">
        <v>2006</v>
      </c>
      <c r="Q692" s="133">
        <v>1</v>
      </c>
      <c r="R692" s="133">
        <v>4</v>
      </c>
      <c r="S692" s="133">
        <v>0</v>
      </c>
      <c r="T692" s="133">
        <v>0</v>
      </c>
      <c r="U692" s="133">
        <v>0</v>
      </c>
      <c r="V692" s="133">
        <v>0</v>
      </c>
      <c r="W692" s="133">
        <v>0</v>
      </c>
      <c r="X692" s="133">
        <v>0</v>
      </c>
      <c r="Y692" s="133"/>
      <c r="Z692" s="133">
        <v>0</v>
      </c>
      <c r="AA692" s="133"/>
      <c r="AB692" s="133"/>
      <c r="AC692" s="133">
        <f t="shared" si="52"/>
        <v>0</v>
      </c>
      <c r="AD692" s="133"/>
      <c r="AE692" s="136"/>
      <c r="AG692" s="137"/>
    </row>
    <row r="693" spans="1:33" s="14" customFormat="1">
      <c r="A693" s="133">
        <f t="shared" si="56"/>
        <v>620</v>
      </c>
      <c r="B693" s="11" t="s">
        <v>738</v>
      </c>
      <c r="C693" s="133" t="s">
        <v>2399</v>
      </c>
      <c r="D693" s="133" t="s">
        <v>2406</v>
      </c>
      <c r="E693" s="133"/>
      <c r="F693" s="133" t="s">
        <v>37</v>
      </c>
      <c r="G693" s="134" t="s">
        <v>2407</v>
      </c>
      <c r="H693" s="133" t="s">
        <v>246</v>
      </c>
      <c r="I693" s="133" t="s">
        <v>246</v>
      </c>
      <c r="J693" s="135" t="s">
        <v>2408</v>
      </c>
      <c r="K693" s="133" t="s">
        <v>42</v>
      </c>
      <c r="L693" s="133">
        <v>200</v>
      </c>
      <c r="M693" s="133"/>
      <c r="N693" s="133" t="s">
        <v>424</v>
      </c>
      <c r="O693" s="133" t="s">
        <v>2409</v>
      </c>
      <c r="P693" s="133">
        <v>2008</v>
      </c>
      <c r="Q693" s="133">
        <v>1</v>
      </c>
      <c r="R693" s="133">
        <v>2</v>
      </c>
      <c r="S693" s="133">
        <v>0</v>
      </c>
      <c r="T693" s="133">
        <v>0</v>
      </c>
      <c r="U693" s="133">
        <v>0</v>
      </c>
      <c r="V693" s="133">
        <v>0</v>
      </c>
      <c r="W693" s="133">
        <v>0</v>
      </c>
      <c r="X693" s="133">
        <v>0</v>
      </c>
      <c r="Y693" s="133"/>
      <c r="Z693" s="133">
        <v>0</v>
      </c>
      <c r="AA693" s="133"/>
      <c r="AB693" s="133"/>
      <c r="AC693" s="133">
        <f t="shared" si="52"/>
        <v>0</v>
      </c>
      <c r="AD693" s="133"/>
      <c r="AE693" s="136"/>
      <c r="AG693" s="137"/>
    </row>
    <row r="694" spans="1:33" s="14" customFormat="1">
      <c r="A694" s="133">
        <f t="shared" si="56"/>
        <v>621</v>
      </c>
      <c r="B694" s="11" t="s">
        <v>738</v>
      </c>
      <c r="C694" s="133" t="s">
        <v>2399</v>
      </c>
      <c r="D694" s="133" t="s">
        <v>2410</v>
      </c>
      <c r="E694" s="133"/>
      <c r="F694" s="133" t="s">
        <v>37</v>
      </c>
      <c r="G694" s="134" t="s">
        <v>2411</v>
      </c>
      <c r="H694" s="133" t="s">
        <v>246</v>
      </c>
      <c r="I694" s="133" t="s">
        <v>246</v>
      </c>
      <c r="J694" s="133" t="s">
        <v>2412</v>
      </c>
      <c r="K694" s="133" t="s">
        <v>42</v>
      </c>
      <c r="L694" s="133">
        <v>250</v>
      </c>
      <c r="M694" s="133"/>
      <c r="N694" s="133" t="s">
        <v>59</v>
      </c>
      <c r="O694" s="133"/>
      <c r="P694" s="133" t="s">
        <v>405</v>
      </c>
      <c r="Q694" s="133"/>
      <c r="R694" s="133">
        <f>IF(H694="CANTOL",2,4)</f>
        <v>4</v>
      </c>
      <c r="S694" s="133"/>
      <c r="T694" s="133"/>
      <c r="U694" s="133"/>
      <c r="V694" s="133"/>
      <c r="W694" s="133"/>
      <c r="X694" s="133"/>
      <c r="Y694" s="133"/>
      <c r="Z694" s="133"/>
      <c r="AA694" s="133"/>
      <c r="AB694" s="133"/>
      <c r="AC694" s="133"/>
      <c r="AD694" s="133"/>
      <c r="AE694" s="136"/>
      <c r="AG694" s="137"/>
    </row>
    <row r="695" spans="1:33" s="14" customFormat="1">
      <c r="A695" s="133">
        <f t="shared" si="56"/>
        <v>622</v>
      </c>
      <c r="B695" s="11" t="s">
        <v>738</v>
      </c>
      <c r="C695" s="133" t="s">
        <v>2399</v>
      </c>
      <c r="D695" s="133" t="s">
        <v>2413</v>
      </c>
      <c r="E695" s="133"/>
      <c r="F695" s="133" t="s">
        <v>37</v>
      </c>
      <c r="G695" s="134" t="s">
        <v>2414</v>
      </c>
      <c r="H695" s="133" t="s">
        <v>246</v>
      </c>
      <c r="I695" s="133" t="s">
        <v>246</v>
      </c>
      <c r="J695" s="133" t="s">
        <v>2415</v>
      </c>
      <c r="K695" s="133" t="s">
        <v>42</v>
      </c>
      <c r="L695" s="133">
        <v>100</v>
      </c>
      <c r="M695" s="133"/>
      <c r="N695" s="133" t="s">
        <v>59</v>
      </c>
      <c r="O695" s="133" t="s">
        <v>2416</v>
      </c>
      <c r="P695" s="133" t="s">
        <v>95</v>
      </c>
      <c r="Q695" s="133" t="s">
        <v>96</v>
      </c>
      <c r="R695" s="133">
        <v>2</v>
      </c>
      <c r="S695" s="133"/>
      <c r="T695" s="133"/>
      <c r="U695" s="133"/>
      <c r="V695" s="133"/>
      <c r="W695" s="133"/>
      <c r="X695" s="133"/>
      <c r="Y695" s="133"/>
      <c r="Z695" s="133"/>
      <c r="AA695" s="133"/>
      <c r="AB695" s="133"/>
      <c r="AC695" s="133"/>
      <c r="AD695" s="133"/>
      <c r="AE695" s="136" t="s">
        <v>2417</v>
      </c>
      <c r="AG695" s="137"/>
    </row>
    <row r="696" spans="1:33" s="14" customFormat="1">
      <c r="A696" s="133">
        <f t="shared" si="56"/>
        <v>623</v>
      </c>
      <c r="B696" s="11" t="s">
        <v>738</v>
      </c>
      <c r="C696" s="133" t="s">
        <v>2399</v>
      </c>
      <c r="D696" s="133" t="s">
        <v>2418</v>
      </c>
      <c r="E696" s="133"/>
      <c r="F696" s="133" t="s">
        <v>37</v>
      </c>
      <c r="G696" s="134" t="s">
        <v>2419</v>
      </c>
      <c r="H696" s="133" t="s">
        <v>246</v>
      </c>
      <c r="I696" s="133" t="s">
        <v>246</v>
      </c>
      <c r="J696" s="133"/>
      <c r="K696" s="133" t="s">
        <v>42</v>
      </c>
      <c r="L696" s="133">
        <v>200</v>
      </c>
      <c r="M696" s="133"/>
      <c r="N696" s="133" t="s">
        <v>43</v>
      </c>
      <c r="O696" s="133" t="s">
        <v>2420</v>
      </c>
      <c r="P696" s="133" t="s">
        <v>2421</v>
      </c>
      <c r="Q696" s="133" t="s">
        <v>96</v>
      </c>
      <c r="R696" s="133">
        <v>4</v>
      </c>
      <c r="S696" s="133"/>
      <c r="T696" s="133"/>
      <c r="U696" s="133"/>
      <c r="V696" s="133"/>
      <c r="W696" s="133"/>
      <c r="X696" s="133"/>
      <c r="Y696" s="133"/>
      <c r="Z696" s="133"/>
      <c r="AA696" s="133"/>
      <c r="AB696" s="133"/>
      <c r="AC696" s="133"/>
      <c r="AD696" s="133"/>
      <c r="AE696" s="136"/>
      <c r="AG696" s="137"/>
    </row>
    <row r="697" spans="1:33" s="14" customFormat="1">
      <c r="A697" s="133">
        <f t="shared" si="56"/>
        <v>624</v>
      </c>
      <c r="B697" s="11" t="s">
        <v>738</v>
      </c>
      <c r="C697" s="133" t="s">
        <v>2399</v>
      </c>
      <c r="D697" s="133" t="s">
        <v>2422</v>
      </c>
      <c r="E697" s="133"/>
      <c r="F697" s="133" t="s">
        <v>37</v>
      </c>
      <c r="G697" s="134" t="s">
        <v>2423</v>
      </c>
      <c r="H697" s="133" t="s">
        <v>246</v>
      </c>
      <c r="I697" s="133" t="s">
        <v>246</v>
      </c>
      <c r="J697" s="135" t="s">
        <v>2424</v>
      </c>
      <c r="K697" s="133" t="s">
        <v>42</v>
      </c>
      <c r="L697" s="133">
        <v>200</v>
      </c>
      <c r="M697" s="133"/>
      <c r="N697" s="133" t="s">
        <v>424</v>
      </c>
      <c r="O697" s="133">
        <v>240320307</v>
      </c>
      <c r="P697" s="133">
        <v>2024</v>
      </c>
      <c r="Q697" s="133">
        <v>1</v>
      </c>
      <c r="R697" s="133">
        <v>3</v>
      </c>
      <c r="S697" s="133">
        <v>0</v>
      </c>
      <c r="T697" s="133">
        <v>0</v>
      </c>
      <c r="U697" s="133">
        <v>0</v>
      </c>
      <c r="V697" s="133">
        <v>0</v>
      </c>
      <c r="W697" s="133">
        <v>0</v>
      </c>
      <c r="X697" s="133">
        <v>0</v>
      </c>
      <c r="Y697" s="133"/>
      <c r="Z697" s="133">
        <v>0</v>
      </c>
      <c r="AA697" s="133"/>
      <c r="AB697" s="133"/>
      <c r="AC697" s="133">
        <f t="shared" si="52"/>
        <v>0</v>
      </c>
      <c r="AD697" s="133"/>
      <c r="AE697" s="136" t="s">
        <v>2425</v>
      </c>
      <c r="AG697" s="137"/>
    </row>
    <row r="698" spans="1:33" s="14" customFormat="1">
      <c r="A698" s="133">
        <f t="shared" si="56"/>
        <v>625</v>
      </c>
      <c r="B698" s="11" t="s">
        <v>738</v>
      </c>
      <c r="C698" s="133" t="s">
        <v>2399</v>
      </c>
      <c r="D698" s="133" t="s">
        <v>2426</v>
      </c>
      <c r="E698" s="133"/>
      <c r="F698" s="133" t="s">
        <v>37</v>
      </c>
      <c r="G698" s="134" t="s">
        <v>2427</v>
      </c>
      <c r="H698" s="133" t="s">
        <v>246</v>
      </c>
      <c r="I698" s="133" t="s">
        <v>246</v>
      </c>
      <c r="J698" s="135" t="s">
        <v>2428</v>
      </c>
      <c r="K698" s="133" t="s">
        <v>42</v>
      </c>
      <c r="L698" s="133">
        <v>100</v>
      </c>
      <c r="M698" s="133"/>
      <c r="N698" s="133" t="s">
        <v>424</v>
      </c>
      <c r="O698" s="133">
        <v>7009524</v>
      </c>
      <c r="P698" s="133">
        <v>2007</v>
      </c>
      <c r="Q698" s="133">
        <v>1</v>
      </c>
      <c r="R698" s="133">
        <v>2</v>
      </c>
      <c r="S698" s="133">
        <v>0</v>
      </c>
      <c r="T698" s="133">
        <v>0</v>
      </c>
      <c r="U698" s="133">
        <v>0</v>
      </c>
      <c r="V698" s="133">
        <v>0</v>
      </c>
      <c r="W698" s="133">
        <v>0</v>
      </c>
      <c r="X698" s="133">
        <v>0</v>
      </c>
      <c r="Y698" s="133"/>
      <c r="Z698" s="133">
        <v>0</v>
      </c>
      <c r="AA698" s="133"/>
      <c r="AB698" s="133"/>
      <c r="AC698" s="133">
        <f t="shared" si="52"/>
        <v>0</v>
      </c>
      <c r="AD698" s="133"/>
      <c r="AE698" s="136"/>
      <c r="AG698" s="137"/>
    </row>
    <row r="699" spans="1:33" s="14" customFormat="1">
      <c r="A699" s="133">
        <f t="shared" si="56"/>
        <v>626</v>
      </c>
      <c r="B699" s="11" t="s">
        <v>738</v>
      </c>
      <c r="C699" s="133" t="s">
        <v>2399</v>
      </c>
      <c r="D699" s="133" t="s">
        <v>2429</v>
      </c>
      <c r="E699" s="133"/>
      <c r="F699" s="133" t="s">
        <v>37</v>
      </c>
      <c r="G699" s="134" t="s">
        <v>2401</v>
      </c>
      <c r="H699" s="133" t="s">
        <v>246</v>
      </c>
      <c r="I699" s="133" t="s">
        <v>246</v>
      </c>
      <c r="J699" s="135" t="s">
        <v>2430</v>
      </c>
      <c r="K699" s="133" t="s">
        <v>42</v>
      </c>
      <c r="L699" s="133">
        <v>160</v>
      </c>
      <c r="M699" s="133"/>
      <c r="N699" s="133" t="s">
        <v>324</v>
      </c>
      <c r="O699" s="133" t="s">
        <v>2431</v>
      </c>
      <c r="P699" s="133">
        <v>2021</v>
      </c>
      <c r="Q699" s="133">
        <v>1</v>
      </c>
      <c r="R699" s="133">
        <v>4</v>
      </c>
      <c r="S699" s="133"/>
      <c r="T699" s="133"/>
      <c r="U699" s="133"/>
      <c r="V699" s="133"/>
      <c r="W699" s="133"/>
      <c r="X699" s="133"/>
      <c r="Y699" s="133"/>
      <c r="Z699" s="133"/>
      <c r="AA699" s="133"/>
      <c r="AB699" s="133"/>
      <c r="AC699" s="133">
        <f t="shared" si="52"/>
        <v>0</v>
      </c>
      <c r="AD699" s="133"/>
      <c r="AE699" s="136"/>
      <c r="AG699" s="137"/>
    </row>
    <row r="700" spans="1:33" s="14" customFormat="1">
      <c r="A700" s="133">
        <f t="shared" si="56"/>
        <v>627</v>
      </c>
      <c r="B700" s="11" t="s">
        <v>738</v>
      </c>
      <c r="C700" s="133" t="s">
        <v>2399</v>
      </c>
      <c r="D700" s="133" t="s">
        <v>2432</v>
      </c>
      <c r="E700" s="133"/>
      <c r="F700" s="133" t="s">
        <v>37</v>
      </c>
      <c r="G700" s="134" t="s">
        <v>2433</v>
      </c>
      <c r="H700" s="133" t="s">
        <v>246</v>
      </c>
      <c r="I700" s="133" t="s">
        <v>246</v>
      </c>
      <c r="J700" s="135" t="s">
        <v>2434</v>
      </c>
      <c r="K700" s="133" t="s">
        <v>42</v>
      </c>
      <c r="L700" s="133">
        <v>250</v>
      </c>
      <c r="M700" s="133"/>
      <c r="N700" s="133" t="s">
        <v>424</v>
      </c>
      <c r="O700" s="133" t="s">
        <v>2435</v>
      </c>
      <c r="P700" s="133" t="s">
        <v>95</v>
      </c>
      <c r="Q700" s="133">
        <v>1</v>
      </c>
      <c r="R700" s="133">
        <v>3</v>
      </c>
      <c r="S700" s="133">
        <v>0</v>
      </c>
      <c r="T700" s="133">
        <v>0</v>
      </c>
      <c r="U700" s="133">
        <v>0</v>
      </c>
      <c r="V700" s="133">
        <v>0</v>
      </c>
      <c r="W700" s="133">
        <v>0</v>
      </c>
      <c r="X700" s="133">
        <v>0</v>
      </c>
      <c r="Y700" s="133"/>
      <c r="Z700" s="133">
        <v>0</v>
      </c>
      <c r="AA700" s="133"/>
      <c r="AB700" s="133"/>
      <c r="AC700" s="133">
        <f t="shared" si="52"/>
        <v>0</v>
      </c>
      <c r="AD700" s="133"/>
      <c r="AE700" s="136"/>
      <c r="AG700" s="137"/>
    </row>
    <row r="701" spans="1:33" s="99" customFormat="1">
      <c r="A701" s="130">
        <f t="shared" si="56"/>
        <v>628</v>
      </c>
      <c r="B701" s="96" t="s">
        <v>738</v>
      </c>
      <c r="C701" s="130" t="s">
        <v>2399</v>
      </c>
      <c r="D701" s="130" t="s">
        <v>2436</v>
      </c>
      <c r="E701" s="130"/>
      <c r="F701" s="130" t="s">
        <v>37</v>
      </c>
      <c r="G701" s="139" t="s">
        <v>2437</v>
      </c>
      <c r="H701" s="130" t="s">
        <v>246</v>
      </c>
      <c r="I701" s="130" t="s">
        <v>246</v>
      </c>
      <c r="J701" s="140" t="s">
        <v>2438</v>
      </c>
      <c r="K701" s="130" t="s">
        <v>42</v>
      </c>
      <c r="L701" s="130">
        <v>160</v>
      </c>
      <c r="M701" s="130"/>
      <c r="N701" s="130"/>
      <c r="O701" s="130"/>
      <c r="P701" s="130">
        <v>2024</v>
      </c>
      <c r="Q701" s="130">
        <v>1</v>
      </c>
      <c r="R701" s="130">
        <v>2</v>
      </c>
      <c r="S701" s="130">
        <v>0</v>
      </c>
      <c r="T701" s="130">
        <v>0</v>
      </c>
      <c r="U701" s="130">
        <v>0</v>
      </c>
      <c r="V701" s="130">
        <v>0</v>
      </c>
      <c r="W701" s="130">
        <v>0</v>
      </c>
      <c r="X701" s="130">
        <v>0</v>
      </c>
      <c r="Y701" s="130"/>
      <c r="Z701" s="130">
        <v>0</v>
      </c>
      <c r="AA701" s="130"/>
      <c r="AB701" s="130"/>
      <c r="AC701" s="130">
        <f t="shared" si="52"/>
        <v>0</v>
      </c>
      <c r="AD701" s="130"/>
      <c r="AE701" s="131"/>
      <c r="AG701" s="132"/>
    </row>
    <row r="702" spans="1:33" s="14" customFormat="1">
      <c r="A702" s="133">
        <f t="shared" si="56"/>
        <v>629</v>
      </c>
      <c r="B702" s="11" t="s">
        <v>738</v>
      </c>
      <c r="C702" s="133" t="s">
        <v>2399</v>
      </c>
      <c r="D702" s="133" t="s">
        <v>2439</v>
      </c>
      <c r="E702" s="133"/>
      <c r="F702" s="133" t="s">
        <v>37</v>
      </c>
      <c r="G702" s="134" t="s">
        <v>2440</v>
      </c>
      <c r="H702" s="133" t="s">
        <v>246</v>
      </c>
      <c r="I702" s="133" t="s">
        <v>246</v>
      </c>
      <c r="J702" s="135" t="s">
        <v>2441</v>
      </c>
      <c r="K702" s="133" t="s">
        <v>42</v>
      </c>
      <c r="L702" s="133">
        <v>160</v>
      </c>
      <c r="M702" s="133"/>
      <c r="N702" s="133" t="s">
        <v>43</v>
      </c>
      <c r="O702" s="133">
        <v>20093</v>
      </c>
      <c r="P702" s="133">
        <v>1982</v>
      </c>
      <c r="Q702" s="133">
        <v>1</v>
      </c>
      <c r="R702" s="133">
        <v>3</v>
      </c>
      <c r="S702" s="133"/>
      <c r="T702" s="133"/>
      <c r="U702" s="133"/>
      <c r="V702" s="133"/>
      <c r="W702" s="133"/>
      <c r="X702" s="133"/>
      <c r="Y702" s="133"/>
      <c r="Z702" s="133"/>
      <c r="AA702" s="133"/>
      <c r="AB702" s="133"/>
      <c r="AC702" s="133">
        <f t="shared" si="52"/>
        <v>0</v>
      </c>
      <c r="AD702" s="133"/>
      <c r="AE702" s="136"/>
      <c r="AG702" s="137"/>
    </row>
    <row r="703" spans="1:33" s="14" customFormat="1">
      <c r="A703" s="133">
        <f t="shared" si="56"/>
        <v>630</v>
      </c>
      <c r="B703" s="11" t="s">
        <v>738</v>
      </c>
      <c r="C703" s="133" t="s">
        <v>2399</v>
      </c>
      <c r="D703" s="133" t="s">
        <v>2442</v>
      </c>
      <c r="E703" s="133"/>
      <c r="F703" s="133" t="s">
        <v>37</v>
      </c>
      <c r="G703" s="134" t="s">
        <v>2443</v>
      </c>
      <c r="H703" s="133" t="s">
        <v>741</v>
      </c>
      <c r="I703" s="133" t="s">
        <v>741</v>
      </c>
      <c r="J703" s="135" t="s">
        <v>2444</v>
      </c>
      <c r="K703" s="133" t="s">
        <v>42</v>
      </c>
      <c r="L703" s="133">
        <v>100</v>
      </c>
      <c r="M703" s="133"/>
      <c r="N703" s="133" t="s">
        <v>93</v>
      </c>
      <c r="O703" s="133" t="s">
        <v>2445</v>
      </c>
      <c r="P703" s="133" t="s">
        <v>1135</v>
      </c>
      <c r="Q703" s="133">
        <v>1</v>
      </c>
      <c r="R703" s="133">
        <v>2</v>
      </c>
      <c r="S703" s="133">
        <v>0</v>
      </c>
      <c r="T703" s="133">
        <v>0</v>
      </c>
      <c r="U703" s="133">
        <v>0</v>
      </c>
      <c r="V703" s="133">
        <v>0</v>
      </c>
      <c r="W703" s="133">
        <v>0</v>
      </c>
      <c r="X703" s="133">
        <v>0</v>
      </c>
      <c r="Y703" s="133"/>
      <c r="Z703" s="133">
        <v>0</v>
      </c>
      <c r="AA703" s="133"/>
      <c r="AB703" s="133"/>
      <c r="AC703" s="133">
        <f t="shared" si="52"/>
        <v>0</v>
      </c>
      <c r="AD703" s="133"/>
      <c r="AE703" s="136"/>
      <c r="AG703" s="137"/>
    </row>
    <row r="704" spans="1:33" s="14" customFormat="1">
      <c r="A704" s="133">
        <f t="shared" si="56"/>
        <v>631</v>
      </c>
      <c r="B704" s="11" t="s">
        <v>738</v>
      </c>
      <c r="C704" s="133" t="s">
        <v>2399</v>
      </c>
      <c r="D704" s="133" t="s">
        <v>2446</v>
      </c>
      <c r="E704" s="133"/>
      <c r="F704" s="133" t="s">
        <v>37</v>
      </c>
      <c r="G704" s="134" t="s">
        <v>2447</v>
      </c>
      <c r="H704" s="133" t="s">
        <v>741</v>
      </c>
      <c r="I704" s="133" t="s">
        <v>741</v>
      </c>
      <c r="J704" s="135" t="s">
        <v>2448</v>
      </c>
      <c r="K704" s="133" t="s">
        <v>42</v>
      </c>
      <c r="L704" s="133">
        <v>50</v>
      </c>
      <c r="M704" s="133"/>
      <c r="N704" s="133" t="s">
        <v>664</v>
      </c>
      <c r="O704" s="133">
        <v>20083495</v>
      </c>
      <c r="P704" s="133">
        <v>2008</v>
      </c>
      <c r="Q704" s="133">
        <v>1</v>
      </c>
      <c r="R704" s="133">
        <v>2</v>
      </c>
      <c r="S704" s="133">
        <v>0</v>
      </c>
      <c r="T704" s="133">
        <v>0</v>
      </c>
      <c r="U704" s="133">
        <v>0</v>
      </c>
      <c r="V704" s="133">
        <v>0</v>
      </c>
      <c r="W704" s="133">
        <v>0</v>
      </c>
      <c r="X704" s="133">
        <v>0</v>
      </c>
      <c r="Y704" s="133"/>
      <c r="Z704" s="133">
        <v>0</v>
      </c>
      <c r="AA704" s="133"/>
      <c r="AB704" s="133"/>
      <c r="AC704" s="133">
        <f t="shared" si="52"/>
        <v>0</v>
      </c>
      <c r="AD704" s="133"/>
      <c r="AE704" s="136"/>
      <c r="AG704" s="137"/>
    </row>
    <row r="705" spans="1:33" s="14" customFormat="1">
      <c r="A705" s="133">
        <f t="shared" si="56"/>
        <v>632</v>
      </c>
      <c r="B705" s="11" t="s">
        <v>738</v>
      </c>
      <c r="C705" s="133" t="s">
        <v>2399</v>
      </c>
      <c r="D705" s="133" t="s">
        <v>2449</v>
      </c>
      <c r="E705" s="133"/>
      <c r="F705" s="133" t="s">
        <v>37</v>
      </c>
      <c r="G705" s="134" t="s">
        <v>2447</v>
      </c>
      <c r="H705" s="133" t="s">
        <v>741</v>
      </c>
      <c r="I705" s="133" t="s">
        <v>741</v>
      </c>
      <c r="J705" s="135" t="s">
        <v>2450</v>
      </c>
      <c r="K705" s="133" t="s">
        <v>42</v>
      </c>
      <c r="L705" s="133">
        <v>50</v>
      </c>
      <c r="M705" s="133"/>
      <c r="N705" s="133" t="s">
        <v>664</v>
      </c>
      <c r="O705" s="133">
        <v>20083497</v>
      </c>
      <c r="P705" s="133">
        <v>2008</v>
      </c>
      <c r="Q705" s="133">
        <v>1</v>
      </c>
      <c r="R705" s="133">
        <v>2</v>
      </c>
      <c r="S705" s="133">
        <v>0</v>
      </c>
      <c r="T705" s="133">
        <v>0</v>
      </c>
      <c r="U705" s="133">
        <v>0</v>
      </c>
      <c r="V705" s="133">
        <v>0</v>
      </c>
      <c r="W705" s="133">
        <v>0</v>
      </c>
      <c r="X705" s="133">
        <v>0</v>
      </c>
      <c r="Y705" s="133"/>
      <c r="Z705" s="133">
        <v>0</v>
      </c>
      <c r="AA705" s="133"/>
      <c r="AB705" s="133"/>
      <c r="AC705" s="133">
        <f t="shared" si="52"/>
        <v>0</v>
      </c>
      <c r="AD705" s="133"/>
      <c r="AE705" s="136"/>
      <c r="AG705" s="137"/>
    </row>
    <row r="706" spans="1:33" s="14" customFormat="1">
      <c r="A706" s="133">
        <f t="shared" si="56"/>
        <v>633</v>
      </c>
      <c r="B706" s="11" t="s">
        <v>738</v>
      </c>
      <c r="C706" s="133" t="s">
        <v>2399</v>
      </c>
      <c r="D706" s="133" t="s">
        <v>2451</v>
      </c>
      <c r="E706" s="133"/>
      <c r="F706" s="133" t="s">
        <v>37</v>
      </c>
      <c r="G706" s="134" t="s">
        <v>2447</v>
      </c>
      <c r="H706" s="133" t="s">
        <v>741</v>
      </c>
      <c r="I706" s="133" t="s">
        <v>741</v>
      </c>
      <c r="J706" s="135" t="s">
        <v>2452</v>
      </c>
      <c r="K706" s="133" t="s">
        <v>42</v>
      </c>
      <c r="L706" s="133">
        <v>50</v>
      </c>
      <c r="M706" s="133"/>
      <c r="N706" s="133" t="s">
        <v>664</v>
      </c>
      <c r="O706" s="133">
        <v>20083645</v>
      </c>
      <c r="P706" s="133">
        <v>2008</v>
      </c>
      <c r="Q706" s="133">
        <v>1</v>
      </c>
      <c r="R706" s="133">
        <v>2</v>
      </c>
      <c r="S706" s="133">
        <v>0</v>
      </c>
      <c r="T706" s="133">
        <v>0</v>
      </c>
      <c r="U706" s="133">
        <v>0</v>
      </c>
      <c r="V706" s="133">
        <v>0</v>
      </c>
      <c r="W706" s="133">
        <v>0</v>
      </c>
      <c r="X706" s="133">
        <v>0</v>
      </c>
      <c r="Y706" s="133"/>
      <c r="Z706" s="133">
        <v>0</v>
      </c>
      <c r="AA706" s="133"/>
      <c r="AB706" s="133"/>
      <c r="AC706" s="133">
        <f t="shared" si="52"/>
        <v>0</v>
      </c>
      <c r="AD706" s="133"/>
      <c r="AE706" s="136"/>
      <c r="AG706" s="137"/>
    </row>
    <row r="707" spans="1:33" s="14" customFormat="1">
      <c r="A707" s="133">
        <f t="shared" si="56"/>
        <v>634</v>
      </c>
      <c r="B707" s="11" t="s">
        <v>738</v>
      </c>
      <c r="C707" s="133" t="s">
        <v>2399</v>
      </c>
      <c r="D707" s="133" t="s">
        <v>2453</v>
      </c>
      <c r="E707" s="133"/>
      <c r="F707" s="133" t="s">
        <v>37</v>
      </c>
      <c r="G707" s="134" t="s">
        <v>2407</v>
      </c>
      <c r="H707" s="133" t="s">
        <v>246</v>
      </c>
      <c r="I707" s="133" t="s">
        <v>246</v>
      </c>
      <c r="J707" s="133">
        <v>1059</v>
      </c>
      <c r="K707" s="133" t="s">
        <v>42</v>
      </c>
      <c r="L707" s="133">
        <v>250</v>
      </c>
      <c r="M707" s="133"/>
      <c r="N707" s="133" t="s">
        <v>59</v>
      </c>
      <c r="O707" s="133" t="s">
        <v>2454</v>
      </c>
      <c r="P707" s="133" t="s">
        <v>255</v>
      </c>
      <c r="Q707" s="133">
        <v>1</v>
      </c>
      <c r="R707" s="133">
        <f t="shared" ref="R707:R708" si="61">IF(H707="CANTOL",2,4)</f>
        <v>4</v>
      </c>
      <c r="S707" s="133"/>
      <c r="T707" s="133"/>
      <c r="U707" s="133"/>
      <c r="V707" s="133"/>
      <c r="W707" s="133"/>
      <c r="X707" s="133"/>
      <c r="Y707" s="133"/>
      <c r="Z707" s="133"/>
      <c r="AA707" s="133"/>
      <c r="AB707" s="133"/>
      <c r="AC707" s="133">
        <f t="shared" si="52"/>
        <v>0</v>
      </c>
      <c r="AD707" s="133"/>
      <c r="AE707" s="136"/>
      <c r="AG707" s="137"/>
    </row>
    <row r="708" spans="1:33" s="14" customFormat="1">
      <c r="A708" s="133">
        <f t="shared" si="56"/>
        <v>635</v>
      </c>
      <c r="B708" s="11" t="s">
        <v>738</v>
      </c>
      <c r="C708" s="133" t="s">
        <v>2399</v>
      </c>
      <c r="D708" s="133" t="s">
        <v>2455</v>
      </c>
      <c r="E708" s="133"/>
      <c r="F708" s="133" t="s">
        <v>37</v>
      </c>
      <c r="G708" s="134" t="s">
        <v>2456</v>
      </c>
      <c r="H708" s="133" t="s">
        <v>741</v>
      </c>
      <c r="I708" s="133" t="s">
        <v>741</v>
      </c>
      <c r="J708" s="136">
        <v>1193</v>
      </c>
      <c r="K708" s="133" t="s">
        <v>42</v>
      </c>
      <c r="L708" s="133">
        <v>100</v>
      </c>
      <c r="M708" s="133"/>
      <c r="N708" s="133" t="s">
        <v>43</v>
      </c>
      <c r="O708" s="133" t="s">
        <v>2457</v>
      </c>
      <c r="P708" s="133">
        <v>2009</v>
      </c>
      <c r="Q708" s="133">
        <v>1</v>
      </c>
      <c r="R708" s="133">
        <f t="shared" si="61"/>
        <v>2</v>
      </c>
      <c r="S708" s="133"/>
      <c r="T708" s="133"/>
      <c r="U708" s="133"/>
      <c r="V708" s="133"/>
      <c r="W708" s="133"/>
      <c r="X708" s="133"/>
      <c r="Y708" s="133"/>
      <c r="Z708" s="133"/>
      <c r="AA708" s="133"/>
      <c r="AB708" s="133"/>
      <c r="AC708" s="133">
        <f t="shared" si="52"/>
        <v>0</v>
      </c>
      <c r="AD708" s="133"/>
      <c r="AE708" s="136"/>
      <c r="AG708" s="137"/>
    </row>
    <row r="709" spans="1:33" s="115" customFormat="1">
      <c r="A709" s="196">
        <f>A707+1</f>
        <v>635</v>
      </c>
      <c r="B709" s="112" t="s">
        <v>2393</v>
      </c>
      <c r="C709" s="196" t="s">
        <v>2394</v>
      </c>
      <c r="D709" s="196" t="s">
        <v>2458</v>
      </c>
      <c r="E709" s="196"/>
      <c r="F709" s="196" t="s">
        <v>37</v>
      </c>
      <c r="G709" s="197" t="s">
        <v>2459</v>
      </c>
      <c r="H709" s="196" t="s">
        <v>246</v>
      </c>
      <c r="I709" s="196" t="s">
        <v>741</v>
      </c>
      <c r="J709" s="198"/>
      <c r="K709" s="196" t="s">
        <v>175</v>
      </c>
      <c r="L709" s="196">
        <v>100</v>
      </c>
      <c r="M709" s="196"/>
      <c r="N709" s="196" t="s">
        <v>59</v>
      </c>
      <c r="O709" s="196">
        <v>233308469</v>
      </c>
      <c r="P709" s="196">
        <v>2023</v>
      </c>
      <c r="Q709" s="196">
        <v>1</v>
      </c>
      <c r="R709" s="196">
        <v>3</v>
      </c>
      <c r="S709" s="196">
        <v>0</v>
      </c>
      <c r="T709" s="196">
        <v>0</v>
      </c>
      <c r="U709" s="196">
        <v>0</v>
      </c>
      <c r="V709" s="196">
        <v>0</v>
      </c>
      <c r="W709" s="196">
        <v>0</v>
      </c>
      <c r="X709" s="196">
        <v>0</v>
      </c>
      <c r="Y709" s="196"/>
      <c r="Z709" s="196">
        <v>0</v>
      </c>
      <c r="AA709" s="196"/>
      <c r="AB709" s="196"/>
      <c r="AC709" s="196">
        <f t="shared" ref="AC709" si="62">SUM(U709:AB709)</f>
        <v>0</v>
      </c>
      <c r="AD709" s="196"/>
      <c r="AE709" s="199"/>
      <c r="AG709" s="200"/>
    </row>
    <row r="710" spans="1:33" s="115" customFormat="1">
      <c r="A710" s="196">
        <f>A708+1</f>
        <v>636</v>
      </c>
      <c r="B710" s="112" t="s">
        <v>2393</v>
      </c>
      <c r="C710" s="196" t="s">
        <v>2394</v>
      </c>
      <c r="D710" s="196" t="s">
        <v>2460</v>
      </c>
      <c r="E710" s="196"/>
      <c r="F710" s="196" t="s">
        <v>37</v>
      </c>
      <c r="G710" s="197" t="s">
        <v>2461</v>
      </c>
      <c r="H710" s="196" t="s">
        <v>246</v>
      </c>
      <c r="I710" s="196" t="s">
        <v>246</v>
      </c>
      <c r="J710" s="198" t="s">
        <v>2462</v>
      </c>
      <c r="K710" s="196" t="s">
        <v>175</v>
      </c>
      <c r="L710" s="196">
        <v>250</v>
      </c>
      <c r="M710" s="196"/>
      <c r="N710" s="196" t="s">
        <v>43</v>
      </c>
      <c r="O710" s="196">
        <v>85457</v>
      </c>
      <c r="P710" s="196">
        <v>2009</v>
      </c>
      <c r="Q710" s="196">
        <v>1</v>
      </c>
      <c r="R710" s="196">
        <v>3</v>
      </c>
      <c r="S710" s="196">
        <v>0</v>
      </c>
      <c r="T710" s="196">
        <v>0</v>
      </c>
      <c r="U710" s="196">
        <v>0</v>
      </c>
      <c r="V710" s="196">
        <v>0</v>
      </c>
      <c r="W710" s="196">
        <v>0</v>
      </c>
      <c r="X710" s="196">
        <v>0</v>
      </c>
      <c r="Y710" s="196"/>
      <c r="Z710" s="196">
        <v>0</v>
      </c>
      <c r="AA710" s="196"/>
      <c r="AB710" s="196"/>
      <c r="AC710" s="196">
        <f t="shared" si="52"/>
        <v>0</v>
      </c>
      <c r="AD710" s="196"/>
      <c r="AE710" s="199"/>
      <c r="AG710" s="200"/>
    </row>
    <row r="711" spans="1:33" s="115" customFormat="1">
      <c r="A711" s="196">
        <f t="shared" si="56"/>
        <v>637</v>
      </c>
      <c r="B711" s="112" t="s">
        <v>2393</v>
      </c>
      <c r="C711" s="196" t="s">
        <v>2394</v>
      </c>
      <c r="D711" s="196" t="s">
        <v>2463</v>
      </c>
      <c r="E711" s="196"/>
      <c r="F711" s="196" t="s">
        <v>37</v>
      </c>
      <c r="G711" s="197" t="s">
        <v>2461</v>
      </c>
      <c r="H711" s="196" t="s">
        <v>741</v>
      </c>
      <c r="I711" s="196" t="s">
        <v>741</v>
      </c>
      <c r="J711" s="199">
        <v>1159</v>
      </c>
      <c r="K711" s="196" t="s">
        <v>175</v>
      </c>
      <c r="L711" s="196">
        <v>100</v>
      </c>
      <c r="M711" s="196"/>
      <c r="N711" s="196" t="s">
        <v>424</v>
      </c>
      <c r="O711" s="196" t="s">
        <v>2464</v>
      </c>
      <c r="P711" s="196">
        <v>2007</v>
      </c>
      <c r="Q711" s="196">
        <v>1</v>
      </c>
      <c r="R711" s="196">
        <v>2</v>
      </c>
      <c r="S711" s="196"/>
      <c r="T711" s="196"/>
      <c r="U711" s="196"/>
      <c r="V711" s="196"/>
      <c r="W711" s="196"/>
      <c r="X711" s="196"/>
      <c r="Y711" s="196"/>
      <c r="Z711" s="196"/>
      <c r="AA711" s="196"/>
      <c r="AB711" s="196"/>
      <c r="AC711" s="196">
        <f t="shared" si="52"/>
        <v>0</v>
      </c>
      <c r="AD711" s="196"/>
      <c r="AE711" s="199"/>
      <c r="AG711" s="200"/>
    </row>
    <row r="712" spans="1:33" s="115" customFormat="1">
      <c r="A712" s="196">
        <f t="shared" si="56"/>
        <v>638</v>
      </c>
      <c r="B712" s="112" t="s">
        <v>2393</v>
      </c>
      <c r="C712" s="196" t="s">
        <v>2394</v>
      </c>
      <c r="D712" s="196" t="s">
        <v>2465</v>
      </c>
      <c r="E712" s="196"/>
      <c r="F712" s="196" t="s">
        <v>37</v>
      </c>
      <c r="G712" s="197" t="s">
        <v>2466</v>
      </c>
      <c r="H712" s="196" t="s">
        <v>246</v>
      </c>
      <c r="I712" s="196" t="s">
        <v>246</v>
      </c>
      <c r="J712" s="198" t="s">
        <v>2467</v>
      </c>
      <c r="K712" s="196" t="s">
        <v>175</v>
      </c>
      <c r="L712" s="196">
        <v>200</v>
      </c>
      <c r="M712" s="196"/>
      <c r="N712" s="196" t="s">
        <v>664</v>
      </c>
      <c r="O712" s="196" t="s">
        <v>2468</v>
      </c>
      <c r="P712" s="196">
        <v>2001</v>
      </c>
      <c r="Q712" s="196">
        <v>1</v>
      </c>
      <c r="R712" s="196">
        <v>4</v>
      </c>
      <c r="S712" s="196">
        <v>0</v>
      </c>
      <c r="T712" s="196">
        <v>0</v>
      </c>
      <c r="U712" s="196">
        <v>0</v>
      </c>
      <c r="V712" s="196">
        <v>0</v>
      </c>
      <c r="W712" s="196">
        <v>0</v>
      </c>
      <c r="X712" s="196">
        <v>0</v>
      </c>
      <c r="Y712" s="196"/>
      <c r="Z712" s="196">
        <v>0</v>
      </c>
      <c r="AA712" s="196"/>
      <c r="AB712" s="196"/>
      <c r="AC712" s="196">
        <f t="shared" si="52"/>
        <v>0</v>
      </c>
      <c r="AD712" s="196"/>
      <c r="AE712" s="199"/>
      <c r="AG712" s="200"/>
    </row>
    <row r="713" spans="1:33" s="115" customFormat="1">
      <c r="A713" s="196">
        <f>A711+1</f>
        <v>638</v>
      </c>
      <c r="B713" s="112" t="s">
        <v>2393</v>
      </c>
      <c r="C713" s="196" t="s">
        <v>2394</v>
      </c>
      <c r="D713" s="196" t="s">
        <v>2469</v>
      </c>
      <c r="E713" s="196"/>
      <c r="F713" s="196" t="s">
        <v>37</v>
      </c>
      <c r="G713" s="197" t="s">
        <v>2466</v>
      </c>
      <c r="H713" s="196" t="s">
        <v>246</v>
      </c>
      <c r="I713" s="196" t="s">
        <v>246</v>
      </c>
      <c r="J713" s="198" t="s">
        <v>2470</v>
      </c>
      <c r="K713" s="196" t="s">
        <v>175</v>
      </c>
      <c r="L713" s="196">
        <v>200</v>
      </c>
      <c r="M713" s="196"/>
      <c r="N713" s="196" t="s">
        <v>753</v>
      </c>
      <c r="O713" s="196">
        <v>8676</v>
      </c>
      <c r="P713" s="196" t="s">
        <v>2471</v>
      </c>
      <c r="Q713" s="196">
        <v>1</v>
      </c>
      <c r="R713" s="196">
        <v>2</v>
      </c>
      <c r="S713" s="196">
        <v>0</v>
      </c>
      <c r="T713" s="196">
        <v>0</v>
      </c>
      <c r="U713" s="196">
        <v>0</v>
      </c>
      <c r="V713" s="196">
        <v>0</v>
      </c>
      <c r="W713" s="196">
        <v>0</v>
      </c>
      <c r="X713" s="196">
        <v>0</v>
      </c>
      <c r="Y713" s="196"/>
      <c r="Z713" s="196">
        <v>0</v>
      </c>
      <c r="AA713" s="196"/>
      <c r="AB713" s="196"/>
      <c r="AC713" s="196">
        <f t="shared" ref="AC713:AC776" si="63">SUM(U713:AB713)</f>
        <v>0</v>
      </c>
      <c r="AD713" s="196"/>
      <c r="AE713" s="199"/>
      <c r="AG713" s="200"/>
    </row>
    <row r="714" spans="1:33" s="99" customFormat="1">
      <c r="A714" s="130">
        <f>A712+1</f>
        <v>639</v>
      </c>
      <c r="B714" s="96" t="s">
        <v>2393</v>
      </c>
      <c r="C714" s="130" t="s">
        <v>2394</v>
      </c>
      <c r="D714" s="130" t="s">
        <v>2472</v>
      </c>
      <c r="E714" s="130"/>
      <c r="F714" s="130" t="s">
        <v>37</v>
      </c>
      <c r="G714" s="139" t="s">
        <v>2473</v>
      </c>
      <c r="H714" s="130" t="s">
        <v>246</v>
      </c>
      <c r="I714" s="130" t="s">
        <v>246</v>
      </c>
      <c r="J714" s="140"/>
      <c r="K714" s="130" t="s">
        <v>175</v>
      </c>
      <c r="L714" s="130">
        <v>250</v>
      </c>
      <c r="M714" s="130"/>
      <c r="N714" s="130" t="s">
        <v>1334</v>
      </c>
      <c r="O714" s="130">
        <v>1610376</v>
      </c>
      <c r="P714" s="130" t="s">
        <v>2474</v>
      </c>
      <c r="Q714" s="130">
        <v>1</v>
      </c>
      <c r="R714" s="130">
        <v>2</v>
      </c>
      <c r="S714" s="130">
        <v>0</v>
      </c>
      <c r="T714" s="130">
        <v>0</v>
      </c>
      <c r="U714" s="130">
        <v>0</v>
      </c>
      <c r="V714" s="130">
        <v>0</v>
      </c>
      <c r="W714" s="130">
        <v>0</v>
      </c>
      <c r="X714" s="130">
        <v>0</v>
      </c>
      <c r="Y714" s="130"/>
      <c r="Z714" s="130">
        <v>0</v>
      </c>
      <c r="AA714" s="130"/>
      <c r="AB714" s="130"/>
      <c r="AC714" s="130">
        <f t="shared" si="63"/>
        <v>0</v>
      </c>
      <c r="AD714" s="130"/>
      <c r="AE714" s="131"/>
      <c r="AG714" s="132"/>
    </row>
    <row r="715" spans="1:33" s="99" customFormat="1">
      <c r="A715" s="130">
        <f t="shared" si="56"/>
        <v>640</v>
      </c>
      <c r="B715" s="96" t="s">
        <v>2393</v>
      </c>
      <c r="C715" s="130" t="s">
        <v>2394</v>
      </c>
      <c r="D715" s="130" t="s">
        <v>398</v>
      </c>
      <c r="E715" s="130"/>
      <c r="F715" s="130" t="s">
        <v>37</v>
      </c>
      <c r="G715" s="139" t="s">
        <v>2475</v>
      </c>
      <c r="H715" s="130" t="s">
        <v>246</v>
      </c>
      <c r="I715" s="130" t="s">
        <v>246</v>
      </c>
      <c r="J715" s="140" t="s">
        <v>2476</v>
      </c>
      <c r="K715" s="130" t="s">
        <v>175</v>
      </c>
      <c r="L715" s="130">
        <v>250</v>
      </c>
      <c r="M715" s="130"/>
      <c r="N715" s="130" t="s">
        <v>424</v>
      </c>
      <c r="O715" s="130" t="s">
        <v>2477</v>
      </c>
      <c r="P715" s="130" t="s">
        <v>95</v>
      </c>
      <c r="Q715" s="130">
        <v>1</v>
      </c>
      <c r="R715" s="130">
        <v>4</v>
      </c>
      <c r="S715" s="130">
        <v>0</v>
      </c>
      <c r="T715" s="130">
        <v>0</v>
      </c>
      <c r="U715" s="130">
        <v>0</v>
      </c>
      <c r="V715" s="130">
        <v>0</v>
      </c>
      <c r="W715" s="130">
        <v>0</v>
      </c>
      <c r="X715" s="130">
        <v>0</v>
      </c>
      <c r="Y715" s="130"/>
      <c r="Z715" s="130">
        <v>0</v>
      </c>
      <c r="AA715" s="130"/>
      <c r="AB715" s="130"/>
      <c r="AC715" s="130">
        <f t="shared" si="63"/>
        <v>0</v>
      </c>
      <c r="AD715" s="130"/>
      <c r="AE715" s="131" t="s">
        <v>1842</v>
      </c>
      <c r="AG715" s="132"/>
    </row>
    <row r="716" spans="1:33" s="99" customFormat="1">
      <c r="A716" s="130">
        <f t="shared" si="56"/>
        <v>641</v>
      </c>
      <c r="B716" s="96" t="s">
        <v>2393</v>
      </c>
      <c r="C716" s="130" t="s">
        <v>2394</v>
      </c>
      <c r="D716" s="130" t="s">
        <v>2478</v>
      </c>
      <c r="E716" s="130"/>
      <c r="F716" s="130" t="s">
        <v>37</v>
      </c>
      <c r="G716" s="139" t="s">
        <v>2479</v>
      </c>
      <c r="H716" s="130" t="s">
        <v>246</v>
      </c>
      <c r="I716" s="130" t="s">
        <v>246</v>
      </c>
      <c r="J716" s="130">
        <v>1000</v>
      </c>
      <c r="K716" s="130" t="s">
        <v>175</v>
      </c>
      <c r="L716" s="130">
        <v>250</v>
      </c>
      <c r="M716" s="130"/>
      <c r="N716" s="130" t="s">
        <v>93</v>
      </c>
      <c r="O716" s="130">
        <v>1600181021</v>
      </c>
      <c r="P716" s="130">
        <v>2016</v>
      </c>
      <c r="Q716" s="130">
        <v>1</v>
      </c>
      <c r="R716" s="130">
        <v>4</v>
      </c>
      <c r="S716" s="130">
        <v>0</v>
      </c>
      <c r="T716" s="130">
        <v>0</v>
      </c>
      <c r="U716" s="130">
        <v>0</v>
      </c>
      <c r="V716" s="130">
        <v>0</v>
      </c>
      <c r="W716" s="130">
        <v>0</v>
      </c>
      <c r="X716" s="130">
        <v>0</v>
      </c>
      <c r="Y716" s="130"/>
      <c r="Z716" s="130">
        <v>0</v>
      </c>
      <c r="AA716" s="130"/>
      <c r="AB716" s="130"/>
      <c r="AC716" s="130">
        <f t="shared" si="63"/>
        <v>0</v>
      </c>
      <c r="AD716" s="130"/>
      <c r="AE716" s="131"/>
      <c r="AG716" s="132"/>
    </row>
    <row r="717" spans="1:33" s="99" customFormat="1">
      <c r="A717" s="130">
        <f t="shared" si="56"/>
        <v>642</v>
      </c>
      <c r="B717" s="96" t="s">
        <v>2393</v>
      </c>
      <c r="C717" s="130" t="s">
        <v>2394</v>
      </c>
      <c r="D717" s="130" t="s">
        <v>2480</v>
      </c>
      <c r="E717" s="130"/>
      <c r="F717" s="130" t="s">
        <v>37</v>
      </c>
      <c r="G717" s="139" t="s">
        <v>2479</v>
      </c>
      <c r="H717" s="130" t="s">
        <v>741</v>
      </c>
      <c r="I717" s="130" t="s">
        <v>741</v>
      </c>
      <c r="J717" s="130">
        <v>1048</v>
      </c>
      <c r="K717" s="130" t="s">
        <v>175</v>
      </c>
      <c r="L717" s="130">
        <v>100</v>
      </c>
      <c r="M717" s="130"/>
      <c r="N717" s="130" t="s">
        <v>863</v>
      </c>
      <c r="O717" s="130" t="s">
        <v>2481</v>
      </c>
      <c r="P717" s="130">
        <v>2011</v>
      </c>
      <c r="Q717" s="130">
        <v>1</v>
      </c>
      <c r="R717" s="130">
        <v>2</v>
      </c>
      <c r="S717" s="130">
        <v>0</v>
      </c>
      <c r="T717" s="130">
        <v>0</v>
      </c>
      <c r="U717" s="130">
        <v>0</v>
      </c>
      <c r="V717" s="130">
        <v>0</v>
      </c>
      <c r="W717" s="130">
        <v>0</v>
      </c>
      <c r="X717" s="130">
        <v>0</v>
      </c>
      <c r="Y717" s="130"/>
      <c r="Z717" s="130">
        <v>0</v>
      </c>
      <c r="AA717" s="130"/>
      <c r="AB717" s="130"/>
      <c r="AC717" s="130">
        <f t="shared" si="63"/>
        <v>0</v>
      </c>
      <c r="AD717" s="130"/>
      <c r="AE717" s="131"/>
      <c r="AG717" s="132"/>
    </row>
    <row r="718" spans="1:33" s="99" customFormat="1">
      <c r="A718" s="130">
        <f t="shared" si="56"/>
        <v>643</v>
      </c>
      <c r="B718" s="96" t="s">
        <v>2393</v>
      </c>
      <c r="C718" s="130" t="s">
        <v>2394</v>
      </c>
      <c r="D718" s="130" t="s">
        <v>2482</v>
      </c>
      <c r="E718" s="130"/>
      <c r="F718" s="130" t="s">
        <v>37</v>
      </c>
      <c r="G718" s="139" t="s">
        <v>2479</v>
      </c>
      <c r="H718" s="130" t="s">
        <v>741</v>
      </c>
      <c r="I718" s="130" t="s">
        <v>741</v>
      </c>
      <c r="J718" s="131">
        <v>1049</v>
      </c>
      <c r="K718" s="130" t="s">
        <v>175</v>
      </c>
      <c r="L718" s="130">
        <v>100</v>
      </c>
      <c r="M718" s="130"/>
      <c r="N718" s="130" t="s">
        <v>863</v>
      </c>
      <c r="O718" s="130" t="s">
        <v>2483</v>
      </c>
      <c r="P718" s="130">
        <v>2011</v>
      </c>
      <c r="Q718" s="130">
        <v>1</v>
      </c>
      <c r="R718" s="130">
        <v>2</v>
      </c>
      <c r="S718" s="130">
        <v>0</v>
      </c>
      <c r="T718" s="130">
        <v>0</v>
      </c>
      <c r="U718" s="130">
        <v>0</v>
      </c>
      <c r="V718" s="130">
        <v>0</v>
      </c>
      <c r="W718" s="130">
        <v>0</v>
      </c>
      <c r="X718" s="130">
        <v>0</v>
      </c>
      <c r="Y718" s="130"/>
      <c r="Z718" s="130">
        <v>0</v>
      </c>
      <c r="AA718" s="130"/>
      <c r="AB718" s="130"/>
      <c r="AC718" s="130">
        <f t="shared" si="63"/>
        <v>0</v>
      </c>
      <c r="AD718" s="130"/>
      <c r="AE718" s="131"/>
      <c r="AG718" s="132"/>
    </row>
    <row r="719" spans="1:33" s="99" customFormat="1">
      <c r="A719" s="130">
        <f t="shared" ref="A719:A782" si="64">A718+1</f>
        <v>644</v>
      </c>
      <c r="B719" s="96" t="s">
        <v>2393</v>
      </c>
      <c r="C719" s="130" t="s">
        <v>2394</v>
      </c>
      <c r="D719" s="130" t="s">
        <v>2484</v>
      </c>
      <c r="E719" s="130"/>
      <c r="F719" s="130" t="s">
        <v>37</v>
      </c>
      <c r="G719" s="139" t="s">
        <v>2485</v>
      </c>
      <c r="H719" s="130" t="s">
        <v>39</v>
      </c>
      <c r="I719" s="130" t="s">
        <v>40</v>
      </c>
      <c r="J719" s="131" t="s">
        <v>2486</v>
      </c>
      <c r="K719" s="130" t="s">
        <v>175</v>
      </c>
      <c r="L719" s="130">
        <v>400</v>
      </c>
      <c r="M719" s="130"/>
      <c r="N719" s="130" t="s">
        <v>59</v>
      </c>
      <c r="O719" s="130" t="s">
        <v>2487</v>
      </c>
      <c r="P719" s="130" t="s">
        <v>255</v>
      </c>
      <c r="Q719" s="130" t="s">
        <v>96</v>
      </c>
      <c r="R719" s="130" t="s">
        <v>84</v>
      </c>
      <c r="S719" s="130" t="s">
        <v>907</v>
      </c>
      <c r="T719" s="130" t="s">
        <v>907</v>
      </c>
      <c r="U719" s="130" t="s">
        <v>907</v>
      </c>
      <c r="V719" s="130" t="s">
        <v>907</v>
      </c>
      <c r="W719" s="130" t="s">
        <v>907</v>
      </c>
      <c r="X719" s="130" t="s">
        <v>907</v>
      </c>
      <c r="Y719" s="130"/>
      <c r="Z719" s="130" t="s">
        <v>907</v>
      </c>
      <c r="AA719" s="130"/>
      <c r="AB719" s="130"/>
      <c r="AC719" s="130" t="s">
        <v>907</v>
      </c>
      <c r="AD719" s="130"/>
      <c r="AE719" s="131"/>
      <c r="AG719" s="132"/>
    </row>
    <row r="720" spans="1:33" s="99" customFormat="1">
      <c r="A720" s="130">
        <f t="shared" si="64"/>
        <v>645</v>
      </c>
      <c r="B720" s="96" t="s">
        <v>2393</v>
      </c>
      <c r="C720" s="130" t="s">
        <v>2394</v>
      </c>
      <c r="D720" s="130" t="s">
        <v>2488</v>
      </c>
      <c r="E720" s="130"/>
      <c r="F720" s="130" t="s">
        <v>37</v>
      </c>
      <c r="G720" s="139" t="s">
        <v>2489</v>
      </c>
      <c r="H720" s="130" t="s">
        <v>246</v>
      </c>
      <c r="I720" s="130" t="s">
        <v>246</v>
      </c>
      <c r="J720" s="131" t="s">
        <v>2490</v>
      </c>
      <c r="K720" s="130" t="s">
        <v>175</v>
      </c>
      <c r="L720" s="130">
        <v>100</v>
      </c>
      <c r="M720" s="130"/>
      <c r="N720" s="130" t="s">
        <v>664</v>
      </c>
      <c r="O720" s="130" t="s">
        <v>2491</v>
      </c>
      <c r="P720" s="130" t="s">
        <v>95</v>
      </c>
      <c r="Q720" s="130" t="s">
        <v>96</v>
      </c>
      <c r="R720" s="130" t="s">
        <v>84</v>
      </c>
      <c r="S720" s="130" t="s">
        <v>907</v>
      </c>
      <c r="T720" s="130" t="s">
        <v>907</v>
      </c>
      <c r="U720" s="130">
        <v>0</v>
      </c>
      <c r="V720" s="130">
        <v>0</v>
      </c>
      <c r="W720" s="130">
        <v>0</v>
      </c>
      <c r="X720" s="130">
        <v>0</v>
      </c>
      <c r="Y720" s="130"/>
      <c r="Z720" s="130">
        <v>0</v>
      </c>
      <c r="AA720" s="130"/>
      <c r="AB720" s="130"/>
      <c r="AC720" s="130">
        <v>0</v>
      </c>
      <c r="AD720" s="130"/>
      <c r="AE720" s="131"/>
      <c r="AG720" s="132"/>
    </row>
    <row r="721" spans="1:33" s="99" customFormat="1">
      <c r="A721" s="130">
        <f t="shared" si="64"/>
        <v>646</v>
      </c>
      <c r="B721" s="96" t="s">
        <v>2393</v>
      </c>
      <c r="C721" s="130" t="s">
        <v>2394</v>
      </c>
      <c r="D721" s="130" t="s">
        <v>2492</v>
      </c>
      <c r="E721" s="130"/>
      <c r="F721" s="130" t="s">
        <v>37</v>
      </c>
      <c r="G721" s="139" t="s">
        <v>2493</v>
      </c>
      <c r="H721" s="130" t="s">
        <v>246</v>
      </c>
      <c r="I721" s="130" t="s">
        <v>246</v>
      </c>
      <c r="J721" s="140" t="s">
        <v>1287</v>
      </c>
      <c r="K721" s="130" t="s">
        <v>175</v>
      </c>
      <c r="L721" s="130">
        <v>315</v>
      </c>
      <c r="M721" s="130"/>
      <c r="N721" s="130" t="s">
        <v>753</v>
      </c>
      <c r="O721" s="130">
        <v>81071</v>
      </c>
      <c r="P721" s="130">
        <v>2006</v>
      </c>
      <c r="Q721" s="130">
        <v>1</v>
      </c>
      <c r="R721" s="130">
        <v>3</v>
      </c>
      <c r="S721" s="130">
        <v>0</v>
      </c>
      <c r="T721" s="130">
        <v>0</v>
      </c>
      <c r="U721" s="130">
        <v>0</v>
      </c>
      <c r="V721" s="130">
        <v>0</v>
      </c>
      <c r="W721" s="130">
        <v>0</v>
      </c>
      <c r="X721" s="130">
        <v>0</v>
      </c>
      <c r="Y721" s="130"/>
      <c r="Z721" s="130">
        <v>0</v>
      </c>
      <c r="AA721" s="130"/>
      <c r="AB721" s="130"/>
      <c r="AC721" s="130">
        <f t="shared" si="63"/>
        <v>0</v>
      </c>
      <c r="AD721" s="130"/>
      <c r="AE721" s="131" t="s">
        <v>2494</v>
      </c>
      <c r="AG721" s="132"/>
    </row>
    <row r="722" spans="1:33" s="99" customFormat="1">
      <c r="A722" s="130">
        <f t="shared" si="64"/>
        <v>647</v>
      </c>
      <c r="B722" s="96" t="s">
        <v>2393</v>
      </c>
      <c r="C722" s="130" t="s">
        <v>2394</v>
      </c>
      <c r="D722" s="130" t="s">
        <v>2495</v>
      </c>
      <c r="E722" s="130"/>
      <c r="F722" s="130" t="s">
        <v>37</v>
      </c>
      <c r="G722" s="139" t="s">
        <v>2493</v>
      </c>
      <c r="H722" s="130" t="s">
        <v>741</v>
      </c>
      <c r="I722" s="130" t="s">
        <v>741</v>
      </c>
      <c r="J722" s="130">
        <v>1096</v>
      </c>
      <c r="K722" s="130" t="s">
        <v>175</v>
      </c>
      <c r="L722" s="130">
        <v>160</v>
      </c>
      <c r="M722" s="130"/>
      <c r="N722" s="130" t="s">
        <v>93</v>
      </c>
      <c r="O722" s="130" t="s">
        <v>2496</v>
      </c>
      <c r="P722" s="130">
        <v>2024</v>
      </c>
      <c r="Q722" s="130">
        <v>1</v>
      </c>
      <c r="R722" s="130">
        <v>1</v>
      </c>
      <c r="S722" s="130"/>
      <c r="T722" s="130"/>
      <c r="U722" s="130"/>
      <c r="V722" s="130"/>
      <c r="W722" s="130"/>
      <c r="X722" s="130"/>
      <c r="Y722" s="130"/>
      <c r="Z722" s="130"/>
      <c r="AA722" s="130"/>
      <c r="AB722" s="130"/>
      <c r="AC722" s="130">
        <f t="shared" si="63"/>
        <v>0</v>
      </c>
      <c r="AD722" s="130"/>
      <c r="AE722" s="131"/>
      <c r="AG722" s="132"/>
    </row>
    <row r="723" spans="1:33" s="99" customFormat="1">
      <c r="A723" s="130">
        <f t="shared" si="64"/>
        <v>648</v>
      </c>
      <c r="B723" s="96" t="s">
        <v>2393</v>
      </c>
      <c r="C723" s="130" t="s">
        <v>2394</v>
      </c>
      <c r="D723" s="130" t="s">
        <v>2497</v>
      </c>
      <c r="E723" s="130"/>
      <c r="F723" s="130" t="s">
        <v>37</v>
      </c>
      <c r="G723" s="139" t="s">
        <v>2498</v>
      </c>
      <c r="H723" s="130" t="s">
        <v>246</v>
      </c>
      <c r="I723" s="130" t="s">
        <v>246</v>
      </c>
      <c r="J723" s="140" t="s">
        <v>2499</v>
      </c>
      <c r="K723" s="130" t="s">
        <v>175</v>
      </c>
      <c r="L723" s="130">
        <v>100</v>
      </c>
      <c r="M723" s="130"/>
      <c r="N723" s="130" t="s">
        <v>1143</v>
      </c>
      <c r="O723" s="130">
        <v>8304038</v>
      </c>
      <c r="P723" s="130">
        <v>1984</v>
      </c>
      <c r="Q723" s="130">
        <v>1</v>
      </c>
      <c r="R723" s="130">
        <v>2</v>
      </c>
      <c r="S723" s="130">
        <v>0</v>
      </c>
      <c r="T723" s="130">
        <v>0</v>
      </c>
      <c r="U723" s="130">
        <v>0</v>
      </c>
      <c r="V723" s="130">
        <v>0</v>
      </c>
      <c r="W723" s="130">
        <v>0</v>
      </c>
      <c r="X723" s="130">
        <v>0</v>
      </c>
      <c r="Y723" s="130"/>
      <c r="Z723" s="130">
        <v>0</v>
      </c>
      <c r="AA723" s="130"/>
      <c r="AB723" s="130"/>
      <c r="AC723" s="130">
        <f t="shared" si="63"/>
        <v>0</v>
      </c>
      <c r="AD723" s="130"/>
      <c r="AE723" s="131"/>
      <c r="AG723" s="132"/>
    </row>
    <row r="724" spans="1:33" s="99" customFormat="1">
      <c r="A724" s="130">
        <f>A722+1</f>
        <v>648</v>
      </c>
      <c r="B724" s="96" t="s">
        <v>2393</v>
      </c>
      <c r="C724" s="130" t="s">
        <v>2394</v>
      </c>
      <c r="D724" s="130" t="s">
        <v>2500</v>
      </c>
      <c r="E724" s="130"/>
      <c r="F724" s="130" t="s">
        <v>37</v>
      </c>
      <c r="G724" s="139" t="s">
        <v>2501</v>
      </c>
      <c r="H724" s="130" t="s">
        <v>246</v>
      </c>
      <c r="I724" s="130" t="s">
        <v>246</v>
      </c>
      <c r="J724" s="130"/>
      <c r="K724" s="130" t="s">
        <v>175</v>
      </c>
      <c r="L724" s="130">
        <v>160</v>
      </c>
      <c r="M724" s="130"/>
      <c r="N724" s="130" t="s">
        <v>780</v>
      </c>
      <c r="O724" s="130">
        <v>132092</v>
      </c>
      <c r="P724" s="130">
        <v>1982</v>
      </c>
      <c r="Q724" s="130">
        <v>1</v>
      </c>
      <c r="R724" s="130">
        <v>2</v>
      </c>
      <c r="S724" s="130"/>
      <c r="T724" s="130"/>
      <c r="U724" s="130"/>
      <c r="V724" s="130"/>
      <c r="W724" s="130"/>
      <c r="X724" s="130"/>
      <c r="Y724" s="130"/>
      <c r="Z724" s="130"/>
      <c r="AA724" s="130"/>
      <c r="AB724" s="130"/>
      <c r="AC724" s="130"/>
      <c r="AD724" s="130"/>
      <c r="AE724" s="131" t="s">
        <v>2502</v>
      </c>
      <c r="AG724" s="132"/>
    </row>
    <row r="725" spans="1:33" s="99" customFormat="1">
      <c r="A725" s="130">
        <f>A723+1</f>
        <v>649</v>
      </c>
      <c r="B725" s="96" t="s">
        <v>2393</v>
      </c>
      <c r="C725" s="130" t="s">
        <v>2394</v>
      </c>
      <c r="D725" s="130" t="s">
        <v>2503</v>
      </c>
      <c r="E725" s="130"/>
      <c r="F725" s="130" t="s">
        <v>37</v>
      </c>
      <c r="G725" s="139" t="s">
        <v>2504</v>
      </c>
      <c r="H725" s="130" t="s">
        <v>246</v>
      </c>
      <c r="I725" s="130" t="s">
        <v>246</v>
      </c>
      <c r="J725" s="130"/>
      <c r="K725" s="130" t="s">
        <v>175</v>
      </c>
      <c r="L725" s="130">
        <v>250</v>
      </c>
      <c r="M725" s="130"/>
      <c r="N725" s="129" t="s">
        <v>324</v>
      </c>
      <c r="O725" s="129" t="s">
        <v>2505</v>
      </c>
      <c r="P725" s="129">
        <v>2025</v>
      </c>
      <c r="Q725" s="130">
        <v>1</v>
      </c>
      <c r="R725" s="130">
        <v>2</v>
      </c>
      <c r="S725" s="130"/>
      <c r="T725" s="130"/>
      <c r="U725" s="130"/>
      <c r="V725" s="130"/>
      <c r="W725" s="130"/>
      <c r="X725" s="130"/>
      <c r="Y725" s="130"/>
      <c r="Z725" s="130"/>
      <c r="AA725" s="130"/>
      <c r="AB725" s="130"/>
      <c r="AC725" s="130"/>
      <c r="AD725" s="130"/>
      <c r="AE725" s="131" t="s">
        <v>2502</v>
      </c>
      <c r="AG725" s="132"/>
    </row>
    <row r="726" spans="1:33" s="99" customFormat="1">
      <c r="A726" s="130">
        <f t="shared" si="64"/>
        <v>650</v>
      </c>
      <c r="B726" s="96" t="s">
        <v>2393</v>
      </c>
      <c r="C726" s="130" t="s">
        <v>2394</v>
      </c>
      <c r="D726" s="130" t="s">
        <v>2506</v>
      </c>
      <c r="E726" s="130"/>
      <c r="F726" s="130" t="s">
        <v>63</v>
      </c>
      <c r="G726" s="139" t="s">
        <v>2507</v>
      </c>
      <c r="H726" s="130" t="s">
        <v>246</v>
      </c>
      <c r="I726" s="130" t="s">
        <v>246</v>
      </c>
      <c r="J726" s="140" t="s">
        <v>2508</v>
      </c>
      <c r="K726" s="130" t="s">
        <v>175</v>
      </c>
      <c r="L726" s="130">
        <v>250</v>
      </c>
      <c r="M726" s="130"/>
      <c r="N726" s="130" t="s">
        <v>59</v>
      </c>
      <c r="O726" s="140" t="s">
        <v>2509</v>
      </c>
      <c r="P726" s="130" t="s">
        <v>255</v>
      </c>
      <c r="Q726" s="130">
        <v>1</v>
      </c>
      <c r="R726" s="130">
        <v>1</v>
      </c>
      <c r="S726" s="130"/>
      <c r="T726" s="130"/>
      <c r="U726" s="130"/>
      <c r="V726" s="130"/>
      <c r="W726" s="130"/>
      <c r="X726" s="130"/>
      <c r="Y726" s="130"/>
      <c r="Z726" s="130"/>
      <c r="AA726" s="130"/>
      <c r="AB726" s="130"/>
      <c r="AC726" s="130">
        <f t="shared" si="63"/>
        <v>0</v>
      </c>
      <c r="AD726" s="130"/>
      <c r="AE726" s="131"/>
      <c r="AG726" s="132"/>
    </row>
    <row r="727" spans="1:33" s="99" customFormat="1">
      <c r="A727" s="130">
        <f t="shared" si="64"/>
        <v>651</v>
      </c>
      <c r="B727" s="96" t="s">
        <v>2393</v>
      </c>
      <c r="C727" s="130" t="s">
        <v>2394</v>
      </c>
      <c r="D727" s="130" t="s">
        <v>2510</v>
      </c>
      <c r="E727" s="130"/>
      <c r="F727" s="130" t="s">
        <v>63</v>
      </c>
      <c r="G727" s="139" t="s">
        <v>2511</v>
      </c>
      <c r="H727" s="130" t="s">
        <v>246</v>
      </c>
      <c r="I727" s="130" t="s">
        <v>246</v>
      </c>
      <c r="J727" s="140" t="s">
        <v>2512</v>
      </c>
      <c r="K727" s="130" t="s">
        <v>175</v>
      </c>
      <c r="L727" s="130">
        <v>250</v>
      </c>
      <c r="M727" s="130"/>
      <c r="N727" s="130" t="s">
        <v>664</v>
      </c>
      <c r="O727" s="130" t="s">
        <v>2513</v>
      </c>
      <c r="P727" s="130">
        <v>2024</v>
      </c>
      <c r="Q727" s="130">
        <v>1</v>
      </c>
      <c r="R727" s="130">
        <v>2</v>
      </c>
      <c r="S727" s="130">
        <v>0</v>
      </c>
      <c r="T727" s="130">
        <v>0</v>
      </c>
      <c r="U727" s="130">
        <v>0</v>
      </c>
      <c r="V727" s="130">
        <v>0</v>
      </c>
      <c r="W727" s="130">
        <v>0</v>
      </c>
      <c r="X727" s="130">
        <v>0</v>
      </c>
      <c r="Y727" s="130"/>
      <c r="Z727" s="130">
        <v>0</v>
      </c>
      <c r="AA727" s="130"/>
      <c r="AB727" s="130"/>
      <c r="AC727" s="130">
        <f t="shared" si="63"/>
        <v>0</v>
      </c>
      <c r="AD727" s="130"/>
      <c r="AE727" s="131"/>
      <c r="AG727" s="132"/>
    </row>
    <row r="728" spans="1:33" s="14" customFormat="1">
      <c r="A728" s="133">
        <f>A726+1</f>
        <v>651</v>
      </c>
      <c r="B728" s="11" t="s">
        <v>2393</v>
      </c>
      <c r="C728" s="133" t="s">
        <v>2394</v>
      </c>
      <c r="D728" s="133" t="s">
        <v>2514</v>
      </c>
      <c r="E728" s="133"/>
      <c r="F728" s="133" t="s">
        <v>37</v>
      </c>
      <c r="G728" s="134" t="s">
        <v>2515</v>
      </c>
      <c r="H728" s="133" t="s">
        <v>246</v>
      </c>
      <c r="I728" s="133" t="s">
        <v>246</v>
      </c>
      <c r="J728" s="133"/>
      <c r="K728" s="133" t="s">
        <v>175</v>
      </c>
      <c r="L728" s="133">
        <v>160</v>
      </c>
      <c r="M728" s="133"/>
      <c r="N728" s="133" t="s">
        <v>664</v>
      </c>
      <c r="O728" s="133" t="s">
        <v>2516</v>
      </c>
      <c r="P728" s="133">
        <v>2024</v>
      </c>
      <c r="Q728" s="133">
        <v>1</v>
      </c>
      <c r="R728" s="133">
        <v>1</v>
      </c>
      <c r="S728" s="133"/>
      <c r="T728" s="133"/>
      <c r="U728" s="133"/>
      <c r="V728" s="133"/>
      <c r="W728" s="133"/>
      <c r="X728" s="133"/>
      <c r="Y728" s="133"/>
      <c r="Z728" s="133"/>
      <c r="AA728" s="133"/>
      <c r="AB728" s="133"/>
      <c r="AC728" s="133">
        <f t="shared" si="63"/>
        <v>0</v>
      </c>
      <c r="AD728" s="133"/>
      <c r="AE728" s="136"/>
      <c r="AG728" s="137"/>
    </row>
    <row r="729" spans="1:33" s="14" customFormat="1">
      <c r="A729" s="133">
        <f>A727+1</f>
        <v>652</v>
      </c>
      <c r="B729" s="11" t="s">
        <v>2393</v>
      </c>
      <c r="C729" s="133" t="s">
        <v>2394</v>
      </c>
      <c r="D729" s="133" t="s">
        <v>2517</v>
      </c>
      <c r="E729" s="133"/>
      <c r="F729" s="133" t="s">
        <v>37</v>
      </c>
      <c r="G729" s="134" t="s">
        <v>2518</v>
      </c>
      <c r="H729" s="133" t="s">
        <v>246</v>
      </c>
      <c r="I729" s="133" t="s">
        <v>246</v>
      </c>
      <c r="J729" s="135" t="s">
        <v>2397</v>
      </c>
      <c r="K729" s="133" t="s">
        <v>175</v>
      </c>
      <c r="L729" s="133">
        <v>250</v>
      </c>
      <c r="M729" s="133"/>
      <c r="N729" s="133" t="s">
        <v>1143</v>
      </c>
      <c r="O729" s="133">
        <v>8311010</v>
      </c>
      <c r="P729" s="133">
        <v>1984</v>
      </c>
      <c r="Q729" s="133">
        <v>1</v>
      </c>
      <c r="R729" s="133">
        <v>2</v>
      </c>
      <c r="S729" s="133"/>
      <c r="T729" s="133"/>
      <c r="U729" s="133"/>
      <c r="V729" s="133"/>
      <c r="W729" s="133"/>
      <c r="X729" s="133"/>
      <c r="Y729" s="133"/>
      <c r="Z729" s="133"/>
      <c r="AA729" s="133"/>
      <c r="AB729" s="133"/>
      <c r="AC729" s="133">
        <f t="shared" si="63"/>
        <v>0</v>
      </c>
      <c r="AD729" s="133"/>
      <c r="AE729" s="136"/>
      <c r="AG729" s="137"/>
    </row>
    <row r="730" spans="1:33" s="99" customFormat="1">
      <c r="A730" s="130">
        <f>A727+1</f>
        <v>652</v>
      </c>
      <c r="B730" s="96" t="s">
        <v>2393</v>
      </c>
      <c r="C730" s="130" t="s">
        <v>2394</v>
      </c>
      <c r="D730" s="130" t="s">
        <v>2519</v>
      </c>
      <c r="E730" s="130"/>
      <c r="F730" s="130" t="s">
        <v>63</v>
      </c>
      <c r="G730" s="139" t="s">
        <v>2520</v>
      </c>
      <c r="H730" s="130" t="s">
        <v>246</v>
      </c>
      <c r="I730" s="130" t="s">
        <v>246</v>
      </c>
      <c r="J730" s="140" t="s">
        <v>2521</v>
      </c>
      <c r="K730" s="130" t="s">
        <v>175</v>
      </c>
      <c r="L730" s="130">
        <v>160</v>
      </c>
      <c r="M730" s="130"/>
      <c r="N730" s="130" t="s">
        <v>93</v>
      </c>
      <c r="O730" s="130"/>
      <c r="P730" s="130">
        <v>2025</v>
      </c>
      <c r="Q730" s="130">
        <v>1</v>
      </c>
      <c r="R730" s="130">
        <v>1</v>
      </c>
      <c r="S730" s="130">
        <v>0</v>
      </c>
      <c r="T730" s="130">
        <v>0</v>
      </c>
      <c r="U730" s="130">
        <v>0</v>
      </c>
      <c r="V730" s="130">
        <v>0</v>
      </c>
      <c r="W730" s="130">
        <v>0</v>
      </c>
      <c r="X730" s="130">
        <v>0</v>
      </c>
      <c r="Y730" s="130"/>
      <c r="Z730" s="130">
        <v>0</v>
      </c>
      <c r="AA730" s="130"/>
      <c r="AB730" s="130"/>
      <c r="AC730" s="130">
        <f t="shared" si="63"/>
        <v>0</v>
      </c>
      <c r="AD730" s="130"/>
      <c r="AE730" s="131"/>
      <c r="AG730" s="132"/>
    </row>
    <row r="731" spans="1:33" s="14" customFormat="1">
      <c r="A731" s="133">
        <f>A729+1</f>
        <v>653</v>
      </c>
      <c r="B731" s="11" t="s">
        <v>2393</v>
      </c>
      <c r="C731" s="133" t="s">
        <v>2394</v>
      </c>
      <c r="D731" s="133" t="s">
        <v>2522</v>
      </c>
      <c r="E731" s="133"/>
      <c r="F731" s="133" t="s">
        <v>63</v>
      </c>
      <c r="G731" s="134" t="s">
        <v>2523</v>
      </c>
      <c r="H731" s="133" t="s">
        <v>246</v>
      </c>
      <c r="I731" s="133" t="s">
        <v>246</v>
      </c>
      <c r="J731" s="135" t="s">
        <v>2524</v>
      </c>
      <c r="K731" s="133" t="s">
        <v>175</v>
      </c>
      <c r="L731" s="133">
        <v>160</v>
      </c>
      <c r="M731" s="133"/>
      <c r="N731" s="133" t="s">
        <v>664</v>
      </c>
      <c r="O731" s="133"/>
      <c r="P731" s="133"/>
      <c r="Q731" s="133">
        <v>1</v>
      </c>
      <c r="R731" s="133"/>
      <c r="S731" s="133">
        <v>0</v>
      </c>
      <c r="T731" s="133">
        <v>0</v>
      </c>
      <c r="U731" s="133">
        <v>0</v>
      </c>
      <c r="V731" s="133">
        <v>0</v>
      </c>
      <c r="W731" s="133">
        <v>0</v>
      </c>
      <c r="X731" s="133">
        <v>0</v>
      </c>
      <c r="Y731" s="133"/>
      <c r="Z731" s="133">
        <v>0</v>
      </c>
      <c r="AA731" s="133"/>
      <c r="AB731" s="133"/>
      <c r="AC731" s="133">
        <f t="shared" si="63"/>
        <v>0</v>
      </c>
      <c r="AD731" s="133"/>
      <c r="AE731" s="136"/>
      <c r="AG731" s="137"/>
    </row>
    <row r="732" spans="1:33" s="14" customFormat="1">
      <c r="A732" s="133">
        <f t="shared" si="64"/>
        <v>654</v>
      </c>
      <c r="B732" s="11" t="s">
        <v>2393</v>
      </c>
      <c r="C732" s="133" t="s">
        <v>2394</v>
      </c>
      <c r="D732" s="133" t="s">
        <v>2525</v>
      </c>
      <c r="E732" s="133"/>
      <c r="F732" s="133" t="s">
        <v>37</v>
      </c>
      <c r="G732" s="134" t="s">
        <v>2526</v>
      </c>
      <c r="H732" s="133" t="s">
        <v>246</v>
      </c>
      <c r="I732" s="133" t="s">
        <v>246</v>
      </c>
      <c r="J732" s="135" t="s">
        <v>2527</v>
      </c>
      <c r="K732" s="133" t="s">
        <v>175</v>
      </c>
      <c r="L732" s="133">
        <v>250</v>
      </c>
      <c r="M732" s="133"/>
      <c r="N732" s="133" t="s">
        <v>59</v>
      </c>
      <c r="O732" s="133">
        <v>213301965</v>
      </c>
      <c r="P732" s="133">
        <v>2021</v>
      </c>
      <c r="Q732" s="133">
        <v>1</v>
      </c>
      <c r="R732" s="133">
        <v>3</v>
      </c>
      <c r="S732" s="133">
        <v>0</v>
      </c>
      <c r="T732" s="133">
        <v>0</v>
      </c>
      <c r="U732" s="133">
        <v>0</v>
      </c>
      <c r="V732" s="133">
        <v>0</v>
      </c>
      <c r="W732" s="133">
        <v>0</v>
      </c>
      <c r="X732" s="133">
        <v>0</v>
      </c>
      <c r="Y732" s="133"/>
      <c r="Z732" s="133">
        <v>0</v>
      </c>
      <c r="AA732" s="133"/>
      <c r="AB732" s="133"/>
      <c r="AC732" s="133">
        <f t="shared" si="63"/>
        <v>0</v>
      </c>
      <c r="AD732" s="133"/>
      <c r="AE732" s="136"/>
      <c r="AG732" s="137"/>
    </row>
    <row r="733" spans="1:33" s="99" customFormat="1">
      <c r="A733" s="130">
        <f t="shared" si="64"/>
        <v>655</v>
      </c>
      <c r="B733" s="96" t="s">
        <v>2393</v>
      </c>
      <c r="C733" s="130" t="s">
        <v>2394</v>
      </c>
      <c r="D733" s="130" t="s">
        <v>2528</v>
      </c>
      <c r="E733" s="130"/>
      <c r="F733" s="130" t="s">
        <v>37</v>
      </c>
      <c r="G733" s="139" t="s">
        <v>2529</v>
      </c>
      <c r="H733" s="130" t="s">
        <v>246</v>
      </c>
      <c r="I733" s="130" t="s">
        <v>246</v>
      </c>
      <c r="J733" s="140" t="s">
        <v>2530</v>
      </c>
      <c r="K733" s="130" t="s">
        <v>175</v>
      </c>
      <c r="L733" s="130">
        <v>250</v>
      </c>
      <c r="M733" s="130"/>
      <c r="N733" s="130" t="s">
        <v>59</v>
      </c>
      <c r="O733" s="130">
        <v>203303335</v>
      </c>
      <c r="P733" s="130">
        <v>2020</v>
      </c>
      <c r="Q733" s="130">
        <v>1</v>
      </c>
      <c r="R733" s="130">
        <v>3</v>
      </c>
      <c r="S733" s="130">
        <v>0</v>
      </c>
      <c r="T733" s="130">
        <v>0</v>
      </c>
      <c r="U733" s="130">
        <v>0</v>
      </c>
      <c r="V733" s="130">
        <v>0</v>
      </c>
      <c r="W733" s="130">
        <v>0</v>
      </c>
      <c r="X733" s="130">
        <v>0</v>
      </c>
      <c r="Y733" s="130"/>
      <c r="Z733" s="130">
        <v>0</v>
      </c>
      <c r="AA733" s="130"/>
      <c r="AB733" s="130"/>
      <c r="AC733" s="130">
        <f t="shared" si="63"/>
        <v>0</v>
      </c>
      <c r="AD733" s="130"/>
      <c r="AE733" s="131"/>
      <c r="AG733" s="132"/>
    </row>
    <row r="734" spans="1:33" s="14" customFormat="1">
      <c r="A734" s="133">
        <f t="shared" si="64"/>
        <v>656</v>
      </c>
      <c r="B734" s="11" t="s">
        <v>2393</v>
      </c>
      <c r="C734" s="133" t="s">
        <v>2394</v>
      </c>
      <c r="D734" s="133" t="s">
        <v>2531</v>
      </c>
      <c r="E734" s="133"/>
      <c r="F734" s="133" t="s">
        <v>37</v>
      </c>
      <c r="G734" s="134" t="s">
        <v>2532</v>
      </c>
      <c r="H734" s="133" t="s">
        <v>246</v>
      </c>
      <c r="I734" s="133" t="s">
        <v>246</v>
      </c>
      <c r="J734" s="135" t="s">
        <v>2533</v>
      </c>
      <c r="K734" s="133" t="s">
        <v>175</v>
      </c>
      <c r="L734" s="133">
        <v>200</v>
      </c>
      <c r="M734" s="133"/>
      <c r="N734" s="133" t="s">
        <v>93</v>
      </c>
      <c r="O734" s="133" t="s">
        <v>2534</v>
      </c>
      <c r="P734" s="133" t="s">
        <v>766</v>
      </c>
      <c r="Q734" s="133">
        <v>1</v>
      </c>
      <c r="R734" s="133">
        <v>4</v>
      </c>
      <c r="S734" s="133">
        <v>0</v>
      </c>
      <c r="T734" s="133">
        <v>0</v>
      </c>
      <c r="U734" s="133">
        <v>0</v>
      </c>
      <c r="V734" s="133">
        <v>0</v>
      </c>
      <c r="W734" s="133">
        <v>0</v>
      </c>
      <c r="X734" s="133">
        <v>0</v>
      </c>
      <c r="Y734" s="133"/>
      <c r="Z734" s="133">
        <v>0</v>
      </c>
      <c r="AA734" s="133"/>
      <c r="AB734" s="133"/>
      <c r="AC734" s="133">
        <f t="shared" si="63"/>
        <v>0</v>
      </c>
      <c r="AD734" s="133"/>
      <c r="AE734" s="136" t="s">
        <v>2535</v>
      </c>
      <c r="AG734" s="137" t="s">
        <v>2535</v>
      </c>
    </row>
    <row r="735" spans="1:33" s="14" customFormat="1">
      <c r="A735" s="133">
        <f t="shared" si="64"/>
        <v>657</v>
      </c>
      <c r="B735" s="11" t="s">
        <v>2393</v>
      </c>
      <c r="C735" s="133" t="s">
        <v>2394</v>
      </c>
      <c r="D735" s="133" t="s">
        <v>2536</v>
      </c>
      <c r="E735" s="133"/>
      <c r="F735" s="133" t="s">
        <v>37</v>
      </c>
      <c r="G735" s="134" t="s">
        <v>2537</v>
      </c>
      <c r="H735" s="133" t="s">
        <v>741</v>
      </c>
      <c r="I735" s="133" t="s">
        <v>741</v>
      </c>
      <c r="J735" s="133" t="s">
        <v>2538</v>
      </c>
      <c r="K735" s="133" t="s">
        <v>175</v>
      </c>
      <c r="L735" s="133">
        <v>100</v>
      </c>
      <c r="M735" s="133"/>
      <c r="N735" s="133" t="s">
        <v>664</v>
      </c>
      <c r="O735" s="133" t="s">
        <v>2539</v>
      </c>
      <c r="P735" s="133" t="s">
        <v>95</v>
      </c>
      <c r="Q735" s="133">
        <v>1</v>
      </c>
      <c r="R735" s="133" t="s">
        <v>482</v>
      </c>
      <c r="S735" s="133">
        <v>0</v>
      </c>
      <c r="T735" s="133">
        <v>0</v>
      </c>
      <c r="U735" s="133">
        <v>0</v>
      </c>
      <c r="V735" s="133">
        <v>0</v>
      </c>
      <c r="W735" s="133">
        <v>0</v>
      </c>
      <c r="X735" s="133">
        <v>0</v>
      </c>
      <c r="Y735" s="133"/>
      <c r="Z735" s="133">
        <v>0</v>
      </c>
      <c r="AA735" s="133"/>
      <c r="AB735" s="133"/>
      <c r="AC735" s="133">
        <f t="shared" si="63"/>
        <v>0</v>
      </c>
      <c r="AD735" s="133"/>
      <c r="AE735" s="136" t="s">
        <v>2540</v>
      </c>
      <c r="AG735" s="137"/>
    </row>
    <row r="736" spans="1:33" s="14" customFormat="1">
      <c r="A736" s="133">
        <f t="shared" si="64"/>
        <v>658</v>
      </c>
      <c r="B736" s="11" t="s">
        <v>2393</v>
      </c>
      <c r="C736" s="133" t="s">
        <v>2394</v>
      </c>
      <c r="D736" s="133" t="s">
        <v>2541</v>
      </c>
      <c r="E736" s="133"/>
      <c r="F736" s="133" t="s">
        <v>63</v>
      </c>
      <c r="G736" s="134"/>
      <c r="H736" s="133" t="s">
        <v>39</v>
      </c>
      <c r="I736" s="133" t="s">
        <v>40</v>
      </c>
      <c r="J736" s="133" t="s">
        <v>2542</v>
      </c>
      <c r="K736" s="133" t="s">
        <v>175</v>
      </c>
      <c r="L736" s="133"/>
      <c r="M736" s="133"/>
      <c r="N736" s="133"/>
      <c r="O736" s="133"/>
      <c r="P736" s="133"/>
      <c r="Q736" s="133"/>
      <c r="R736" s="133"/>
      <c r="S736" s="133" t="s">
        <v>381</v>
      </c>
      <c r="T736" s="133" t="s">
        <v>381</v>
      </c>
      <c r="U736" s="133">
        <v>1</v>
      </c>
      <c r="V736" s="133"/>
      <c r="W736" s="133">
        <v>1</v>
      </c>
      <c r="X736" s="133"/>
      <c r="Y736" s="133"/>
      <c r="Z736" s="133"/>
      <c r="AA736" s="133"/>
      <c r="AB736" s="133"/>
      <c r="AC736" s="133">
        <f t="shared" si="63"/>
        <v>2</v>
      </c>
      <c r="AD736" s="133"/>
      <c r="AE736" s="136"/>
      <c r="AG736" s="137"/>
    </row>
    <row r="737" spans="1:33" s="14" customFormat="1">
      <c r="A737" s="133">
        <f>A734+1</f>
        <v>657</v>
      </c>
      <c r="B737" s="11" t="s">
        <v>2393</v>
      </c>
      <c r="C737" s="133" t="s">
        <v>2394</v>
      </c>
      <c r="D737" s="133" t="s">
        <v>2543</v>
      </c>
      <c r="E737" s="133"/>
      <c r="F737" s="133" t="s">
        <v>37</v>
      </c>
      <c r="G737" s="134" t="s">
        <v>2544</v>
      </c>
      <c r="H737" s="133" t="s">
        <v>741</v>
      </c>
      <c r="I737" s="133" t="s">
        <v>741</v>
      </c>
      <c r="J737" s="133" t="s">
        <v>2545</v>
      </c>
      <c r="K737" s="133" t="s">
        <v>175</v>
      </c>
      <c r="L737" s="133">
        <v>160</v>
      </c>
      <c r="M737" s="133"/>
      <c r="N737" s="133" t="s">
        <v>664</v>
      </c>
      <c r="O737" s="133" t="s">
        <v>2546</v>
      </c>
      <c r="P737" s="133" t="s">
        <v>95</v>
      </c>
      <c r="Q737" s="133">
        <v>1</v>
      </c>
      <c r="R737" s="133" t="s">
        <v>96</v>
      </c>
      <c r="S737" s="133">
        <v>0</v>
      </c>
      <c r="T737" s="133">
        <v>0</v>
      </c>
      <c r="U737" s="133">
        <v>0</v>
      </c>
      <c r="V737" s="133">
        <v>0</v>
      </c>
      <c r="W737" s="133">
        <v>0</v>
      </c>
      <c r="X737" s="133">
        <v>0</v>
      </c>
      <c r="Y737" s="133"/>
      <c r="Z737" s="133">
        <v>0</v>
      </c>
      <c r="AA737" s="133"/>
      <c r="AB737" s="133"/>
      <c r="AC737" s="133">
        <f t="shared" si="63"/>
        <v>0</v>
      </c>
      <c r="AD737" s="133"/>
      <c r="AE737" s="136"/>
      <c r="AG737" s="137"/>
    </row>
    <row r="738" spans="1:33" s="99" customFormat="1">
      <c r="A738" s="130">
        <f>A735+1</f>
        <v>658</v>
      </c>
      <c r="B738" s="96" t="s">
        <v>2393</v>
      </c>
      <c r="C738" s="130" t="s">
        <v>2394</v>
      </c>
      <c r="D738" s="130" t="s">
        <v>2547</v>
      </c>
      <c r="E738" s="130"/>
      <c r="F738" s="130" t="s">
        <v>1660</v>
      </c>
      <c r="G738" s="139" t="s">
        <v>2548</v>
      </c>
      <c r="H738" s="130" t="s">
        <v>741</v>
      </c>
      <c r="I738" s="130" t="s">
        <v>741</v>
      </c>
      <c r="J738" s="130"/>
      <c r="K738" s="130" t="s">
        <v>175</v>
      </c>
      <c r="L738" s="130">
        <v>100</v>
      </c>
      <c r="M738" s="130"/>
      <c r="N738" s="129" t="s">
        <v>424</v>
      </c>
      <c r="O738" s="188" t="s">
        <v>2549</v>
      </c>
      <c r="P738" s="129">
        <v>2024</v>
      </c>
      <c r="Q738" s="130">
        <v>1</v>
      </c>
      <c r="R738" s="130" t="s">
        <v>96</v>
      </c>
      <c r="S738" s="130">
        <v>0</v>
      </c>
      <c r="T738" s="130">
        <v>0</v>
      </c>
      <c r="U738" s="130">
        <v>0</v>
      </c>
      <c r="V738" s="130">
        <v>0</v>
      </c>
      <c r="W738" s="130">
        <v>0</v>
      </c>
      <c r="X738" s="130">
        <v>0</v>
      </c>
      <c r="Y738" s="130"/>
      <c r="Z738" s="130">
        <v>0</v>
      </c>
      <c r="AA738" s="130"/>
      <c r="AB738" s="130"/>
      <c r="AC738" s="130">
        <f t="shared" si="63"/>
        <v>0</v>
      </c>
      <c r="AD738" s="130"/>
      <c r="AE738" s="131"/>
      <c r="AG738" s="132"/>
    </row>
    <row r="739" spans="1:33" s="14" customFormat="1">
      <c r="A739" s="133">
        <f>A736+1</f>
        <v>659</v>
      </c>
      <c r="B739" s="11" t="s">
        <v>2393</v>
      </c>
      <c r="C739" s="133" t="s">
        <v>2394</v>
      </c>
      <c r="D739" s="133" t="s">
        <v>2550</v>
      </c>
      <c r="E739" s="133"/>
      <c r="F739" s="133" t="s">
        <v>37</v>
      </c>
      <c r="G739" s="134" t="s">
        <v>2551</v>
      </c>
      <c r="H739" s="133" t="s">
        <v>741</v>
      </c>
      <c r="I739" s="133" t="s">
        <v>741</v>
      </c>
      <c r="J739" s="133"/>
      <c r="K739" s="133" t="s">
        <v>175</v>
      </c>
      <c r="L739" s="133">
        <v>160</v>
      </c>
      <c r="M739" s="133"/>
      <c r="N739" s="133" t="s">
        <v>324</v>
      </c>
      <c r="O739" s="133" t="s">
        <v>2552</v>
      </c>
      <c r="P739" s="133">
        <v>2024</v>
      </c>
      <c r="Q739" s="133">
        <v>1</v>
      </c>
      <c r="R739" s="133" t="s">
        <v>96</v>
      </c>
      <c r="S739" s="133">
        <v>0</v>
      </c>
      <c r="T739" s="133">
        <v>0</v>
      </c>
      <c r="U739" s="133">
        <v>0</v>
      </c>
      <c r="V739" s="133">
        <v>0</v>
      </c>
      <c r="W739" s="133">
        <v>0</v>
      </c>
      <c r="X739" s="133">
        <v>0</v>
      </c>
      <c r="Y739" s="133"/>
      <c r="Z739" s="133">
        <v>0</v>
      </c>
      <c r="AA739" s="133"/>
      <c r="AB739" s="133"/>
      <c r="AC739" s="133">
        <f t="shared" si="63"/>
        <v>0</v>
      </c>
      <c r="AD739" s="133"/>
      <c r="AE739" s="136"/>
      <c r="AG739" s="137"/>
    </row>
    <row r="740" spans="1:33" s="14" customFormat="1">
      <c r="A740" s="133">
        <f t="shared" si="64"/>
        <v>660</v>
      </c>
      <c r="B740" s="11" t="s">
        <v>2393</v>
      </c>
      <c r="C740" s="133" t="s">
        <v>2394</v>
      </c>
      <c r="D740" s="133" t="s">
        <v>2553</v>
      </c>
      <c r="E740" s="133"/>
      <c r="F740" s="133" t="s">
        <v>37</v>
      </c>
      <c r="G740" s="134" t="s">
        <v>2554</v>
      </c>
      <c r="H740" s="133" t="s">
        <v>246</v>
      </c>
      <c r="I740" s="133" t="s">
        <v>246</v>
      </c>
      <c r="J740" s="135" t="s">
        <v>2555</v>
      </c>
      <c r="K740" s="133" t="s">
        <v>175</v>
      </c>
      <c r="L740" s="133">
        <v>250</v>
      </c>
      <c r="M740" s="133"/>
      <c r="N740" s="133" t="s">
        <v>59</v>
      </c>
      <c r="O740" s="133">
        <v>203303480</v>
      </c>
      <c r="P740" s="133">
        <v>2020</v>
      </c>
      <c r="Q740" s="133">
        <v>1</v>
      </c>
      <c r="R740" s="133">
        <v>3</v>
      </c>
      <c r="S740" s="133">
        <v>0</v>
      </c>
      <c r="T740" s="133">
        <v>0</v>
      </c>
      <c r="U740" s="133">
        <v>0</v>
      </c>
      <c r="V740" s="133">
        <v>0</v>
      </c>
      <c r="W740" s="133">
        <v>0</v>
      </c>
      <c r="X740" s="133">
        <v>0</v>
      </c>
      <c r="Y740" s="133"/>
      <c r="Z740" s="133">
        <v>0</v>
      </c>
      <c r="AA740" s="133"/>
      <c r="AB740" s="133"/>
      <c r="AC740" s="133">
        <f t="shared" si="63"/>
        <v>0</v>
      </c>
      <c r="AD740" s="133"/>
      <c r="AE740" s="136"/>
      <c r="AG740" s="137"/>
    </row>
    <row r="741" spans="1:33" s="14" customFormat="1">
      <c r="A741" s="133">
        <f t="shared" si="64"/>
        <v>661</v>
      </c>
      <c r="B741" s="11" t="s">
        <v>2393</v>
      </c>
      <c r="C741" s="133" t="s">
        <v>2394</v>
      </c>
      <c r="D741" s="133" t="s">
        <v>2556</v>
      </c>
      <c r="E741" s="133"/>
      <c r="F741" s="133" t="s">
        <v>37</v>
      </c>
      <c r="G741" s="134" t="s">
        <v>2554</v>
      </c>
      <c r="H741" s="133" t="s">
        <v>741</v>
      </c>
      <c r="I741" s="133" t="s">
        <v>741</v>
      </c>
      <c r="J741" s="133" t="s">
        <v>2557</v>
      </c>
      <c r="K741" s="133" t="s">
        <v>175</v>
      </c>
      <c r="L741" s="133">
        <v>160</v>
      </c>
      <c r="M741" s="133"/>
      <c r="N741" s="133" t="s">
        <v>59</v>
      </c>
      <c r="O741" s="133" t="s">
        <v>2558</v>
      </c>
      <c r="P741" s="133" t="s">
        <v>95</v>
      </c>
      <c r="Q741" s="133" t="s">
        <v>96</v>
      </c>
      <c r="R741" s="133" t="s">
        <v>482</v>
      </c>
      <c r="S741" s="133" t="s">
        <v>907</v>
      </c>
      <c r="T741" s="133" t="s">
        <v>907</v>
      </c>
      <c r="U741" s="133">
        <v>0</v>
      </c>
      <c r="V741" s="133">
        <v>0</v>
      </c>
      <c r="W741" s="133">
        <v>0</v>
      </c>
      <c r="X741" s="133">
        <v>0</v>
      </c>
      <c r="Y741" s="133"/>
      <c r="Z741" s="133">
        <v>0</v>
      </c>
      <c r="AA741" s="133"/>
      <c r="AB741" s="133"/>
      <c r="AC741" s="133">
        <f t="shared" si="63"/>
        <v>0</v>
      </c>
      <c r="AD741" s="133"/>
      <c r="AE741" s="136" t="s">
        <v>2559</v>
      </c>
      <c r="AG741" s="137" t="s">
        <v>2560</v>
      </c>
    </row>
    <row r="742" spans="1:33" s="14" customFormat="1">
      <c r="A742" s="133">
        <f t="shared" si="64"/>
        <v>662</v>
      </c>
      <c r="B742" s="11" t="s">
        <v>2393</v>
      </c>
      <c r="C742" s="133" t="s">
        <v>2394</v>
      </c>
      <c r="D742" s="133" t="s">
        <v>2561</v>
      </c>
      <c r="E742" s="133"/>
      <c r="F742" s="133" t="s">
        <v>37</v>
      </c>
      <c r="G742" s="134" t="s">
        <v>2562</v>
      </c>
      <c r="H742" s="133" t="s">
        <v>246</v>
      </c>
      <c r="I742" s="133" t="s">
        <v>246</v>
      </c>
      <c r="J742" s="133" t="s">
        <v>2563</v>
      </c>
      <c r="K742" s="133" t="s">
        <v>175</v>
      </c>
      <c r="L742" s="133">
        <v>250</v>
      </c>
      <c r="M742" s="133"/>
      <c r="N742" s="133" t="s">
        <v>82</v>
      </c>
      <c r="O742" s="133" t="s">
        <v>2564</v>
      </c>
      <c r="P742" s="133" t="s">
        <v>95</v>
      </c>
      <c r="Q742" s="133" t="s">
        <v>96</v>
      </c>
      <c r="R742" s="133" t="s">
        <v>482</v>
      </c>
      <c r="S742" s="133" t="s">
        <v>907</v>
      </c>
      <c r="T742" s="133" t="s">
        <v>907</v>
      </c>
      <c r="U742" s="133">
        <v>0</v>
      </c>
      <c r="V742" s="133">
        <v>0</v>
      </c>
      <c r="W742" s="133">
        <v>0</v>
      </c>
      <c r="X742" s="133">
        <v>0</v>
      </c>
      <c r="Y742" s="133"/>
      <c r="Z742" s="133">
        <v>0</v>
      </c>
      <c r="AA742" s="133"/>
      <c r="AB742" s="133"/>
      <c r="AC742" s="133">
        <f t="shared" si="63"/>
        <v>0</v>
      </c>
      <c r="AD742" s="133"/>
      <c r="AE742" s="136" t="s">
        <v>2565</v>
      </c>
      <c r="AG742" s="137" t="s">
        <v>2560</v>
      </c>
    </row>
    <row r="743" spans="1:33" s="14" customFormat="1">
      <c r="A743" s="133">
        <f t="shared" si="64"/>
        <v>663</v>
      </c>
      <c r="B743" s="11" t="s">
        <v>2393</v>
      </c>
      <c r="C743" s="133" t="s">
        <v>2394</v>
      </c>
      <c r="D743" s="133" t="s">
        <v>2566</v>
      </c>
      <c r="E743" s="133"/>
      <c r="F743" s="133" t="s">
        <v>37</v>
      </c>
      <c r="G743" s="134" t="s">
        <v>2567</v>
      </c>
      <c r="H743" s="133" t="s">
        <v>741</v>
      </c>
      <c r="I743" s="133" t="s">
        <v>741</v>
      </c>
      <c r="J743" s="135" t="s">
        <v>2568</v>
      </c>
      <c r="K743" s="133" t="s">
        <v>175</v>
      </c>
      <c r="L743" s="133">
        <v>250</v>
      </c>
      <c r="M743" s="133"/>
      <c r="N743" s="133" t="s">
        <v>424</v>
      </c>
      <c r="O743" s="133">
        <v>15067118</v>
      </c>
      <c r="P743" s="133">
        <v>2015</v>
      </c>
      <c r="Q743" s="133">
        <v>1</v>
      </c>
      <c r="R743" s="133">
        <v>2</v>
      </c>
      <c r="S743" s="133">
        <v>0</v>
      </c>
      <c r="T743" s="133">
        <v>0</v>
      </c>
      <c r="U743" s="133">
        <v>0</v>
      </c>
      <c r="V743" s="133">
        <v>0</v>
      </c>
      <c r="W743" s="133">
        <v>0</v>
      </c>
      <c r="X743" s="133">
        <v>0</v>
      </c>
      <c r="Y743" s="133"/>
      <c r="Z743" s="133">
        <v>0</v>
      </c>
      <c r="AA743" s="133"/>
      <c r="AB743" s="133"/>
      <c r="AC743" s="133">
        <f t="shared" si="63"/>
        <v>0</v>
      </c>
      <c r="AD743" s="133"/>
      <c r="AE743" s="136"/>
      <c r="AG743" s="137"/>
    </row>
    <row r="744" spans="1:33" s="99" customFormat="1">
      <c r="A744" s="130">
        <f t="shared" si="64"/>
        <v>664</v>
      </c>
      <c r="B744" s="96" t="s">
        <v>2393</v>
      </c>
      <c r="C744" s="130" t="s">
        <v>2394</v>
      </c>
      <c r="D744" s="130" t="s">
        <v>2569</v>
      </c>
      <c r="E744" s="130"/>
      <c r="F744" s="130" t="s">
        <v>37</v>
      </c>
      <c r="G744" s="139" t="s">
        <v>2570</v>
      </c>
      <c r="H744" s="130" t="s">
        <v>741</v>
      </c>
      <c r="I744" s="130" t="s">
        <v>741</v>
      </c>
      <c r="J744" s="140" t="s">
        <v>2571</v>
      </c>
      <c r="K744" s="130" t="s">
        <v>175</v>
      </c>
      <c r="L744" s="130">
        <v>100</v>
      </c>
      <c r="M744" s="130"/>
      <c r="N744" s="130" t="s">
        <v>2572</v>
      </c>
      <c r="O744" s="130">
        <v>250300208</v>
      </c>
      <c r="P744" s="130">
        <v>2025</v>
      </c>
      <c r="Q744" s="130">
        <v>1</v>
      </c>
      <c r="R744" s="130">
        <v>1</v>
      </c>
      <c r="S744" s="130">
        <v>0</v>
      </c>
      <c r="T744" s="130">
        <v>0</v>
      </c>
      <c r="U744" s="130">
        <v>0</v>
      </c>
      <c r="V744" s="130">
        <v>0</v>
      </c>
      <c r="W744" s="130">
        <v>0</v>
      </c>
      <c r="X744" s="130">
        <v>0</v>
      </c>
      <c r="Y744" s="130"/>
      <c r="Z744" s="130">
        <v>0</v>
      </c>
      <c r="AA744" s="130"/>
      <c r="AB744" s="130"/>
      <c r="AC744" s="130">
        <f t="shared" si="63"/>
        <v>0</v>
      </c>
      <c r="AD744" s="130"/>
      <c r="AE744" s="131"/>
      <c r="AG744" s="132"/>
    </row>
    <row r="745" spans="1:33" s="14" customFormat="1">
      <c r="A745" s="133">
        <f t="shared" si="64"/>
        <v>665</v>
      </c>
      <c r="B745" s="11" t="s">
        <v>2393</v>
      </c>
      <c r="C745" s="133" t="s">
        <v>2394</v>
      </c>
      <c r="D745" s="133" t="s">
        <v>2573</v>
      </c>
      <c r="E745" s="133"/>
      <c r="F745" s="133" t="s">
        <v>37</v>
      </c>
      <c r="G745" s="134" t="s">
        <v>2574</v>
      </c>
      <c r="H745" s="133" t="s">
        <v>246</v>
      </c>
      <c r="I745" s="133" t="s">
        <v>246</v>
      </c>
      <c r="J745" s="133"/>
      <c r="K745" s="133" t="s">
        <v>175</v>
      </c>
      <c r="L745" s="133">
        <v>100</v>
      </c>
      <c r="M745" s="133"/>
      <c r="N745" s="201" t="s">
        <v>641</v>
      </c>
      <c r="O745" s="201">
        <v>1702367</v>
      </c>
      <c r="P745" s="133">
        <v>2017</v>
      </c>
      <c r="Q745" s="133">
        <v>1</v>
      </c>
      <c r="R745" s="133">
        <v>2</v>
      </c>
      <c r="S745" s="133"/>
      <c r="T745" s="133"/>
      <c r="U745" s="133"/>
      <c r="V745" s="133"/>
      <c r="W745" s="133"/>
      <c r="X745" s="133"/>
      <c r="Y745" s="133"/>
      <c r="Z745" s="133"/>
      <c r="AA745" s="133"/>
      <c r="AB745" s="133"/>
      <c r="AC745" s="133"/>
      <c r="AD745" s="133"/>
      <c r="AE745" s="136" t="s">
        <v>2575</v>
      </c>
      <c r="AG745" s="137"/>
    </row>
    <row r="746" spans="1:33" s="14" customFormat="1">
      <c r="A746" s="133">
        <f t="shared" si="64"/>
        <v>666</v>
      </c>
      <c r="B746" s="11" t="s">
        <v>2393</v>
      </c>
      <c r="C746" s="133" t="s">
        <v>2394</v>
      </c>
      <c r="D746" s="133" t="s">
        <v>2576</v>
      </c>
      <c r="E746" s="133"/>
      <c r="F746" s="133" t="s">
        <v>37</v>
      </c>
      <c r="G746" s="134" t="s">
        <v>2577</v>
      </c>
      <c r="H746" s="133" t="s">
        <v>246</v>
      </c>
      <c r="I746" s="133" t="s">
        <v>246</v>
      </c>
      <c r="J746" s="133"/>
      <c r="K746" s="133" t="s">
        <v>175</v>
      </c>
      <c r="L746" s="133">
        <v>250</v>
      </c>
      <c r="M746" s="133"/>
      <c r="N746" s="133" t="s">
        <v>59</v>
      </c>
      <c r="O746" s="133">
        <v>213301181</v>
      </c>
      <c r="P746" s="133">
        <v>2021</v>
      </c>
      <c r="Q746" s="133">
        <v>1</v>
      </c>
      <c r="R746" s="133">
        <v>4</v>
      </c>
      <c r="S746" s="133"/>
      <c r="T746" s="133"/>
      <c r="U746" s="133"/>
      <c r="V746" s="133"/>
      <c r="W746" s="133"/>
      <c r="X746" s="133"/>
      <c r="Y746" s="133"/>
      <c r="Z746" s="133"/>
      <c r="AA746" s="133"/>
      <c r="AB746" s="133"/>
      <c r="AC746" s="133">
        <v>0</v>
      </c>
      <c r="AD746" s="133"/>
      <c r="AE746" s="136" t="s">
        <v>2578</v>
      </c>
      <c r="AG746" s="137"/>
    </row>
    <row r="747" spans="1:33" s="14" customFormat="1">
      <c r="A747" s="133">
        <f t="shared" si="64"/>
        <v>667</v>
      </c>
      <c r="B747" s="11" t="s">
        <v>2393</v>
      </c>
      <c r="C747" s="133" t="s">
        <v>2394</v>
      </c>
      <c r="D747" s="133" t="s">
        <v>2579</v>
      </c>
      <c r="E747" s="133"/>
      <c r="F747" s="133" t="s">
        <v>37</v>
      </c>
      <c r="G747" s="134" t="s">
        <v>2580</v>
      </c>
      <c r="H747" s="133" t="s">
        <v>246</v>
      </c>
      <c r="I747" s="133" t="s">
        <v>246</v>
      </c>
      <c r="J747" s="133"/>
      <c r="K747" s="133" t="s">
        <v>175</v>
      </c>
      <c r="L747" s="133">
        <v>250</v>
      </c>
      <c r="M747" s="133"/>
      <c r="N747" s="133" t="s">
        <v>396</v>
      </c>
      <c r="O747" s="133" t="s">
        <v>2581</v>
      </c>
      <c r="P747" s="133">
        <v>2021</v>
      </c>
      <c r="Q747" s="133">
        <v>1</v>
      </c>
      <c r="R747" s="133">
        <v>4</v>
      </c>
      <c r="S747" s="133"/>
      <c r="T747" s="133"/>
      <c r="U747" s="133"/>
      <c r="V747" s="133"/>
      <c r="W747" s="133"/>
      <c r="X747" s="133"/>
      <c r="Y747" s="133"/>
      <c r="Z747" s="133"/>
      <c r="AA747" s="133"/>
      <c r="AB747" s="133"/>
      <c r="AC747" s="133">
        <v>0</v>
      </c>
      <c r="AD747" s="133"/>
      <c r="AE747" s="136" t="s">
        <v>2578</v>
      </c>
      <c r="AG747" s="137"/>
    </row>
    <row r="748" spans="1:33" s="14" customFormat="1">
      <c r="A748" s="133">
        <f t="shared" si="64"/>
        <v>668</v>
      </c>
      <c r="B748" s="11" t="s">
        <v>2393</v>
      </c>
      <c r="C748" s="133" t="s">
        <v>2394</v>
      </c>
      <c r="D748" s="133" t="s">
        <v>2582</v>
      </c>
      <c r="E748" s="133"/>
      <c r="F748" s="133" t="s">
        <v>37</v>
      </c>
      <c r="G748" s="134" t="s">
        <v>2583</v>
      </c>
      <c r="H748" s="133" t="s">
        <v>246</v>
      </c>
      <c r="I748" s="133" t="s">
        <v>246</v>
      </c>
      <c r="J748" s="135" t="s">
        <v>2571</v>
      </c>
      <c r="K748" s="133" t="s">
        <v>175</v>
      </c>
      <c r="L748" s="133">
        <v>250</v>
      </c>
      <c r="M748" s="133"/>
      <c r="N748" s="202" t="s">
        <v>59</v>
      </c>
      <c r="O748" s="202" t="s">
        <v>2584</v>
      </c>
      <c r="P748" s="133" t="s">
        <v>766</v>
      </c>
      <c r="Q748" s="133">
        <v>1</v>
      </c>
      <c r="R748" s="133">
        <v>2</v>
      </c>
      <c r="S748" s="133">
        <v>0</v>
      </c>
      <c r="T748" s="133">
        <v>0</v>
      </c>
      <c r="U748" s="133">
        <v>0</v>
      </c>
      <c r="V748" s="133">
        <v>0</v>
      </c>
      <c r="W748" s="133">
        <v>0</v>
      </c>
      <c r="X748" s="133">
        <v>0</v>
      </c>
      <c r="Y748" s="133"/>
      <c r="Z748" s="133">
        <v>0</v>
      </c>
      <c r="AA748" s="133"/>
      <c r="AB748" s="133"/>
      <c r="AC748" s="133">
        <f t="shared" si="63"/>
        <v>0</v>
      </c>
      <c r="AD748" s="133"/>
      <c r="AE748" s="136" t="s">
        <v>2585</v>
      </c>
      <c r="AG748" s="137" t="s">
        <v>2585</v>
      </c>
    </row>
    <row r="749" spans="1:33" s="14" customFormat="1">
      <c r="A749" s="133">
        <f t="shared" si="64"/>
        <v>669</v>
      </c>
      <c r="B749" s="11" t="s">
        <v>2393</v>
      </c>
      <c r="C749" s="133" t="s">
        <v>2394</v>
      </c>
      <c r="D749" s="133" t="s">
        <v>2586</v>
      </c>
      <c r="E749" s="133"/>
      <c r="F749" s="133" t="s">
        <v>37</v>
      </c>
      <c r="G749" s="134" t="s">
        <v>2587</v>
      </c>
      <c r="H749" s="133" t="s">
        <v>246</v>
      </c>
      <c r="I749" s="133" t="s">
        <v>246</v>
      </c>
      <c r="J749" s="135" t="s">
        <v>2588</v>
      </c>
      <c r="K749" s="133" t="s">
        <v>175</v>
      </c>
      <c r="L749" s="133">
        <v>100</v>
      </c>
      <c r="M749" s="133"/>
      <c r="N749" s="133" t="s">
        <v>43</v>
      </c>
      <c r="O749" s="133">
        <v>83054085</v>
      </c>
      <c r="P749" s="133">
        <v>1984</v>
      </c>
      <c r="Q749" s="133">
        <v>1</v>
      </c>
      <c r="R749" s="133" t="s">
        <v>482</v>
      </c>
      <c r="S749" s="133"/>
      <c r="T749" s="133"/>
      <c r="U749" s="133"/>
      <c r="V749" s="133"/>
      <c r="W749" s="133"/>
      <c r="X749" s="133"/>
      <c r="Y749" s="133"/>
      <c r="Z749" s="133"/>
      <c r="AA749" s="133"/>
      <c r="AB749" s="133"/>
      <c r="AC749" s="133">
        <f t="shared" si="63"/>
        <v>0</v>
      </c>
      <c r="AD749" s="133"/>
      <c r="AE749" s="136"/>
      <c r="AG749" s="137"/>
    </row>
    <row r="750" spans="1:33" s="14" customFormat="1">
      <c r="A750" s="133">
        <f>A748+1</f>
        <v>669</v>
      </c>
      <c r="B750" s="11" t="s">
        <v>2393</v>
      </c>
      <c r="C750" s="133" t="s">
        <v>2394</v>
      </c>
      <c r="D750" s="133" t="s">
        <v>2589</v>
      </c>
      <c r="E750" s="133"/>
      <c r="F750" s="133" t="s">
        <v>37</v>
      </c>
      <c r="G750" s="134" t="s">
        <v>2590</v>
      </c>
      <c r="H750" s="133" t="s">
        <v>246</v>
      </c>
      <c r="I750" s="133" t="s">
        <v>246</v>
      </c>
      <c r="J750" s="135" t="s">
        <v>2591</v>
      </c>
      <c r="K750" s="133" t="s">
        <v>175</v>
      </c>
      <c r="L750" s="133">
        <v>250</v>
      </c>
      <c r="M750" s="133"/>
      <c r="N750" s="133" t="s">
        <v>424</v>
      </c>
      <c r="O750" s="133" t="s">
        <v>2592</v>
      </c>
      <c r="P750" s="133" t="s">
        <v>95</v>
      </c>
      <c r="Q750" s="133">
        <v>1</v>
      </c>
      <c r="R750" s="133">
        <v>2</v>
      </c>
      <c r="S750" s="133">
        <v>0</v>
      </c>
      <c r="T750" s="133">
        <v>0</v>
      </c>
      <c r="U750" s="133">
        <v>0</v>
      </c>
      <c r="V750" s="133">
        <v>0</v>
      </c>
      <c r="W750" s="133">
        <v>0</v>
      </c>
      <c r="X750" s="133">
        <v>0</v>
      </c>
      <c r="Y750" s="133"/>
      <c r="Z750" s="133">
        <v>0</v>
      </c>
      <c r="AA750" s="133"/>
      <c r="AB750" s="133"/>
      <c r="AC750" s="133">
        <f t="shared" si="63"/>
        <v>0</v>
      </c>
      <c r="AD750" s="133"/>
      <c r="AE750" s="136"/>
      <c r="AG750" s="137"/>
    </row>
    <row r="751" spans="1:33" s="14" customFormat="1">
      <c r="A751" s="133">
        <f>A749+1</f>
        <v>670</v>
      </c>
      <c r="B751" s="11" t="s">
        <v>2393</v>
      </c>
      <c r="C751" s="133" t="s">
        <v>2394</v>
      </c>
      <c r="D751" s="133" t="s">
        <v>2593</v>
      </c>
      <c r="E751" s="133"/>
      <c r="F751" s="133" t="s">
        <v>63</v>
      </c>
      <c r="G751" s="134" t="s">
        <v>2594</v>
      </c>
      <c r="H751" s="133" t="s">
        <v>246</v>
      </c>
      <c r="I751" s="133" t="s">
        <v>246</v>
      </c>
      <c r="J751" s="135"/>
      <c r="K751" s="133" t="s">
        <v>175</v>
      </c>
      <c r="L751" s="133">
        <v>250</v>
      </c>
      <c r="M751" s="133"/>
      <c r="N751" s="133" t="s">
        <v>1053</v>
      </c>
      <c r="O751" s="133">
        <v>250120087</v>
      </c>
      <c r="P751" s="133">
        <v>2025</v>
      </c>
      <c r="Q751" s="133">
        <v>1</v>
      </c>
      <c r="R751" s="133">
        <v>1</v>
      </c>
      <c r="S751" s="133">
        <v>0</v>
      </c>
      <c r="T751" s="133">
        <v>0</v>
      </c>
      <c r="U751" s="133">
        <v>0</v>
      </c>
      <c r="V751" s="133">
        <v>0</v>
      </c>
      <c r="W751" s="133">
        <v>0</v>
      </c>
      <c r="X751" s="133">
        <v>0</v>
      </c>
      <c r="Y751" s="133"/>
      <c r="Z751" s="133">
        <v>0</v>
      </c>
      <c r="AA751" s="133"/>
      <c r="AB751" s="133"/>
      <c r="AC751" s="133">
        <f t="shared" si="63"/>
        <v>0</v>
      </c>
      <c r="AD751" s="133"/>
      <c r="AE751" s="136"/>
      <c r="AG751" s="137"/>
    </row>
    <row r="752" spans="1:33" s="14" customFormat="1">
      <c r="A752" s="133">
        <f>A749+1</f>
        <v>670</v>
      </c>
      <c r="B752" s="11" t="s">
        <v>2393</v>
      </c>
      <c r="C752" s="133" t="s">
        <v>2394</v>
      </c>
      <c r="D752" s="133" t="s">
        <v>2595</v>
      </c>
      <c r="E752" s="133"/>
      <c r="F752" s="133" t="s">
        <v>37</v>
      </c>
      <c r="G752" s="134" t="s">
        <v>2596</v>
      </c>
      <c r="H752" s="133" t="s">
        <v>246</v>
      </c>
      <c r="I752" s="133" t="s">
        <v>246</v>
      </c>
      <c r="J752" s="135" t="s">
        <v>2597</v>
      </c>
      <c r="K752" s="133" t="s">
        <v>175</v>
      </c>
      <c r="L752" s="133">
        <v>250</v>
      </c>
      <c r="M752" s="133"/>
      <c r="N752" s="133" t="s">
        <v>93</v>
      </c>
      <c r="O752" s="133" t="s">
        <v>2598</v>
      </c>
      <c r="P752" s="133" t="s">
        <v>766</v>
      </c>
      <c r="Q752" s="133">
        <v>1</v>
      </c>
      <c r="R752" s="133">
        <v>3</v>
      </c>
      <c r="S752" s="133">
        <v>0</v>
      </c>
      <c r="T752" s="133">
        <v>0</v>
      </c>
      <c r="U752" s="133">
        <v>0</v>
      </c>
      <c r="V752" s="133">
        <v>0</v>
      </c>
      <c r="W752" s="133">
        <v>0</v>
      </c>
      <c r="X752" s="133">
        <v>0</v>
      </c>
      <c r="Y752" s="133"/>
      <c r="Z752" s="133">
        <v>0</v>
      </c>
      <c r="AA752" s="133"/>
      <c r="AB752" s="133"/>
      <c r="AC752" s="133">
        <f t="shared" si="63"/>
        <v>0</v>
      </c>
      <c r="AD752" s="133"/>
      <c r="AE752" s="136"/>
      <c r="AG752" s="137"/>
    </row>
    <row r="753" spans="1:33" s="14" customFormat="1">
      <c r="A753" s="133">
        <f>A751+1</f>
        <v>671</v>
      </c>
      <c r="B753" s="11" t="s">
        <v>2393</v>
      </c>
      <c r="C753" s="133" t="s">
        <v>2394</v>
      </c>
      <c r="D753" s="133" t="s">
        <v>2599</v>
      </c>
      <c r="E753" s="133"/>
      <c r="F753" s="133" t="s">
        <v>37</v>
      </c>
      <c r="G753" s="134" t="s">
        <v>2600</v>
      </c>
      <c r="H753" s="133" t="s">
        <v>246</v>
      </c>
      <c r="I753" s="133" t="s">
        <v>246</v>
      </c>
      <c r="J753" s="133"/>
      <c r="K753" s="133" t="s">
        <v>175</v>
      </c>
      <c r="L753" s="133">
        <v>250</v>
      </c>
      <c r="M753" s="133"/>
      <c r="N753" s="133" t="s">
        <v>797</v>
      </c>
      <c r="O753" s="133">
        <v>240601751</v>
      </c>
      <c r="P753" s="133">
        <v>2024</v>
      </c>
      <c r="Q753" s="133">
        <v>1</v>
      </c>
      <c r="R753" s="133">
        <v>3</v>
      </c>
      <c r="S753" s="133">
        <v>0</v>
      </c>
      <c r="T753" s="133">
        <v>0</v>
      </c>
      <c r="U753" s="133">
        <v>0</v>
      </c>
      <c r="V753" s="133">
        <v>0</v>
      </c>
      <c r="W753" s="133">
        <v>0</v>
      </c>
      <c r="X753" s="133">
        <v>0</v>
      </c>
      <c r="Y753" s="133"/>
      <c r="Z753" s="133">
        <v>0</v>
      </c>
      <c r="AA753" s="133"/>
      <c r="AB753" s="133"/>
      <c r="AC753" s="133">
        <f t="shared" si="63"/>
        <v>0</v>
      </c>
      <c r="AD753" s="133"/>
      <c r="AE753" s="136"/>
      <c r="AG753" s="137"/>
    </row>
    <row r="754" spans="1:33" s="14" customFormat="1">
      <c r="A754" s="133">
        <f t="shared" si="64"/>
        <v>672</v>
      </c>
      <c r="B754" s="11" t="s">
        <v>2393</v>
      </c>
      <c r="C754" s="133" t="s">
        <v>2394</v>
      </c>
      <c r="D754" s="133" t="s">
        <v>2601</v>
      </c>
      <c r="E754" s="133"/>
      <c r="F754" s="133" t="s">
        <v>37</v>
      </c>
      <c r="G754" s="134" t="s">
        <v>2602</v>
      </c>
      <c r="H754" s="133" t="s">
        <v>246</v>
      </c>
      <c r="I754" s="133" t="s">
        <v>246</v>
      </c>
      <c r="J754" s="135" t="s">
        <v>2603</v>
      </c>
      <c r="K754" s="133" t="s">
        <v>175</v>
      </c>
      <c r="L754" s="133">
        <v>250</v>
      </c>
      <c r="M754" s="133"/>
      <c r="N754" s="133" t="s">
        <v>59</v>
      </c>
      <c r="O754" s="133" t="s">
        <v>2604</v>
      </c>
      <c r="P754" s="133">
        <v>2006</v>
      </c>
      <c r="Q754" s="133">
        <v>1</v>
      </c>
      <c r="R754" s="133">
        <v>4</v>
      </c>
      <c r="S754" s="133">
        <v>0</v>
      </c>
      <c r="T754" s="133">
        <v>0</v>
      </c>
      <c r="U754" s="133">
        <v>0</v>
      </c>
      <c r="V754" s="133">
        <v>0</v>
      </c>
      <c r="W754" s="133">
        <v>0</v>
      </c>
      <c r="X754" s="133">
        <v>0</v>
      </c>
      <c r="Y754" s="133"/>
      <c r="Z754" s="133">
        <v>0</v>
      </c>
      <c r="AA754" s="133"/>
      <c r="AB754" s="133"/>
      <c r="AC754" s="133">
        <f t="shared" si="63"/>
        <v>0</v>
      </c>
      <c r="AD754" s="133"/>
      <c r="AE754" s="136"/>
      <c r="AG754" s="137"/>
    </row>
    <row r="755" spans="1:33" s="14" customFormat="1">
      <c r="A755" s="133">
        <f t="shared" si="64"/>
        <v>673</v>
      </c>
      <c r="B755" s="11" t="s">
        <v>2393</v>
      </c>
      <c r="C755" s="133" t="s">
        <v>2394</v>
      </c>
      <c r="D755" s="133" t="s">
        <v>2605</v>
      </c>
      <c r="E755" s="133"/>
      <c r="F755" s="133" t="s">
        <v>37</v>
      </c>
      <c r="G755" s="134" t="s">
        <v>2606</v>
      </c>
      <c r="H755" s="133" t="s">
        <v>741</v>
      </c>
      <c r="I755" s="133" t="s">
        <v>741</v>
      </c>
      <c r="J755" s="133"/>
      <c r="K755" s="133" t="s">
        <v>175</v>
      </c>
      <c r="L755" s="133">
        <v>160</v>
      </c>
      <c r="M755" s="133"/>
      <c r="N755" s="133" t="s">
        <v>59</v>
      </c>
      <c r="O755" s="138" t="s">
        <v>2607</v>
      </c>
      <c r="P755" s="133">
        <v>2019</v>
      </c>
      <c r="Q755" s="133">
        <v>1</v>
      </c>
      <c r="R755" s="133">
        <v>2</v>
      </c>
      <c r="S755" s="133">
        <v>0</v>
      </c>
      <c r="T755" s="133">
        <v>0</v>
      </c>
      <c r="U755" s="133">
        <v>0</v>
      </c>
      <c r="V755" s="133">
        <v>0</v>
      </c>
      <c r="W755" s="133">
        <v>0</v>
      </c>
      <c r="X755" s="133">
        <v>0</v>
      </c>
      <c r="Y755" s="133"/>
      <c r="Z755" s="133">
        <v>0</v>
      </c>
      <c r="AA755" s="133"/>
      <c r="AB755" s="133"/>
      <c r="AC755" s="133">
        <f t="shared" si="63"/>
        <v>0</v>
      </c>
      <c r="AD755" s="133"/>
      <c r="AE755" s="136" t="s">
        <v>2608</v>
      </c>
      <c r="AG755" s="137"/>
    </row>
    <row r="756" spans="1:33" s="14" customFormat="1">
      <c r="A756" s="133">
        <f t="shared" si="64"/>
        <v>674</v>
      </c>
      <c r="B756" s="11" t="s">
        <v>2393</v>
      </c>
      <c r="C756" s="133" t="s">
        <v>2394</v>
      </c>
      <c r="D756" s="133" t="s">
        <v>2609</v>
      </c>
      <c r="E756" s="133"/>
      <c r="F756" s="133" t="s">
        <v>63</v>
      </c>
      <c r="G756" s="134" t="s">
        <v>2610</v>
      </c>
      <c r="H756" s="133" t="s">
        <v>246</v>
      </c>
      <c r="I756" s="133" t="s">
        <v>246</v>
      </c>
      <c r="J756" s="133"/>
      <c r="K756" s="133" t="s">
        <v>175</v>
      </c>
      <c r="L756" s="133">
        <v>250</v>
      </c>
      <c r="M756" s="133"/>
      <c r="N756" s="133" t="s">
        <v>863</v>
      </c>
      <c r="O756" s="138" t="s">
        <v>2611</v>
      </c>
      <c r="P756" s="133">
        <v>2014</v>
      </c>
      <c r="Q756" s="133">
        <v>1</v>
      </c>
      <c r="R756" s="133">
        <v>1</v>
      </c>
      <c r="S756" s="133"/>
      <c r="T756" s="133"/>
      <c r="U756" s="133"/>
      <c r="V756" s="133"/>
      <c r="W756" s="133"/>
      <c r="X756" s="133"/>
      <c r="Y756" s="133"/>
      <c r="Z756" s="133"/>
      <c r="AA756" s="133"/>
      <c r="AB756" s="133"/>
      <c r="AC756" s="133"/>
      <c r="AD756" s="133"/>
      <c r="AE756" s="136"/>
      <c r="AG756" s="137"/>
    </row>
    <row r="757" spans="1:33" s="14" customFormat="1">
      <c r="A757" s="133">
        <f t="shared" si="64"/>
        <v>675</v>
      </c>
      <c r="B757" s="11" t="s">
        <v>2393</v>
      </c>
      <c r="C757" s="133" t="s">
        <v>2394</v>
      </c>
      <c r="D757" s="133" t="s">
        <v>2612</v>
      </c>
      <c r="E757" s="133"/>
      <c r="F757" s="133" t="s">
        <v>63</v>
      </c>
      <c r="G757" s="134" t="s">
        <v>2613</v>
      </c>
      <c r="H757" s="133" t="s">
        <v>246</v>
      </c>
      <c r="I757" s="133" t="s">
        <v>246</v>
      </c>
      <c r="J757" s="135" t="s">
        <v>2614</v>
      </c>
      <c r="K757" s="133" t="s">
        <v>175</v>
      </c>
      <c r="L757" s="133">
        <v>160</v>
      </c>
      <c r="M757" s="133"/>
      <c r="N757" s="133" t="s">
        <v>43</v>
      </c>
      <c r="O757" s="138" t="s">
        <v>2615</v>
      </c>
      <c r="P757" s="133">
        <v>1992</v>
      </c>
      <c r="Q757" s="133">
        <v>1</v>
      </c>
      <c r="R757" s="133">
        <v>2</v>
      </c>
      <c r="S757" s="133">
        <v>0</v>
      </c>
      <c r="T757" s="133">
        <v>0</v>
      </c>
      <c r="U757" s="133">
        <v>0</v>
      </c>
      <c r="V757" s="133">
        <v>0</v>
      </c>
      <c r="W757" s="133">
        <v>0</v>
      </c>
      <c r="X757" s="133">
        <v>0</v>
      </c>
      <c r="Y757" s="133"/>
      <c r="Z757" s="133">
        <v>0</v>
      </c>
      <c r="AA757" s="133"/>
      <c r="AB757" s="133"/>
      <c r="AC757" s="133">
        <f t="shared" si="63"/>
        <v>0</v>
      </c>
      <c r="AD757" s="133"/>
      <c r="AE757" s="136"/>
      <c r="AG757" s="137"/>
    </row>
    <row r="758" spans="1:33" s="14" customFormat="1">
      <c r="A758" s="133">
        <f t="shared" si="64"/>
        <v>676</v>
      </c>
      <c r="B758" s="11" t="s">
        <v>2393</v>
      </c>
      <c r="C758" s="133" t="s">
        <v>2394</v>
      </c>
      <c r="D758" s="133" t="s">
        <v>2616</v>
      </c>
      <c r="E758" s="133"/>
      <c r="F758" s="133" t="s">
        <v>37</v>
      </c>
      <c r="G758" s="134" t="s">
        <v>2026</v>
      </c>
      <c r="H758" s="133" t="s">
        <v>246</v>
      </c>
      <c r="I758" s="133" t="s">
        <v>246</v>
      </c>
      <c r="J758" s="135" t="s">
        <v>2617</v>
      </c>
      <c r="K758" s="133" t="s">
        <v>175</v>
      </c>
      <c r="L758" s="133">
        <v>250</v>
      </c>
      <c r="M758" s="133"/>
      <c r="N758" s="133" t="s">
        <v>59</v>
      </c>
      <c r="O758" s="133" t="s">
        <v>2618</v>
      </c>
      <c r="P758" s="133">
        <v>2015</v>
      </c>
      <c r="Q758" s="133">
        <v>1</v>
      </c>
      <c r="R758" s="133">
        <v>3</v>
      </c>
      <c r="S758" s="133">
        <v>0</v>
      </c>
      <c r="T758" s="133">
        <v>0</v>
      </c>
      <c r="U758" s="133">
        <v>0</v>
      </c>
      <c r="V758" s="133">
        <v>0</v>
      </c>
      <c r="W758" s="133">
        <v>0</v>
      </c>
      <c r="X758" s="133">
        <v>0</v>
      </c>
      <c r="Y758" s="133"/>
      <c r="Z758" s="133">
        <v>0</v>
      </c>
      <c r="AA758" s="133"/>
      <c r="AB758" s="133"/>
      <c r="AC758" s="133">
        <f t="shared" si="63"/>
        <v>0</v>
      </c>
      <c r="AD758" s="133"/>
      <c r="AE758" s="136"/>
      <c r="AG758" s="137"/>
    </row>
    <row r="759" spans="1:33" s="14" customFormat="1">
      <c r="A759" s="133">
        <f>A757+1</f>
        <v>676</v>
      </c>
      <c r="B759" s="11" t="s">
        <v>2393</v>
      </c>
      <c r="C759" s="133" t="s">
        <v>2394</v>
      </c>
      <c r="D759" s="133" t="s">
        <v>2619</v>
      </c>
      <c r="E759" s="133"/>
      <c r="F759" s="133" t="s">
        <v>37</v>
      </c>
      <c r="G759" s="134" t="s">
        <v>2620</v>
      </c>
      <c r="H759" s="133" t="s">
        <v>246</v>
      </c>
      <c r="I759" s="133" t="s">
        <v>246</v>
      </c>
      <c r="J759" s="133"/>
      <c r="K759" s="133" t="s">
        <v>175</v>
      </c>
      <c r="L759" s="133">
        <v>160</v>
      </c>
      <c r="M759" s="133"/>
      <c r="N759" s="133" t="s">
        <v>93</v>
      </c>
      <c r="O759" s="133" t="s">
        <v>2621</v>
      </c>
      <c r="P759" s="133">
        <v>2024</v>
      </c>
      <c r="Q759" s="133">
        <v>1</v>
      </c>
      <c r="R759" s="133" t="s">
        <v>84</v>
      </c>
      <c r="S759" s="133"/>
      <c r="T759" s="133"/>
      <c r="U759" s="133"/>
      <c r="V759" s="133"/>
      <c r="W759" s="133"/>
      <c r="X759" s="133"/>
      <c r="Y759" s="133"/>
      <c r="Z759" s="133"/>
      <c r="AA759" s="133"/>
      <c r="AB759" s="133"/>
      <c r="AC759" s="133">
        <f t="shared" si="63"/>
        <v>0</v>
      </c>
      <c r="AD759" s="133"/>
      <c r="AE759" s="136" t="s">
        <v>2622</v>
      </c>
      <c r="AG759" s="137"/>
    </row>
    <row r="760" spans="1:33" s="14" customFormat="1">
      <c r="A760" s="133">
        <f>A758+1</f>
        <v>677</v>
      </c>
      <c r="B760" s="11" t="s">
        <v>2393</v>
      </c>
      <c r="C760" s="133" t="s">
        <v>2394</v>
      </c>
      <c r="D760" s="133" t="s">
        <v>2623</v>
      </c>
      <c r="E760" s="133"/>
      <c r="F760" s="133" t="s">
        <v>37</v>
      </c>
      <c r="G760" s="134" t="s">
        <v>2624</v>
      </c>
      <c r="H760" s="133" t="s">
        <v>246</v>
      </c>
      <c r="I760" s="133" t="s">
        <v>246</v>
      </c>
      <c r="J760" s="133">
        <v>1089</v>
      </c>
      <c r="K760" s="133" t="s">
        <v>175</v>
      </c>
      <c r="L760" s="133">
        <v>250</v>
      </c>
      <c r="M760" s="133"/>
      <c r="N760" s="133" t="s">
        <v>59</v>
      </c>
      <c r="O760" s="133" t="s">
        <v>2625</v>
      </c>
      <c r="P760" s="133" t="s">
        <v>405</v>
      </c>
      <c r="Q760" s="133">
        <v>1</v>
      </c>
      <c r="R760" s="133" t="s">
        <v>84</v>
      </c>
      <c r="S760" s="133"/>
      <c r="T760" s="133"/>
      <c r="U760" s="133"/>
      <c r="V760" s="133"/>
      <c r="W760" s="133"/>
      <c r="X760" s="133"/>
      <c r="Y760" s="133"/>
      <c r="Z760" s="133"/>
      <c r="AA760" s="133"/>
      <c r="AB760" s="133"/>
      <c r="AC760" s="133">
        <f t="shared" si="63"/>
        <v>0</v>
      </c>
      <c r="AD760" s="133"/>
      <c r="AE760" s="136"/>
      <c r="AG760" s="137"/>
    </row>
    <row r="761" spans="1:33" s="14" customFormat="1">
      <c r="A761" s="133">
        <f t="shared" si="64"/>
        <v>678</v>
      </c>
      <c r="B761" s="11" t="s">
        <v>2393</v>
      </c>
      <c r="C761" s="133" t="s">
        <v>2394</v>
      </c>
      <c r="D761" s="133" t="s">
        <v>2626</v>
      </c>
      <c r="E761" s="133"/>
      <c r="F761" s="133" t="s">
        <v>63</v>
      </c>
      <c r="G761" s="134" t="s">
        <v>2627</v>
      </c>
      <c r="H761" s="133" t="s">
        <v>246</v>
      </c>
      <c r="I761" s="133" t="s">
        <v>246</v>
      </c>
      <c r="J761" s="136">
        <v>1172</v>
      </c>
      <c r="K761" s="133" t="s">
        <v>175</v>
      </c>
      <c r="L761" s="133">
        <v>200</v>
      </c>
      <c r="M761" s="133"/>
      <c r="N761" s="133" t="s">
        <v>903</v>
      </c>
      <c r="O761" s="133" t="s">
        <v>2628</v>
      </c>
      <c r="P761" s="133">
        <v>2020</v>
      </c>
      <c r="Q761" s="133">
        <v>1</v>
      </c>
      <c r="R761" s="133"/>
      <c r="S761" s="133"/>
      <c r="T761" s="133"/>
      <c r="U761" s="133"/>
      <c r="V761" s="133"/>
      <c r="W761" s="133"/>
      <c r="X761" s="133"/>
      <c r="Y761" s="133"/>
      <c r="Z761" s="133"/>
      <c r="AA761" s="133"/>
      <c r="AB761" s="133"/>
      <c r="AC761" s="133">
        <f t="shared" si="63"/>
        <v>0</v>
      </c>
      <c r="AD761" s="133"/>
      <c r="AE761" s="136" t="s">
        <v>2629</v>
      </c>
      <c r="AG761" s="137"/>
    </row>
    <row r="762" spans="1:33" s="14" customFormat="1">
      <c r="A762" s="133">
        <f t="shared" si="64"/>
        <v>679</v>
      </c>
      <c r="B762" s="11" t="s">
        <v>2393</v>
      </c>
      <c r="C762" s="133" t="s">
        <v>2394</v>
      </c>
      <c r="D762" s="133" t="s">
        <v>2630</v>
      </c>
      <c r="E762" s="133"/>
      <c r="F762" s="133" t="s">
        <v>63</v>
      </c>
      <c r="G762" s="134" t="s">
        <v>2631</v>
      </c>
      <c r="H762" s="133" t="s">
        <v>246</v>
      </c>
      <c r="I762" s="133" t="s">
        <v>246</v>
      </c>
      <c r="J762" s="135" t="s">
        <v>2632</v>
      </c>
      <c r="K762" s="133" t="s">
        <v>175</v>
      </c>
      <c r="L762" s="133">
        <v>250</v>
      </c>
      <c r="M762" s="133"/>
      <c r="N762" s="133" t="s">
        <v>59</v>
      </c>
      <c r="O762" s="133">
        <v>9134392</v>
      </c>
      <c r="P762" s="133">
        <v>2009</v>
      </c>
      <c r="Q762" s="133">
        <v>1</v>
      </c>
      <c r="R762" s="133">
        <v>2</v>
      </c>
      <c r="S762" s="133">
        <v>0</v>
      </c>
      <c r="T762" s="133" t="s">
        <v>2192</v>
      </c>
      <c r="U762" s="133">
        <v>0</v>
      </c>
      <c r="V762" s="133">
        <v>0</v>
      </c>
      <c r="W762" s="133">
        <v>0</v>
      </c>
      <c r="X762" s="133">
        <v>0</v>
      </c>
      <c r="Y762" s="133"/>
      <c r="Z762" s="133">
        <v>0</v>
      </c>
      <c r="AA762" s="133"/>
      <c r="AB762" s="133"/>
      <c r="AC762" s="133">
        <f t="shared" si="63"/>
        <v>0</v>
      </c>
      <c r="AD762" s="133"/>
      <c r="AE762" s="136"/>
      <c r="AG762" s="137"/>
    </row>
    <row r="763" spans="1:33" s="14" customFormat="1">
      <c r="A763" s="133">
        <f t="shared" si="64"/>
        <v>680</v>
      </c>
      <c r="B763" s="11" t="s">
        <v>2393</v>
      </c>
      <c r="C763" s="133" t="s">
        <v>2394</v>
      </c>
      <c r="D763" s="133" t="s">
        <v>2633</v>
      </c>
      <c r="E763" s="133"/>
      <c r="F763" s="133" t="s">
        <v>63</v>
      </c>
      <c r="G763" s="134" t="s">
        <v>2634</v>
      </c>
      <c r="H763" s="133" t="s">
        <v>246</v>
      </c>
      <c r="I763" s="133" t="s">
        <v>246</v>
      </c>
      <c r="J763" s="133" t="s">
        <v>2635</v>
      </c>
      <c r="K763" s="133" t="s">
        <v>175</v>
      </c>
      <c r="L763" s="133">
        <v>250</v>
      </c>
      <c r="M763" s="133"/>
      <c r="N763" s="133" t="s">
        <v>641</v>
      </c>
      <c r="O763" s="133" t="s">
        <v>2636</v>
      </c>
      <c r="P763" s="133" t="s">
        <v>255</v>
      </c>
      <c r="Q763" s="133">
        <v>1</v>
      </c>
      <c r="R763" s="133" t="s">
        <v>96</v>
      </c>
      <c r="S763" s="133">
        <v>0</v>
      </c>
      <c r="T763" s="133"/>
      <c r="U763" s="133">
        <v>0</v>
      </c>
      <c r="V763" s="133">
        <v>0</v>
      </c>
      <c r="W763" s="133">
        <v>0</v>
      </c>
      <c r="X763" s="133">
        <v>0</v>
      </c>
      <c r="Y763" s="133"/>
      <c r="Z763" s="133">
        <v>0</v>
      </c>
      <c r="AA763" s="133"/>
      <c r="AB763" s="133"/>
      <c r="AC763" s="133">
        <f t="shared" si="63"/>
        <v>0</v>
      </c>
      <c r="AD763" s="133"/>
      <c r="AE763" s="136" t="s">
        <v>2565</v>
      </c>
      <c r="AG763" s="137"/>
    </row>
    <row r="764" spans="1:33" s="14" customFormat="1">
      <c r="A764" s="133">
        <f t="shared" si="64"/>
        <v>681</v>
      </c>
      <c r="B764" s="11" t="s">
        <v>2393</v>
      </c>
      <c r="C764" s="133" t="s">
        <v>2394</v>
      </c>
      <c r="D764" s="133" t="s">
        <v>2637</v>
      </c>
      <c r="E764" s="133"/>
      <c r="F764" s="133" t="s">
        <v>63</v>
      </c>
      <c r="G764" s="134" t="s">
        <v>2638</v>
      </c>
      <c r="H764" s="133" t="s">
        <v>39</v>
      </c>
      <c r="I764" s="133" t="s">
        <v>40</v>
      </c>
      <c r="J764" s="136">
        <v>1011</v>
      </c>
      <c r="K764" s="133" t="s">
        <v>175</v>
      </c>
      <c r="L764" s="133"/>
      <c r="M764" s="133"/>
      <c r="N764" s="133"/>
      <c r="O764" s="133"/>
      <c r="P764" s="133"/>
      <c r="Q764" s="133"/>
      <c r="R764" s="133"/>
      <c r="S764" s="133" t="s">
        <v>45</v>
      </c>
      <c r="T764" s="133" t="s">
        <v>89</v>
      </c>
      <c r="U764" s="133">
        <v>1</v>
      </c>
      <c r="V764" s="133">
        <v>0</v>
      </c>
      <c r="W764" s="133">
        <v>0</v>
      </c>
      <c r="X764" s="133">
        <v>0</v>
      </c>
      <c r="Y764" s="133"/>
      <c r="Z764" s="133">
        <v>0</v>
      </c>
      <c r="AA764" s="133"/>
      <c r="AB764" s="133"/>
      <c r="AC764" s="133">
        <f t="shared" si="63"/>
        <v>1</v>
      </c>
      <c r="AD764" s="133"/>
      <c r="AE764" s="136"/>
      <c r="AG764" s="137"/>
    </row>
    <row r="765" spans="1:33" s="14" customFormat="1">
      <c r="A765" s="133">
        <f t="shared" si="64"/>
        <v>682</v>
      </c>
      <c r="B765" s="11" t="s">
        <v>2393</v>
      </c>
      <c r="C765" s="133" t="s">
        <v>2394</v>
      </c>
      <c r="D765" s="133" t="s">
        <v>2639</v>
      </c>
      <c r="E765" s="133"/>
      <c r="F765" s="133" t="s">
        <v>37</v>
      </c>
      <c r="G765" s="134" t="s">
        <v>2640</v>
      </c>
      <c r="H765" s="133" t="s">
        <v>246</v>
      </c>
      <c r="I765" s="133" t="s">
        <v>246</v>
      </c>
      <c r="J765" s="136" t="s">
        <v>2641</v>
      </c>
      <c r="K765" s="133" t="s">
        <v>175</v>
      </c>
      <c r="L765" s="133">
        <v>250</v>
      </c>
      <c r="M765" s="133"/>
      <c r="N765" s="133" t="s">
        <v>424</v>
      </c>
      <c r="O765" s="133">
        <v>15067118</v>
      </c>
      <c r="P765" s="133">
        <v>2015</v>
      </c>
      <c r="Q765" s="133">
        <v>1</v>
      </c>
      <c r="R765" s="133">
        <v>2</v>
      </c>
      <c r="S765" s="133"/>
      <c r="T765" s="133"/>
      <c r="U765" s="133"/>
      <c r="V765" s="133"/>
      <c r="W765" s="133"/>
      <c r="X765" s="133"/>
      <c r="Y765" s="133"/>
      <c r="Z765" s="133"/>
      <c r="AA765" s="133"/>
      <c r="AB765" s="133"/>
      <c r="AC765" s="133">
        <f t="shared" si="63"/>
        <v>0</v>
      </c>
      <c r="AD765" s="133"/>
      <c r="AE765" s="136"/>
      <c r="AG765" s="137"/>
    </row>
    <row r="766" spans="1:33" s="14" customFormat="1">
      <c r="A766" s="133">
        <f t="shared" si="64"/>
        <v>683</v>
      </c>
      <c r="B766" s="11" t="s">
        <v>2393</v>
      </c>
      <c r="C766" s="133" t="s">
        <v>2394</v>
      </c>
      <c r="D766" s="133" t="s">
        <v>2642</v>
      </c>
      <c r="E766" s="133"/>
      <c r="F766" s="133" t="s">
        <v>63</v>
      </c>
      <c r="G766" s="134" t="s">
        <v>2643</v>
      </c>
      <c r="H766" s="133" t="s">
        <v>246</v>
      </c>
      <c r="I766" s="133" t="s">
        <v>246</v>
      </c>
      <c r="J766" s="136" t="s">
        <v>2644</v>
      </c>
      <c r="K766" s="133" t="s">
        <v>175</v>
      </c>
      <c r="L766" s="133">
        <v>250</v>
      </c>
      <c r="M766" s="133"/>
      <c r="N766" s="133" t="s">
        <v>59</v>
      </c>
      <c r="O766" s="133" t="s">
        <v>2645</v>
      </c>
      <c r="P766" s="133" t="s">
        <v>2016</v>
      </c>
      <c r="Q766" s="133" t="s">
        <v>96</v>
      </c>
      <c r="R766" s="133" t="s">
        <v>482</v>
      </c>
      <c r="S766" s="133"/>
      <c r="T766" s="133"/>
      <c r="U766" s="133"/>
      <c r="V766" s="133"/>
      <c r="W766" s="133"/>
      <c r="X766" s="133"/>
      <c r="Y766" s="133"/>
      <c r="Z766" s="133"/>
      <c r="AA766" s="133"/>
      <c r="AB766" s="133"/>
      <c r="AC766" s="133"/>
      <c r="AD766" s="133"/>
      <c r="AE766" s="136"/>
      <c r="AG766" s="137"/>
    </row>
    <row r="767" spans="1:33" s="14" customFormat="1">
      <c r="A767" s="133">
        <f t="shared" si="64"/>
        <v>684</v>
      </c>
      <c r="B767" s="11" t="s">
        <v>2393</v>
      </c>
      <c r="C767" s="133" t="s">
        <v>2394</v>
      </c>
      <c r="D767" s="133" t="s">
        <v>2646</v>
      </c>
      <c r="E767" s="133"/>
      <c r="F767" s="133" t="s">
        <v>63</v>
      </c>
      <c r="G767" s="134" t="s">
        <v>2647</v>
      </c>
      <c r="H767" s="133" t="s">
        <v>246</v>
      </c>
      <c r="I767" s="133" t="s">
        <v>246</v>
      </c>
      <c r="J767" s="136" t="s">
        <v>2648</v>
      </c>
      <c r="K767" s="133" t="s">
        <v>175</v>
      </c>
      <c r="L767" s="133">
        <v>250</v>
      </c>
      <c r="M767" s="133"/>
      <c r="N767" s="133" t="s">
        <v>641</v>
      </c>
      <c r="O767" s="133" t="s">
        <v>2649</v>
      </c>
      <c r="P767" s="133" t="s">
        <v>255</v>
      </c>
      <c r="Q767" s="133" t="s">
        <v>96</v>
      </c>
      <c r="R767" s="133" t="s">
        <v>84</v>
      </c>
      <c r="S767" s="133"/>
      <c r="T767" s="133"/>
      <c r="U767" s="133"/>
      <c r="V767" s="133"/>
      <c r="W767" s="133"/>
      <c r="X767" s="133"/>
      <c r="Y767" s="133"/>
      <c r="Z767" s="133"/>
      <c r="AA767" s="133"/>
      <c r="AB767" s="133"/>
      <c r="AC767" s="133"/>
      <c r="AD767" s="133"/>
      <c r="AE767" s="136"/>
      <c r="AG767" s="137"/>
    </row>
    <row r="768" spans="1:33" s="14" customFormat="1">
      <c r="A768" s="133">
        <f t="shared" si="64"/>
        <v>685</v>
      </c>
      <c r="B768" s="11" t="s">
        <v>2393</v>
      </c>
      <c r="C768" s="133" t="s">
        <v>2394</v>
      </c>
      <c r="D768" s="133" t="s">
        <v>2650</v>
      </c>
      <c r="E768" s="133"/>
      <c r="F768" s="133" t="s">
        <v>63</v>
      </c>
      <c r="G768" s="134" t="s">
        <v>2651</v>
      </c>
      <c r="H768" s="133" t="s">
        <v>39</v>
      </c>
      <c r="I768" s="133" t="s">
        <v>40</v>
      </c>
      <c r="J768" s="136" t="s">
        <v>2652</v>
      </c>
      <c r="K768" s="133" t="s">
        <v>175</v>
      </c>
      <c r="L768" s="133"/>
      <c r="M768" s="133"/>
      <c r="N768" s="133"/>
      <c r="O768" s="133"/>
      <c r="P768" s="133"/>
      <c r="Q768" s="133"/>
      <c r="R768" s="133"/>
      <c r="S768" s="133" t="s">
        <v>88</v>
      </c>
      <c r="T768" s="133" t="s">
        <v>89</v>
      </c>
      <c r="U768" s="133">
        <v>1</v>
      </c>
      <c r="V768" s="133"/>
      <c r="W768" s="133">
        <v>1</v>
      </c>
      <c r="X768" s="133"/>
      <c r="Y768" s="133"/>
      <c r="Z768" s="133"/>
      <c r="AA768" s="133"/>
      <c r="AB768" s="133"/>
      <c r="AC768" s="133">
        <f>SUM(U768:AB768)</f>
        <v>2</v>
      </c>
      <c r="AD768" s="133"/>
      <c r="AE768" s="136"/>
      <c r="AG768" s="137"/>
    </row>
    <row r="769" spans="1:33" s="14" customFormat="1">
      <c r="A769" s="133">
        <f>A767+1</f>
        <v>685</v>
      </c>
      <c r="B769" s="11" t="s">
        <v>2393</v>
      </c>
      <c r="C769" s="133" t="s">
        <v>2653</v>
      </c>
      <c r="D769" s="133" t="s">
        <v>2650</v>
      </c>
      <c r="E769" s="133"/>
      <c r="F769" s="133" t="s">
        <v>37</v>
      </c>
      <c r="G769" s="134" t="s">
        <v>2654</v>
      </c>
      <c r="H769" s="133" t="s">
        <v>246</v>
      </c>
      <c r="I769" s="133" t="s">
        <v>246</v>
      </c>
      <c r="J769" s="135" t="s">
        <v>2655</v>
      </c>
      <c r="K769" s="133" t="s">
        <v>175</v>
      </c>
      <c r="L769" s="133">
        <v>250</v>
      </c>
      <c r="M769" s="133"/>
      <c r="N769" s="133" t="s">
        <v>664</v>
      </c>
      <c r="O769" s="133" t="s">
        <v>2656</v>
      </c>
      <c r="P769" s="133" t="s">
        <v>1391</v>
      </c>
      <c r="Q769" s="133">
        <v>1</v>
      </c>
      <c r="R769" s="133">
        <v>3</v>
      </c>
      <c r="S769" s="133">
        <v>0</v>
      </c>
      <c r="T769" s="133">
        <v>0</v>
      </c>
      <c r="U769" s="133">
        <v>0</v>
      </c>
      <c r="V769" s="133">
        <v>0</v>
      </c>
      <c r="W769" s="133">
        <v>0</v>
      </c>
      <c r="X769" s="133">
        <v>0</v>
      </c>
      <c r="Y769" s="133"/>
      <c r="Z769" s="133">
        <v>0</v>
      </c>
      <c r="AA769" s="133"/>
      <c r="AB769" s="133"/>
      <c r="AC769" s="133">
        <f t="shared" ref="AC769" si="65">SUM(U769:AB769)</f>
        <v>0</v>
      </c>
      <c r="AD769" s="133"/>
      <c r="AE769" s="136" t="s">
        <v>2657</v>
      </c>
      <c r="AG769" s="137"/>
    </row>
    <row r="770" spans="1:33" s="99" customFormat="1" ht="18" customHeight="1">
      <c r="A770" s="130">
        <f>A768+1</f>
        <v>686</v>
      </c>
      <c r="B770" s="96" t="s">
        <v>2393</v>
      </c>
      <c r="C770" s="130" t="s">
        <v>2653</v>
      </c>
      <c r="D770" s="130" t="s">
        <v>2658</v>
      </c>
      <c r="E770" s="130"/>
      <c r="F770" s="130" t="s">
        <v>37</v>
      </c>
      <c r="G770" s="139" t="s">
        <v>2659</v>
      </c>
      <c r="H770" s="130" t="s">
        <v>246</v>
      </c>
      <c r="I770" s="130" t="s">
        <v>246</v>
      </c>
      <c r="J770" s="130"/>
      <c r="K770" s="130" t="s">
        <v>175</v>
      </c>
      <c r="L770" s="130">
        <v>100</v>
      </c>
      <c r="M770" s="130"/>
      <c r="N770" s="130" t="s">
        <v>424</v>
      </c>
      <c r="O770" s="140" t="s">
        <v>2660</v>
      </c>
      <c r="P770" s="130">
        <v>2007</v>
      </c>
      <c r="Q770" s="130">
        <v>1</v>
      </c>
      <c r="R770" s="130">
        <v>1</v>
      </c>
      <c r="S770" s="130">
        <v>0</v>
      </c>
      <c r="T770" s="130">
        <v>0</v>
      </c>
      <c r="U770" s="130">
        <v>0</v>
      </c>
      <c r="V770" s="130">
        <v>0</v>
      </c>
      <c r="W770" s="130">
        <v>0</v>
      </c>
      <c r="X770" s="130">
        <v>0</v>
      </c>
      <c r="Y770" s="130"/>
      <c r="Z770" s="130">
        <v>0</v>
      </c>
      <c r="AA770" s="130"/>
      <c r="AB770" s="130"/>
      <c r="AC770" s="130">
        <f t="shared" si="63"/>
        <v>0</v>
      </c>
      <c r="AD770" s="130"/>
      <c r="AE770" s="131" t="s">
        <v>2657</v>
      </c>
      <c r="AG770" s="132"/>
    </row>
    <row r="771" spans="1:33" s="14" customFormat="1">
      <c r="A771" s="133">
        <f t="shared" si="64"/>
        <v>687</v>
      </c>
      <c r="B771" s="11" t="s">
        <v>2393</v>
      </c>
      <c r="C771" s="133" t="s">
        <v>2653</v>
      </c>
      <c r="D771" s="133" t="s">
        <v>2661</v>
      </c>
      <c r="E771" s="133"/>
      <c r="F771" s="133" t="s">
        <v>37</v>
      </c>
      <c r="G771" s="134" t="s">
        <v>2662</v>
      </c>
      <c r="H771" s="133" t="s">
        <v>246</v>
      </c>
      <c r="I771" s="133" t="s">
        <v>246</v>
      </c>
      <c r="J771" s="133">
        <v>1184</v>
      </c>
      <c r="K771" s="133" t="s">
        <v>175</v>
      </c>
      <c r="L771" s="133">
        <v>160</v>
      </c>
      <c r="M771" s="133"/>
      <c r="N771" s="133"/>
      <c r="O771" s="133"/>
      <c r="P771" s="133"/>
      <c r="Q771" s="133">
        <v>1</v>
      </c>
      <c r="R771" s="133" t="s">
        <v>482</v>
      </c>
      <c r="S771" s="133"/>
      <c r="T771" s="133"/>
      <c r="U771" s="133"/>
      <c r="V771" s="133"/>
      <c r="W771" s="133"/>
      <c r="X771" s="133"/>
      <c r="Y771" s="133"/>
      <c r="Z771" s="133"/>
      <c r="AA771" s="133"/>
      <c r="AB771" s="133"/>
      <c r="AC771" s="133">
        <f t="shared" si="63"/>
        <v>0</v>
      </c>
      <c r="AD771" s="133"/>
      <c r="AE771" s="136"/>
      <c r="AG771" s="137"/>
    </row>
    <row r="772" spans="1:33" s="14" customFormat="1">
      <c r="A772" s="133">
        <f t="shared" si="64"/>
        <v>688</v>
      </c>
      <c r="B772" s="11" t="s">
        <v>2393</v>
      </c>
      <c r="C772" s="133" t="s">
        <v>2653</v>
      </c>
      <c r="D772" s="133" t="s">
        <v>2663</v>
      </c>
      <c r="E772" s="133"/>
      <c r="F772" s="133" t="s">
        <v>37</v>
      </c>
      <c r="G772" s="134" t="s">
        <v>2664</v>
      </c>
      <c r="H772" s="133" t="s">
        <v>246</v>
      </c>
      <c r="I772" s="133" t="s">
        <v>246</v>
      </c>
      <c r="J772" s="135" t="s">
        <v>2665</v>
      </c>
      <c r="K772" s="133" t="s">
        <v>175</v>
      </c>
      <c r="L772" s="133">
        <v>400</v>
      </c>
      <c r="M772" s="133"/>
      <c r="N772" s="133" t="s">
        <v>1334</v>
      </c>
      <c r="O772" s="133" t="s">
        <v>2666</v>
      </c>
      <c r="P772" s="133">
        <v>2015</v>
      </c>
      <c r="Q772" s="133">
        <v>1</v>
      </c>
      <c r="R772" s="133">
        <v>4</v>
      </c>
      <c r="S772" s="133">
        <v>0</v>
      </c>
      <c r="T772" s="133">
        <v>0</v>
      </c>
      <c r="U772" s="133">
        <v>0</v>
      </c>
      <c r="V772" s="133">
        <v>0</v>
      </c>
      <c r="W772" s="133">
        <v>0</v>
      </c>
      <c r="X772" s="133">
        <v>0</v>
      </c>
      <c r="Y772" s="133"/>
      <c r="Z772" s="133">
        <v>0</v>
      </c>
      <c r="AA772" s="133"/>
      <c r="AB772" s="133"/>
      <c r="AC772" s="133">
        <f t="shared" si="63"/>
        <v>0</v>
      </c>
      <c r="AD772" s="133"/>
      <c r="AE772" s="136"/>
      <c r="AG772" s="137"/>
    </row>
    <row r="773" spans="1:33" s="14" customFormat="1">
      <c r="A773" s="133">
        <f t="shared" si="64"/>
        <v>689</v>
      </c>
      <c r="B773" s="11" t="s">
        <v>2393</v>
      </c>
      <c r="C773" s="133" t="s">
        <v>2653</v>
      </c>
      <c r="D773" s="133" t="s">
        <v>2667</v>
      </c>
      <c r="E773" s="133"/>
      <c r="F773" s="133" t="s">
        <v>37</v>
      </c>
      <c r="G773" s="134" t="s">
        <v>2668</v>
      </c>
      <c r="H773" s="133" t="s">
        <v>246</v>
      </c>
      <c r="I773" s="133" t="s">
        <v>246</v>
      </c>
      <c r="J773" s="135" t="s">
        <v>2669</v>
      </c>
      <c r="K773" s="133" t="s">
        <v>175</v>
      </c>
      <c r="L773" s="133">
        <v>250</v>
      </c>
      <c r="M773" s="133"/>
      <c r="N773" s="133" t="s">
        <v>43</v>
      </c>
      <c r="O773" s="133" t="s">
        <v>2670</v>
      </c>
      <c r="P773" s="133">
        <v>2011</v>
      </c>
      <c r="Q773" s="133">
        <v>1</v>
      </c>
      <c r="R773" s="133">
        <v>2</v>
      </c>
      <c r="S773" s="133">
        <v>0</v>
      </c>
      <c r="T773" s="133">
        <v>0</v>
      </c>
      <c r="U773" s="133">
        <v>0</v>
      </c>
      <c r="V773" s="133">
        <v>0</v>
      </c>
      <c r="W773" s="133">
        <v>0</v>
      </c>
      <c r="X773" s="133">
        <v>0</v>
      </c>
      <c r="Y773" s="133"/>
      <c r="Z773" s="133">
        <v>0</v>
      </c>
      <c r="AA773" s="133"/>
      <c r="AB773" s="133"/>
      <c r="AC773" s="133">
        <f t="shared" si="63"/>
        <v>0</v>
      </c>
      <c r="AD773" s="133"/>
      <c r="AE773" s="136"/>
      <c r="AG773" s="137"/>
    </row>
    <row r="774" spans="1:33" s="99" customFormat="1">
      <c r="A774" s="130">
        <f t="shared" si="64"/>
        <v>690</v>
      </c>
      <c r="B774" s="96" t="s">
        <v>2393</v>
      </c>
      <c r="C774" s="130" t="s">
        <v>2653</v>
      </c>
      <c r="D774" s="130" t="s">
        <v>2671</v>
      </c>
      <c r="E774" s="130"/>
      <c r="F774" s="130" t="s">
        <v>37</v>
      </c>
      <c r="G774" s="139" t="s">
        <v>2672</v>
      </c>
      <c r="H774" s="130" t="s">
        <v>246</v>
      </c>
      <c r="I774" s="130" t="s">
        <v>246</v>
      </c>
      <c r="J774" s="140" t="s">
        <v>2673</v>
      </c>
      <c r="K774" s="130" t="s">
        <v>175</v>
      </c>
      <c r="L774" s="130">
        <v>315</v>
      </c>
      <c r="M774" s="130"/>
      <c r="N774" s="130" t="s">
        <v>1045</v>
      </c>
      <c r="O774" s="130" t="s">
        <v>2674</v>
      </c>
      <c r="P774" s="130">
        <v>2001</v>
      </c>
      <c r="Q774" s="130">
        <v>1</v>
      </c>
      <c r="R774" s="130">
        <v>2</v>
      </c>
      <c r="S774" s="130">
        <v>0</v>
      </c>
      <c r="T774" s="130">
        <v>0</v>
      </c>
      <c r="U774" s="130">
        <v>0</v>
      </c>
      <c r="V774" s="130">
        <v>0</v>
      </c>
      <c r="W774" s="130">
        <v>0</v>
      </c>
      <c r="X774" s="130">
        <v>0</v>
      </c>
      <c r="Y774" s="130"/>
      <c r="Z774" s="130">
        <v>0</v>
      </c>
      <c r="AA774" s="130"/>
      <c r="AB774" s="130"/>
      <c r="AC774" s="130">
        <f t="shared" si="63"/>
        <v>0</v>
      </c>
      <c r="AD774" s="130"/>
      <c r="AE774" s="131"/>
      <c r="AG774" s="132"/>
    </row>
    <row r="775" spans="1:33" s="14" customFormat="1">
      <c r="A775" s="133">
        <f t="shared" si="64"/>
        <v>691</v>
      </c>
      <c r="B775" s="11" t="s">
        <v>2393</v>
      </c>
      <c r="C775" s="133" t="s">
        <v>2653</v>
      </c>
      <c r="D775" s="133" t="s">
        <v>2675</v>
      </c>
      <c r="E775" s="133"/>
      <c r="F775" s="133" t="s">
        <v>37</v>
      </c>
      <c r="G775" s="134" t="s">
        <v>2676</v>
      </c>
      <c r="H775" s="133" t="s">
        <v>741</v>
      </c>
      <c r="I775" s="133" t="s">
        <v>741</v>
      </c>
      <c r="J775" s="133">
        <v>1183</v>
      </c>
      <c r="K775" s="133" t="s">
        <v>175</v>
      </c>
      <c r="L775" s="133">
        <v>160</v>
      </c>
      <c r="M775" s="133"/>
      <c r="N775" s="133" t="s">
        <v>424</v>
      </c>
      <c r="O775" s="133" t="s">
        <v>2677</v>
      </c>
      <c r="P775" s="133" t="s">
        <v>737</v>
      </c>
      <c r="Q775" s="133" t="s">
        <v>96</v>
      </c>
      <c r="R775" s="133" t="s">
        <v>482</v>
      </c>
      <c r="S775" s="133"/>
      <c r="T775" s="133"/>
      <c r="U775" s="133"/>
      <c r="V775" s="133"/>
      <c r="W775" s="133"/>
      <c r="X775" s="133"/>
      <c r="Y775" s="133"/>
      <c r="Z775" s="133"/>
      <c r="AA775" s="133"/>
      <c r="AB775" s="133"/>
      <c r="AC775" s="133">
        <f t="shared" si="63"/>
        <v>0</v>
      </c>
      <c r="AD775" s="133"/>
      <c r="AE775" s="136" t="s">
        <v>2678</v>
      </c>
      <c r="AG775" s="137"/>
    </row>
    <row r="776" spans="1:33" s="14" customFormat="1">
      <c r="A776" s="133">
        <f t="shared" si="64"/>
        <v>692</v>
      </c>
      <c r="B776" s="11" t="s">
        <v>2393</v>
      </c>
      <c r="C776" s="133" t="s">
        <v>2653</v>
      </c>
      <c r="D776" s="133" t="s">
        <v>2679</v>
      </c>
      <c r="E776" s="133"/>
      <c r="F776" s="133" t="s">
        <v>37</v>
      </c>
      <c r="G776" s="134" t="s">
        <v>2680</v>
      </c>
      <c r="H776" s="133" t="s">
        <v>246</v>
      </c>
      <c r="I776" s="133" t="s">
        <v>246</v>
      </c>
      <c r="J776" s="135" t="s">
        <v>2681</v>
      </c>
      <c r="K776" s="133" t="s">
        <v>175</v>
      </c>
      <c r="L776" s="133">
        <v>400</v>
      </c>
      <c r="M776" s="133"/>
      <c r="N776" s="133" t="s">
        <v>664</v>
      </c>
      <c r="O776" s="133" t="s">
        <v>2682</v>
      </c>
      <c r="P776" s="133" t="s">
        <v>255</v>
      </c>
      <c r="Q776" s="133">
        <v>1</v>
      </c>
      <c r="R776" s="133">
        <v>2</v>
      </c>
      <c r="S776" s="133">
        <v>0</v>
      </c>
      <c r="T776" s="133">
        <v>0</v>
      </c>
      <c r="U776" s="133">
        <v>0</v>
      </c>
      <c r="V776" s="133">
        <v>0</v>
      </c>
      <c r="W776" s="133">
        <v>0</v>
      </c>
      <c r="X776" s="133">
        <v>0</v>
      </c>
      <c r="Y776" s="133"/>
      <c r="Z776" s="133">
        <v>0</v>
      </c>
      <c r="AA776" s="133"/>
      <c r="AB776" s="133"/>
      <c r="AC776" s="133">
        <f t="shared" si="63"/>
        <v>0</v>
      </c>
      <c r="AD776" s="133"/>
      <c r="AE776" s="136"/>
      <c r="AG776" s="137"/>
    </row>
    <row r="777" spans="1:33" s="99" customFormat="1">
      <c r="A777" s="130">
        <f t="shared" si="64"/>
        <v>693</v>
      </c>
      <c r="B777" s="96" t="s">
        <v>2393</v>
      </c>
      <c r="C777" s="130" t="s">
        <v>2653</v>
      </c>
      <c r="D777" s="130" t="s">
        <v>2683</v>
      </c>
      <c r="E777" s="130"/>
      <c r="F777" s="130" t="s">
        <v>37</v>
      </c>
      <c r="G777" s="139" t="s">
        <v>2680</v>
      </c>
      <c r="H777" s="130" t="s">
        <v>741</v>
      </c>
      <c r="I777" s="130" t="s">
        <v>741</v>
      </c>
      <c r="J777" s="130" t="s">
        <v>2684</v>
      </c>
      <c r="K777" s="130" t="s">
        <v>175</v>
      </c>
      <c r="L777" s="130">
        <v>160</v>
      </c>
      <c r="M777" s="130"/>
      <c r="N777" s="130"/>
      <c r="O777" s="130"/>
      <c r="P777" s="130">
        <v>2024</v>
      </c>
      <c r="Q777" s="130">
        <v>1</v>
      </c>
      <c r="R777" s="130">
        <v>2</v>
      </c>
      <c r="S777" s="130"/>
      <c r="T777" s="130"/>
      <c r="U777" s="130"/>
      <c r="V777" s="130"/>
      <c r="W777" s="130"/>
      <c r="X777" s="130"/>
      <c r="Y777" s="130"/>
      <c r="Z777" s="130"/>
      <c r="AA777" s="130"/>
      <c r="AB777" s="130"/>
      <c r="AC777" s="130">
        <f t="shared" ref="AC777:AC800" si="66">SUM(U777:AB777)</f>
        <v>0</v>
      </c>
      <c r="AD777" s="130"/>
      <c r="AE777" s="131"/>
      <c r="AG777" s="132"/>
    </row>
    <row r="778" spans="1:33" s="99" customFormat="1">
      <c r="A778" s="130">
        <f>A776+1</f>
        <v>693</v>
      </c>
      <c r="B778" s="96" t="s">
        <v>2393</v>
      </c>
      <c r="C778" s="130" t="s">
        <v>2653</v>
      </c>
      <c r="D778" s="130" t="s">
        <v>2685</v>
      </c>
      <c r="E778" s="130"/>
      <c r="F778" s="130" t="s">
        <v>37</v>
      </c>
      <c r="G778" s="139" t="s">
        <v>2686</v>
      </c>
      <c r="H778" s="130" t="s">
        <v>246</v>
      </c>
      <c r="I778" s="130" t="s">
        <v>246</v>
      </c>
      <c r="J778" s="140" t="s">
        <v>2687</v>
      </c>
      <c r="K778" s="130" t="s">
        <v>175</v>
      </c>
      <c r="L778" s="130">
        <v>400</v>
      </c>
      <c r="M778" s="130"/>
      <c r="N778" s="130" t="s">
        <v>664</v>
      </c>
      <c r="O778" s="130" t="s">
        <v>2688</v>
      </c>
      <c r="P778" s="130">
        <v>2025</v>
      </c>
      <c r="Q778" s="130">
        <v>1</v>
      </c>
      <c r="R778" s="130">
        <v>2</v>
      </c>
      <c r="S778" s="130">
        <v>0</v>
      </c>
      <c r="T778" s="130">
        <v>0</v>
      </c>
      <c r="U778" s="130">
        <v>0</v>
      </c>
      <c r="V778" s="130">
        <v>0</v>
      </c>
      <c r="W778" s="130">
        <v>0</v>
      </c>
      <c r="X778" s="130">
        <v>0</v>
      </c>
      <c r="Y778" s="130"/>
      <c r="Z778" s="130">
        <v>0</v>
      </c>
      <c r="AA778" s="130"/>
      <c r="AB778" s="130"/>
      <c r="AC778" s="130">
        <f t="shared" si="66"/>
        <v>0</v>
      </c>
      <c r="AD778" s="130"/>
      <c r="AE778" s="131"/>
      <c r="AG778" s="132"/>
    </row>
    <row r="779" spans="1:33" s="99" customFormat="1">
      <c r="A779" s="130">
        <f>A777+1</f>
        <v>694</v>
      </c>
      <c r="B779" s="96" t="s">
        <v>2393</v>
      </c>
      <c r="C779" s="130" t="s">
        <v>2653</v>
      </c>
      <c r="D779" s="130" t="s">
        <v>2689</v>
      </c>
      <c r="E779" s="130"/>
      <c r="F779" s="130" t="s">
        <v>37</v>
      </c>
      <c r="G779" s="139" t="s">
        <v>2690</v>
      </c>
      <c r="H779" s="130" t="s">
        <v>246</v>
      </c>
      <c r="I779" s="130" t="s">
        <v>246</v>
      </c>
      <c r="J779" s="130"/>
      <c r="K779" s="130" t="s">
        <v>175</v>
      </c>
      <c r="L779" s="130">
        <v>250</v>
      </c>
      <c r="M779" s="130"/>
      <c r="N779" s="130" t="s">
        <v>641</v>
      </c>
      <c r="O779" s="129">
        <v>20040581</v>
      </c>
      <c r="P779" s="130">
        <v>2000</v>
      </c>
      <c r="Q779" s="130">
        <v>1</v>
      </c>
      <c r="R779" s="130">
        <v>2</v>
      </c>
      <c r="S779" s="130">
        <v>0</v>
      </c>
      <c r="T779" s="130">
        <v>0</v>
      </c>
      <c r="U779" s="130">
        <v>0</v>
      </c>
      <c r="V779" s="130">
        <v>0</v>
      </c>
      <c r="W779" s="130">
        <v>0</v>
      </c>
      <c r="X779" s="130">
        <v>0</v>
      </c>
      <c r="Y779" s="130"/>
      <c r="Z779" s="130">
        <v>0</v>
      </c>
      <c r="AA779" s="130"/>
      <c r="AB779" s="130"/>
      <c r="AC779" s="130">
        <f t="shared" si="66"/>
        <v>0</v>
      </c>
      <c r="AD779" s="130"/>
      <c r="AE779" s="131"/>
      <c r="AG779" s="132"/>
    </row>
    <row r="780" spans="1:33" s="14" customFormat="1">
      <c r="A780" s="133">
        <f t="shared" si="64"/>
        <v>695</v>
      </c>
      <c r="B780" s="11" t="s">
        <v>2393</v>
      </c>
      <c r="C780" s="133" t="s">
        <v>2653</v>
      </c>
      <c r="D780" s="133" t="s">
        <v>2691</v>
      </c>
      <c r="E780" s="133"/>
      <c r="F780" s="133" t="s">
        <v>37</v>
      </c>
      <c r="G780" s="134" t="s">
        <v>2692</v>
      </c>
      <c r="H780" s="133" t="s">
        <v>246</v>
      </c>
      <c r="I780" s="133" t="s">
        <v>246</v>
      </c>
      <c r="J780" s="133" t="s">
        <v>2693</v>
      </c>
      <c r="K780" s="133" t="s">
        <v>175</v>
      </c>
      <c r="L780" s="133">
        <v>100</v>
      </c>
      <c r="M780" s="133"/>
      <c r="N780" s="133" t="s">
        <v>59</v>
      </c>
      <c r="O780" s="133" t="s">
        <v>2694</v>
      </c>
      <c r="P780" s="133" t="s">
        <v>95</v>
      </c>
      <c r="Q780" s="133" t="s">
        <v>96</v>
      </c>
      <c r="R780" s="133" t="s">
        <v>482</v>
      </c>
      <c r="S780" s="133"/>
      <c r="T780" s="133"/>
      <c r="U780" s="133"/>
      <c r="V780" s="133"/>
      <c r="W780" s="133"/>
      <c r="X780" s="133"/>
      <c r="Y780" s="133"/>
      <c r="Z780" s="133"/>
      <c r="AA780" s="133"/>
      <c r="AB780" s="133"/>
      <c r="AC780" s="133"/>
      <c r="AD780" s="133"/>
      <c r="AE780" s="136" t="s">
        <v>2695</v>
      </c>
      <c r="AG780" s="137"/>
    </row>
    <row r="781" spans="1:33" s="14" customFormat="1">
      <c r="A781" s="133">
        <f t="shared" si="64"/>
        <v>696</v>
      </c>
      <c r="B781" s="11" t="s">
        <v>2393</v>
      </c>
      <c r="C781" s="133" t="s">
        <v>2653</v>
      </c>
      <c r="D781" s="133" t="s">
        <v>2696</v>
      </c>
      <c r="E781" s="133"/>
      <c r="F781" s="133" t="s">
        <v>37</v>
      </c>
      <c r="G781" s="134" t="s">
        <v>2697</v>
      </c>
      <c r="H781" s="133" t="s">
        <v>741</v>
      </c>
      <c r="I781" s="133" t="s">
        <v>741</v>
      </c>
      <c r="J781" s="133"/>
      <c r="K781" s="133" t="s">
        <v>175</v>
      </c>
      <c r="L781" s="133">
        <v>100</v>
      </c>
      <c r="M781" s="133"/>
      <c r="N781" s="133" t="s">
        <v>59</v>
      </c>
      <c r="O781" s="133">
        <v>223306023</v>
      </c>
      <c r="P781" s="133">
        <v>2022</v>
      </c>
      <c r="Q781" s="133">
        <v>1</v>
      </c>
      <c r="R781" s="133">
        <v>2</v>
      </c>
      <c r="S781" s="133"/>
      <c r="T781" s="133"/>
      <c r="U781" s="133"/>
      <c r="V781" s="133"/>
      <c r="W781" s="133"/>
      <c r="X781" s="133"/>
      <c r="Y781" s="133"/>
      <c r="Z781" s="133"/>
      <c r="AA781" s="133"/>
      <c r="AB781" s="133"/>
      <c r="AC781" s="133"/>
      <c r="AD781" s="133"/>
      <c r="AE781" s="136" t="s">
        <v>2698</v>
      </c>
      <c r="AG781" s="137"/>
    </row>
    <row r="782" spans="1:33" s="14" customFormat="1">
      <c r="A782" s="133">
        <f t="shared" si="64"/>
        <v>697</v>
      </c>
      <c r="B782" s="11" t="s">
        <v>2393</v>
      </c>
      <c r="C782" s="133" t="s">
        <v>2653</v>
      </c>
      <c r="D782" s="133" t="s">
        <v>2699</v>
      </c>
      <c r="E782" s="133"/>
      <c r="F782" s="133" t="s">
        <v>37</v>
      </c>
      <c r="G782" s="134" t="s">
        <v>2700</v>
      </c>
      <c r="H782" s="133" t="s">
        <v>246</v>
      </c>
      <c r="I782" s="133" t="s">
        <v>246</v>
      </c>
      <c r="J782" s="135" t="s">
        <v>2701</v>
      </c>
      <c r="K782" s="133" t="s">
        <v>175</v>
      </c>
      <c r="L782" s="133">
        <v>250</v>
      </c>
      <c r="M782" s="133"/>
      <c r="N782" s="133" t="s">
        <v>59</v>
      </c>
      <c r="O782" s="133" t="s">
        <v>2702</v>
      </c>
      <c r="P782" s="133" t="s">
        <v>766</v>
      </c>
      <c r="Q782" s="133">
        <v>1</v>
      </c>
      <c r="R782" s="133">
        <v>3</v>
      </c>
      <c r="S782" s="133">
        <v>0</v>
      </c>
      <c r="T782" s="133">
        <v>0</v>
      </c>
      <c r="U782" s="133">
        <v>0</v>
      </c>
      <c r="V782" s="133">
        <v>0</v>
      </c>
      <c r="W782" s="133">
        <v>0</v>
      </c>
      <c r="X782" s="133">
        <v>0</v>
      </c>
      <c r="Y782" s="133"/>
      <c r="Z782" s="133">
        <v>0</v>
      </c>
      <c r="AA782" s="133"/>
      <c r="AB782" s="133"/>
      <c r="AC782" s="133">
        <f t="shared" si="66"/>
        <v>0</v>
      </c>
      <c r="AD782" s="133"/>
      <c r="AE782" s="136" t="s">
        <v>1534</v>
      </c>
      <c r="AG782" s="137" t="s">
        <v>1534</v>
      </c>
    </row>
    <row r="783" spans="1:33" s="99" customFormat="1">
      <c r="A783" s="130">
        <f t="shared" ref="A783:A800" si="67">A782+1</f>
        <v>698</v>
      </c>
      <c r="B783" s="96" t="s">
        <v>2393</v>
      </c>
      <c r="C783" s="130" t="s">
        <v>2653</v>
      </c>
      <c r="D783" s="130" t="s">
        <v>2703</v>
      </c>
      <c r="E783" s="130"/>
      <c r="F783" s="130" t="s">
        <v>37</v>
      </c>
      <c r="G783" s="139" t="s">
        <v>2704</v>
      </c>
      <c r="H783" s="130" t="s">
        <v>741</v>
      </c>
      <c r="I783" s="130" t="s">
        <v>741</v>
      </c>
      <c r="J783" s="130"/>
      <c r="K783" s="130" t="s">
        <v>175</v>
      </c>
      <c r="L783" s="130">
        <v>160</v>
      </c>
      <c r="M783" s="130"/>
      <c r="N783" s="130" t="s">
        <v>93</v>
      </c>
      <c r="O783" s="130">
        <v>2501601005</v>
      </c>
      <c r="P783" s="130">
        <v>2025</v>
      </c>
      <c r="Q783" s="130">
        <v>1</v>
      </c>
      <c r="R783" s="130">
        <v>2</v>
      </c>
      <c r="S783" s="130">
        <v>0</v>
      </c>
      <c r="T783" s="130">
        <v>0</v>
      </c>
      <c r="U783" s="130">
        <v>0</v>
      </c>
      <c r="V783" s="130">
        <v>0</v>
      </c>
      <c r="W783" s="130">
        <v>0</v>
      </c>
      <c r="X783" s="130">
        <v>0</v>
      </c>
      <c r="Y783" s="130"/>
      <c r="Z783" s="130">
        <v>0</v>
      </c>
      <c r="AA783" s="130"/>
      <c r="AB783" s="130"/>
      <c r="AC783" s="130">
        <f t="shared" si="66"/>
        <v>0</v>
      </c>
      <c r="AD783" s="130"/>
      <c r="AE783" s="131" t="s">
        <v>1534</v>
      </c>
      <c r="AG783" s="132" t="s">
        <v>1534</v>
      </c>
    </row>
    <row r="784" spans="1:33" s="14" customFormat="1">
      <c r="A784" s="133">
        <f t="shared" si="67"/>
        <v>699</v>
      </c>
      <c r="B784" s="11" t="s">
        <v>2393</v>
      </c>
      <c r="C784" s="133" t="s">
        <v>2653</v>
      </c>
      <c r="D784" s="133" t="s">
        <v>2705</v>
      </c>
      <c r="E784" s="133"/>
      <c r="F784" s="133" t="s">
        <v>37</v>
      </c>
      <c r="G784" s="134" t="s">
        <v>2700</v>
      </c>
      <c r="H784" s="133" t="s">
        <v>246</v>
      </c>
      <c r="I784" s="133" t="s">
        <v>246</v>
      </c>
      <c r="J784" s="135" t="s">
        <v>2706</v>
      </c>
      <c r="K784" s="133" t="s">
        <v>175</v>
      </c>
      <c r="L784" s="133">
        <v>160</v>
      </c>
      <c r="M784" s="133"/>
      <c r="N784" s="133" t="s">
        <v>93</v>
      </c>
      <c r="O784" s="133" t="s">
        <v>2366</v>
      </c>
      <c r="P784" s="133">
        <v>1986</v>
      </c>
      <c r="Q784" s="133">
        <v>1</v>
      </c>
      <c r="R784" s="133">
        <v>2</v>
      </c>
      <c r="S784" s="133">
        <v>0</v>
      </c>
      <c r="T784" s="133">
        <v>0</v>
      </c>
      <c r="U784" s="133">
        <v>0</v>
      </c>
      <c r="V784" s="133">
        <v>0</v>
      </c>
      <c r="W784" s="133">
        <v>0</v>
      </c>
      <c r="X784" s="133">
        <v>0</v>
      </c>
      <c r="Y784" s="133"/>
      <c r="Z784" s="133">
        <v>0</v>
      </c>
      <c r="AA784" s="133"/>
      <c r="AB784" s="133"/>
      <c r="AC784" s="133">
        <f t="shared" si="66"/>
        <v>0</v>
      </c>
      <c r="AD784" s="133"/>
      <c r="AE784" s="136"/>
      <c r="AG784" s="137"/>
    </row>
    <row r="785" spans="1:55" s="14" customFormat="1">
      <c r="A785" s="133">
        <f t="shared" si="67"/>
        <v>700</v>
      </c>
      <c r="B785" s="11" t="s">
        <v>2393</v>
      </c>
      <c r="C785" s="133" t="s">
        <v>2653</v>
      </c>
      <c r="D785" s="133" t="s">
        <v>2707</v>
      </c>
      <c r="E785" s="133"/>
      <c r="F785" s="133" t="s">
        <v>37</v>
      </c>
      <c r="G785" s="134" t="s">
        <v>2708</v>
      </c>
      <c r="H785" s="133" t="s">
        <v>246</v>
      </c>
      <c r="I785" s="133" t="s">
        <v>246</v>
      </c>
      <c r="J785" s="133" t="s">
        <v>2709</v>
      </c>
      <c r="K785" s="133" t="s">
        <v>175</v>
      </c>
      <c r="L785" s="133">
        <v>100</v>
      </c>
      <c r="M785" s="133"/>
      <c r="N785" s="133" t="s">
        <v>424</v>
      </c>
      <c r="O785" s="133">
        <v>7009650</v>
      </c>
      <c r="P785" s="133">
        <v>2007</v>
      </c>
      <c r="Q785" s="133">
        <v>1</v>
      </c>
      <c r="R785" s="133" t="s">
        <v>482</v>
      </c>
      <c r="S785" s="133"/>
      <c r="T785" s="133"/>
      <c r="U785" s="133"/>
      <c r="V785" s="133"/>
      <c r="W785" s="133"/>
      <c r="X785" s="133"/>
      <c r="Y785" s="133"/>
      <c r="Z785" s="133"/>
      <c r="AA785" s="133"/>
      <c r="AB785" s="133"/>
      <c r="AC785" s="133"/>
      <c r="AD785" s="133"/>
      <c r="AE785" s="136"/>
      <c r="AG785" s="137"/>
    </row>
    <row r="786" spans="1:55" s="14" customFormat="1">
      <c r="A786" s="133">
        <f t="shared" si="67"/>
        <v>701</v>
      </c>
      <c r="B786" s="11" t="s">
        <v>2393</v>
      </c>
      <c r="C786" s="133" t="s">
        <v>2653</v>
      </c>
      <c r="D786" s="133" t="s">
        <v>2710</v>
      </c>
      <c r="E786" s="133"/>
      <c r="F786" s="133" t="s">
        <v>37</v>
      </c>
      <c r="G786" s="134" t="s">
        <v>2711</v>
      </c>
      <c r="H786" s="133" t="s">
        <v>246</v>
      </c>
      <c r="I786" s="133" t="s">
        <v>246</v>
      </c>
      <c r="J786" s="133" t="s">
        <v>2712</v>
      </c>
      <c r="K786" s="133" t="s">
        <v>175</v>
      </c>
      <c r="L786" s="133">
        <v>250</v>
      </c>
      <c r="M786" s="133"/>
      <c r="N786" s="133" t="s">
        <v>863</v>
      </c>
      <c r="O786" s="133" t="s">
        <v>2713</v>
      </c>
      <c r="P786" s="133" t="s">
        <v>255</v>
      </c>
      <c r="Q786" s="133" t="s">
        <v>96</v>
      </c>
      <c r="R786" s="133" t="s">
        <v>482</v>
      </c>
      <c r="S786" s="133" t="s">
        <v>907</v>
      </c>
      <c r="T786" s="133" t="s">
        <v>907</v>
      </c>
      <c r="U786" s="133" t="s">
        <v>907</v>
      </c>
      <c r="V786" s="133" t="s">
        <v>907</v>
      </c>
      <c r="W786" s="133" t="s">
        <v>907</v>
      </c>
      <c r="X786" s="133" t="s">
        <v>907</v>
      </c>
      <c r="Y786" s="133"/>
      <c r="Z786" s="133" t="s">
        <v>907</v>
      </c>
      <c r="AA786" s="133"/>
      <c r="AB786" s="133"/>
      <c r="AC786" s="133" t="s">
        <v>907</v>
      </c>
      <c r="AD786" s="133"/>
      <c r="AE786" s="136"/>
      <c r="AG786" s="137"/>
    </row>
    <row r="787" spans="1:55" s="14" customFormat="1">
      <c r="A787" s="133">
        <f t="shared" si="67"/>
        <v>702</v>
      </c>
      <c r="B787" s="11" t="s">
        <v>2393</v>
      </c>
      <c r="C787" s="133" t="s">
        <v>2653</v>
      </c>
      <c r="D787" s="133" t="s">
        <v>2714</v>
      </c>
      <c r="E787" s="133"/>
      <c r="F787" s="133" t="s">
        <v>37</v>
      </c>
      <c r="G787" s="134" t="s">
        <v>2711</v>
      </c>
      <c r="H787" s="133" t="s">
        <v>246</v>
      </c>
      <c r="I787" s="133" t="s">
        <v>246</v>
      </c>
      <c r="J787" s="133" t="s">
        <v>2715</v>
      </c>
      <c r="K787" s="133" t="s">
        <v>175</v>
      </c>
      <c r="L787" s="133">
        <v>250</v>
      </c>
      <c r="M787" s="133"/>
      <c r="N787" s="133" t="s">
        <v>664</v>
      </c>
      <c r="O787" s="133" t="s">
        <v>2716</v>
      </c>
      <c r="P787" s="133" t="s">
        <v>255</v>
      </c>
      <c r="Q787" s="133" t="s">
        <v>96</v>
      </c>
      <c r="R787" s="133" t="s">
        <v>84</v>
      </c>
      <c r="S787" s="133"/>
      <c r="T787" s="133"/>
      <c r="U787" s="133"/>
      <c r="V787" s="133"/>
      <c r="W787" s="133"/>
      <c r="X787" s="133"/>
      <c r="Y787" s="133"/>
      <c r="Z787" s="133"/>
      <c r="AA787" s="133"/>
      <c r="AB787" s="133"/>
      <c r="AC787" s="133"/>
      <c r="AD787" s="133"/>
      <c r="AE787" s="136" t="s">
        <v>2717</v>
      </c>
      <c r="AG787" s="137" t="s">
        <v>2717</v>
      </c>
    </row>
    <row r="788" spans="1:55" s="14" customFormat="1">
      <c r="A788" s="133">
        <f>A786+1</f>
        <v>702</v>
      </c>
      <c r="B788" s="11" t="s">
        <v>2393</v>
      </c>
      <c r="C788" s="133" t="s">
        <v>2653</v>
      </c>
      <c r="D788" s="133" t="s">
        <v>2718</v>
      </c>
      <c r="E788" s="133"/>
      <c r="F788" s="133" t="s">
        <v>37</v>
      </c>
      <c r="G788" s="134" t="s">
        <v>2711</v>
      </c>
      <c r="H788" s="133" t="s">
        <v>246</v>
      </c>
      <c r="I788" s="133" t="s">
        <v>246</v>
      </c>
      <c r="J788" s="133" t="s">
        <v>2719</v>
      </c>
      <c r="K788" s="133" t="s">
        <v>175</v>
      </c>
      <c r="L788" s="133">
        <v>250</v>
      </c>
      <c r="M788" s="133"/>
      <c r="N788" s="133" t="s">
        <v>59</v>
      </c>
      <c r="O788" s="133"/>
      <c r="P788" s="133" t="s">
        <v>766</v>
      </c>
      <c r="Q788" s="133" t="s">
        <v>96</v>
      </c>
      <c r="R788" s="133" t="s">
        <v>84</v>
      </c>
      <c r="S788" s="133"/>
      <c r="T788" s="133"/>
      <c r="U788" s="133"/>
      <c r="V788" s="133"/>
      <c r="W788" s="133"/>
      <c r="X788" s="133"/>
      <c r="Y788" s="133"/>
      <c r="Z788" s="133"/>
      <c r="AA788" s="133"/>
      <c r="AB788" s="133"/>
      <c r="AC788" s="133"/>
      <c r="AD788" s="133"/>
      <c r="AE788" s="136" t="s">
        <v>1678</v>
      </c>
      <c r="AG788" s="137" t="s">
        <v>1678</v>
      </c>
      <c r="BB788" s="2"/>
      <c r="BC788" s="2"/>
    </row>
    <row r="789" spans="1:55" s="14" customFormat="1">
      <c r="A789" s="133">
        <f>A786+1</f>
        <v>702</v>
      </c>
      <c r="B789" s="11" t="s">
        <v>2393</v>
      </c>
      <c r="C789" s="133" t="s">
        <v>2653</v>
      </c>
      <c r="D789" s="133" t="s">
        <v>2720</v>
      </c>
      <c r="E789" s="133"/>
      <c r="F789" s="133" t="s">
        <v>37</v>
      </c>
      <c r="G789" s="134" t="s">
        <v>2711</v>
      </c>
      <c r="H789" s="133" t="s">
        <v>246</v>
      </c>
      <c r="I789" s="133" t="s">
        <v>246</v>
      </c>
      <c r="J789" s="133" t="s">
        <v>2719</v>
      </c>
      <c r="K789" s="133" t="s">
        <v>175</v>
      </c>
      <c r="L789" s="133">
        <v>250</v>
      </c>
      <c r="M789" s="133"/>
      <c r="N789" s="133" t="s">
        <v>641</v>
      </c>
      <c r="O789" s="133" t="s">
        <v>2721</v>
      </c>
      <c r="P789" s="133">
        <v>2024</v>
      </c>
      <c r="Q789" s="133" t="s">
        <v>96</v>
      </c>
      <c r="R789" s="133" t="s">
        <v>84</v>
      </c>
      <c r="S789" s="133"/>
      <c r="T789" s="133"/>
      <c r="U789" s="133"/>
      <c r="V789" s="133"/>
      <c r="W789" s="133"/>
      <c r="X789" s="133"/>
      <c r="Y789" s="133"/>
      <c r="Z789" s="133"/>
      <c r="AA789" s="133"/>
      <c r="AB789" s="133"/>
      <c r="AC789" s="133"/>
      <c r="AD789" s="133"/>
      <c r="AE789" s="136" t="s">
        <v>1678</v>
      </c>
      <c r="AG789" s="137" t="s">
        <v>1678</v>
      </c>
      <c r="BB789" s="2"/>
      <c r="BC789" s="2"/>
    </row>
    <row r="790" spans="1:55" s="14" customFormat="1">
      <c r="A790" s="133">
        <f>A787+1</f>
        <v>703</v>
      </c>
      <c r="B790" s="11" t="s">
        <v>2393</v>
      </c>
      <c r="C790" s="133" t="s">
        <v>2653</v>
      </c>
      <c r="D790" s="133" t="s">
        <v>2722</v>
      </c>
      <c r="E790" s="133"/>
      <c r="F790" s="133" t="s">
        <v>37</v>
      </c>
      <c r="G790" s="134" t="s">
        <v>2723</v>
      </c>
      <c r="H790" s="133" t="s">
        <v>246</v>
      </c>
      <c r="I790" s="133" t="s">
        <v>246</v>
      </c>
      <c r="J790" s="133"/>
      <c r="K790" s="133" t="s">
        <v>175</v>
      </c>
      <c r="L790" s="133">
        <v>160</v>
      </c>
      <c r="M790" s="133"/>
      <c r="N790" s="133" t="s">
        <v>324</v>
      </c>
      <c r="O790" s="133" t="s">
        <v>2724</v>
      </c>
      <c r="P790" s="133">
        <v>2024</v>
      </c>
      <c r="Q790" s="133" t="s">
        <v>96</v>
      </c>
      <c r="R790" s="133" t="s">
        <v>84</v>
      </c>
      <c r="S790" s="133"/>
      <c r="T790" s="133"/>
      <c r="U790" s="133"/>
      <c r="V790" s="133"/>
      <c r="W790" s="133"/>
      <c r="X790" s="133"/>
      <c r="Y790" s="133"/>
      <c r="Z790" s="133"/>
      <c r="AA790" s="133"/>
      <c r="AB790" s="133"/>
      <c r="AC790" s="133"/>
      <c r="AD790" s="133"/>
      <c r="AE790" s="136" t="s">
        <v>1678</v>
      </c>
      <c r="AG790" s="137" t="s">
        <v>1678</v>
      </c>
      <c r="BB790" s="2"/>
      <c r="BC790" s="2"/>
    </row>
    <row r="791" spans="1:55" s="14" customFormat="1">
      <c r="A791" s="133">
        <f t="shared" si="67"/>
        <v>704</v>
      </c>
      <c r="B791" s="11" t="s">
        <v>2393</v>
      </c>
      <c r="C791" s="133" t="s">
        <v>2653</v>
      </c>
      <c r="D791" s="133" t="s">
        <v>2725</v>
      </c>
      <c r="E791" s="133"/>
      <c r="F791" s="133" t="s">
        <v>37</v>
      </c>
      <c r="G791" s="134" t="s">
        <v>2726</v>
      </c>
      <c r="H791" s="133" t="s">
        <v>741</v>
      </c>
      <c r="I791" s="133" t="s">
        <v>741</v>
      </c>
      <c r="J791" s="133" t="s">
        <v>2727</v>
      </c>
      <c r="K791" s="133" t="s">
        <v>175</v>
      </c>
      <c r="L791" s="133">
        <v>100</v>
      </c>
      <c r="M791" s="133"/>
      <c r="N791" s="133" t="s">
        <v>59</v>
      </c>
      <c r="O791" s="133" t="s">
        <v>2728</v>
      </c>
      <c r="P791" s="133" t="s">
        <v>766</v>
      </c>
      <c r="Q791" s="133" t="s">
        <v>96</v>
      </c>
      <c r="R791" s="133" t="s">
        <v>482</v>
      </c>
      <c r="S791" s="133"/>
      <c r="T791" s="133"/>
      <c r="U791" s="133"/>
      <c r="V791" s="133"/>
      <c r="W791" s="133"/>
      <c r="X791" s="133"/>
      <c r="Y791" s="133"/>
      <c r="Z791" s="133"/>
      <c r="AA791" s="133"/>
      <c r="AB791" s="133"/>
      <c r="AC791" s="133"/>
      <c r="AD791" s="133"/>
      <c r="AE791" s="136" t="s">
        <v>1678</v>
      </c>
      <c r="AG791" s="137" t="s">
        <v>1678</v>
      </c>
      <c r="BB791" s="2"/>
      <c r="BC791" s="2" t="s">
        <v>2729</v>
      </c>
    </row>
    <row r="792" spans="1:55" s="14" customFormat="1">
      <c r="A792" s="133">
        <f t="shared" si="67"/>
        <v>705</v>
      </c>
      <c r="B792" s="11" t="s">
        <v>2393</v>
      </c>
      <c r="C792" s="133" t="s">
        <v>2730</v>
      </c>
      <c r="D792" s="133" t="s">
        <v>2731</v>
      </c>
      <c r="E792" s="133"/>
      <c r="F792" s="133" t="s">
        <v>37</v>
      </c>
      <c r="G792" s="134" t="s">
        <v>2732</v>
      </c>
      <c r="H792" s="133" t="s">
        <v>246</v>
      </c>
      <c r="I792" s="133" t="s">
        <v>246</v>
      </c>
      <c r="J792" s="135" t="s">
        <v>2733</v>
      </c>
      <c r="K792" s="133" t="s">
        <v>175</v>
      </c>
      <c r="L792" s="133">
        <v>250</v>
      </c>
      <c r="M792" s="133"/>
      <c r="N792" s="133" t="s">
        <v>93</v>
      </c>
      <c r="O792" s="133" t="s">
        <v>2734</v>
      </c>
      <c r="P792" s="133" t="s">
        <v>95</v>
      </c>
      <c r="Q792" s="133">
        <v>1</v>
      </c>
      <c r="R792" s="133">
        <v>2</v>
      </c>
      <c r="S792" s="133">
        <v>0</v>
      </c>
      <c r="T792" s="133">
        <v>0</v>
      </c>
      <c r="U792" s="133">
        <v>0</v>
      </c>
      <c r="V792" s="133">
        <v>0</v>
      </c>
      <c r="W792" s="133">
        <v>0</v>
      </c>
      <c r="X792" s="133">
        <v>0</v>
      </c>
      <c r="Y792" s="133"/>
      <c r="Z792" s="133">
        <v>0</v>
      </c>
      <c r="AA792" s="133"/>
      <c r="AB792" s="133"/>
      <c r="AC792" s="133">
        <f t="shared" si="66"/>
        <v>0</v>
      </c>
      <c r="AD792" s="133"/>
      <c r="AE792" s="136"/>
      <c r="AG792" s="137"/>
      <c r="BB792" s="10" t="s">
        <v>2735</v>
      </c>
      <c r="BC792" s="10" t="s">
        <v>2736</v>
      </c>
    </row>
    <row r="793" spans="1:55" s="14" customFormat="1">
      <c r="A793" s="133">
        <f t="shared" si="67"/>
        <v>706</v>
      </c>
      <c r="B793" s="11" t="s">
        <v>2393</v>
      </c>
      <c r="C793" s="133" t="s">
        <v>2730</v>
      </c>
      <c r="D793" s="133" t="s">
        <v>2737</v>
      </c>
      <c r="E793" s="133"/>
      <c r="F793" s="133" t="s">
        <v>37</v>
      </c>
      <c r="G793" s="134" t="s">
        <v>2738</v>
      </c>
      <c r="H793" s="133" t="s">
        <v>741</v>
      </c>
      <c r="I793" s="133" t="s">
        <v>741</v>
      </c>
      <c r="J793" s="133"/>
      <c r="K793" s="133" t="s">
        <v>175</v>
      </c>
      <c r="L793" s="133">
        <v>100</v>
      </c>
      <c r="M793" s="133"/>
      <c r="N793" s="133" t="s">
        <v>59</v>
      </c>
      <c r="O793" s="133">
        <v>213300233</v>
      </c>
      <c r="P793" s="133">
        <v>2021</v>
      </c>
      <c r="Q793" s="133">
        <v>1</v>
      </c>
      <c r="R793" s="133">
        <v>2</v>
      </c>
      <c r="S793" s="133">
        <v>0</v>
      </c>
      <c r="T793" s="133">
        <v>0</v>
      </c>
      <c r="U793" s="133">
        <v>0</v>
      </c>
      <c r="V793" s="133">
        <v>0</v>
      </c>
      <c r="W793" s="133">
        <v>0</v>
      </c>
      <c r="X793" s="133">
        <v>0</v>
      </c>
      <c r="Y793" s="133"/>
      <c r="Z793" s="133">
        <v>0</v>
      </c>
      <c r="AA793" s="133"/>
      <c r="AB793" s="133"/>
      <c r="AC793" s="133">
        <f t="shared" si="66"/>
        <v>0</v>
      </c>
      <c r="AD793" s="133"/>
      <c r="AE793" s="136" t="s">
        <v>2578</v>
      </c>
      <c r="AG793" s="137"/>
      <c r="BB793" s="10" t="s">
        <v>2735</v>
      </c>
      <c r="BC793" s="10" t="s">
        <v>2736</v>
      </c>
    </row>
    <row r="794" spans="1:55" s="14" customFormat="1">
      <c r="A794" s="133">
        <f>A792+1</f>
        <v>706</v>
      </c>
      <c r="B794" s="11" t="s">
        <v>2393</v>
      </c>
      <c r="C794" s="133" t="s">
        <v>2730</v>
      </c>
      <c r="D794" s="133" t="s">
        <v>172</v>
      </c>
      <c r="E794" s="133"/>
      <c r="F794" s="133" t="s">
        <v>37</v>
      </c>
      <c r="G794" s="134" t="s">
        <v>2739</v>
      </c>
      <c r="H794" s="133" t="s">
        <v>741</v>
      </c>
      <c r="I794" s="133" t="s">
        <v>741</v>
      </c>
      <c r="J794" s="133"/>
      <c r="K794" s="133" t="s">
        <v>175</v>
      </c>
      <c r="L794" s="133">
        <v>160</v>
      </c>
      <c r="M794" s="133"/>
      <c r="N794" s="133" t="s">
        <v>93</v>
      </c>
      <c r="O794" s="133" t="s">
        <v>2740</v>
      </c>
      <c r="P794" s="133">
        <v>2024</v>
      </c>
      <c r="Q794" s="133">
        <v>1</v>
      </c>
      <c r="R794" s="133">
        <v>2</v>
      </c>
      <c r="S794" s="133">
        <v>0</v>
      </c>
      <c r="T794" s="133">
        <v>0</v>
      </c>
      <c r="U794" s="133">
        <v>0</v>
      </c>
      <c r="V794" s="133">
        <v>0</v>
      </c>
      <c r="W794" s="133">
        <v>0</v>
      </c>
      <c r="X794" s="133">
        <v>0</v>
      </c>
      <c r="Y794" s="133"/>
      <c r="Z794" s="133">
        <v>0</v>
      </c>
      <c r="AA794" s="133"/>
      <c r="AB794" s="133"/>
      <c r="AC794" s="133">
        <f t="shared" si="66"/>
        <v>0</v>
      </c>
      <c r="AD794" s="133"/>
      <c r="AE794" s="136" t="s">
        <v>2741</v>
      </c>
      <c r="AG794" s="137"/>
      <c r="BB794" s="10">
        <v>25</v>
      </c>
      <c r="BC794" s="10">
        <f t="shared" ref="BC794:BC800" si="68">COUNTIF($L$410:$L$481,BB794)</f>
        <v>4</v>
      </c>
    </row>
    <row r="795" spans="1:55" s="14" customFormat="1">
      <c r="A795" s="133">
        <f>A793+1</f>
        <v>707</v>
      </c>
      <c r="B795" s="11" t="s">
        <v>2393</v>
      </c>
      <c r="C795" s="133" t="s">
        <v>2730</v>
      </c>
      <c r="D795" s="133" t="s">
        <v>2742</v>
      </c>
      <c r="E795" s="133"/>
      <c r="F795" s="133" t="s">
        <v>37</v>
      </c>
      <c r="G795" s="134" t="s">
        <v>2743</v>
      </c>
      <c r="H795" s="133" t="s">
        <v>741</v>
      </c>
      <c r="I795" s="133" t="s">
        <v>741</v>
      </c>
      <c r="J795" s="135" t="s">
        <v>2744</v>
      </c>
      <c r="K795" s="133" t="s">
        <v>175</v>
      </c>
      <c r="L795" s="133">
        <v>50</v>
      </c>
      <c r="M795" s="133"/>
      <c r="N795" s="133" t="s">
        <v>424</v>
      </c>
      <c r="O795" s="133" t="s">
        <v>2745</v>
      </c>
      <c r="P795" s="133"/>
      <c r="Q795" s="133">
        <v>1</v>
      </c>
      <c r="R795" s="133">
        <v>2</v>
      </c>
      <c r="S795" s="133">
        <v>0</v>
      </c>
      <c r="T795" s="133">
        <v>0</v>
      </c>
      <c r="U795" s="133">
        <v>0</v>
      </c>
      <c r="V795" s="133">
        <v>0</v>
      </c>
      <c r="W795" s="133">
        <v>0</v>
      </c>
      <c r="X795" s="133">
        <v>0</v>
      </c>
      <c r="Y795" s="133"/>
      <c r="Z795" s="133">
        <v>0</v>
      </c>
      <c r="AA795" s="133"/>
      <c r="AB795" s="133"/>
      <c r="AC795" s="133">
        <f t="shared" si="66"/>
        <v>0</v>
      </c>
      <c r="AD795" s="133"/>
      <c r="AE795" s="136"/>
      <c r="AG795" s="137"/>
      <c r="BB795" s="10">
        <v>25</v>
      </c>
      <c r="BC795" s="10">
        <f t="shared" si="68"/>
        <v>4</v>
      </c>
    </row>
    <row r="796" spans="1:55" s="14" customFormat="1">
      <c r="A796" s="133">
        <f t="shared" si="67"/>
        <v>708</v>
      </c>
      <c r="B796" s="11" t="s">
        <v>2393</v>
      </c>
      <c r="C796" s="133" t="s">
        <v>2730</v>
      </c>
      <c r="D796" s="133" t="s">
        <v>2746</v>
      </c>
      <c r="E796" s="133"/>
      <c r="F796" s="133" t="s">
        <v>37</v>
      </c>
      <c r="G796" s="134" t="s">
        <v>2743</v>
      </c>
      <c r="H796" s="133" t="s">
        <v>741</v>
      </c>
      <c r="I796" s="133" t="s">
        <v>741</v>
      </c>
      <c r="J796" s="135" t="s">
        <v>2747</v>
      </c>
      <c r="K796" s="133" t="s">
        <v>175</v>
      </c>
      <c r="L796" s="133">
        <v>100</v>
      </c>
      <c r="M796" s="133"/>
      <c r="N796" s="133" t="s">
        <v>59</v>
      </c>
      <c r="O796" s="133">
        <v>213301738</v>
      </c>
      <c r="P796" s="133">
        <v>2021</v>
      </c>
      <c r="Q796" s="133">
        <v>1</v>
      </c>
      <c r="R796" s="133" t="s">
        <v>482</v>
      </c>
      <c r="S796" s="133">
        <v>0</v>
      </c>
      <c r="T796" s="133">
        <v>0</v>
      </c>
      <c r="U796" s="133">
        <v>0</v>
      </c>
      <c r="V796" s="133">
        <v>0</v>
      </c>
      <c r="W796" s="133">
        <v>0</v>
      </c>
      <c r="X796" s="133">
        <v>0</v>
      </c>
      <c r="Y796" s="133"/>
      <c r="Z796" s="133">
        <v>0</v>
      </c>
      <c r="AA796" s="133"/>
      <c r="AB796" s="133"/>
      <c r="AC796" s="133">
        <f t="shared" si="66"/>
        <v>0</v>
      </c>
      <c r="AD796" s="133"/>
      <c r="AE796" s="136"/>
      <c r="AG796" s="137"/>
      <c r="BB796" s="10">
        <v>50</v>
      </c>
      <c r="BC796" s="10">
        <f t="shared" si="68"/>
        <v>7</v>
      </c>
    </row>
    <row r="797" spans="1:55" s="14" customFormat="1">
      <c r="A797" s="133">
        <f t="shared" si="67"/>
        <v>709</v>
      </c>
      <c r="B797" s="11" t="s">
        <v>2393</v>
      </c>
      <c r="C797" s="133" t="s">
        <v>2730</v>
      </c>
      <c r="D797" s="133" t="s">
        <v>2748</v>
      </c>
      <c r="E797" s="133"/>
      <c r="F797" s="133" t="s">
        <v>37</v>
      </c>
      <c r="G797" s="134" t="s">
        <v>2743</v>
      </c>
      <c r="H797" s="133" t="s">
        <v>741</v>
      </c>
      <c r="I797" s="133" t="s">
        <v>741</v>
      </c>
      <c r="J797" s="133" t="s">
        <v>2749</v>
      </c>
      <c r="K797" s="133" t="s">
        <v>175</v>
      </c>
      <c r="L797" s="133">
        <v>100</v>
      </c>
      <c r="M797" s="133"/>
      <c r="N797" s="133" t="s">
        <v>863</v>
      </c>
      <c r="O797" s="133" t="s">
        <v>2750</v>
      </c>
      <c r="P797" s="133">
        <v>2012</v>
      </c>
      <c r="Q797" s="133">
        <v>1</v>
      </c>
      <c r="R797" s="133" t="s">
        <v>482</v>
      </c>
      <c r="S797" s="133"/>
      <c r="T797" s="133"/>
      <c r="U797" s="133"/>
      <c r="V797" s="133"/>
      <c r="W797" s="133"/>
      <c r="X797" s="133"/>
      <c r="Y797" s="133"/>
      <c r="Z797" s="133"/>
      <c r="AA797" s="133"/>
      <c r="AB797" s="133"/>
      <c r="AC797" s="133">
        <f t="shared" si="66"/>
        <v>0</v>
      </c>
      <c r="AD797" s="133"/>
      <c r="AE797" s="136"/>
      <c r="AG797" s="137"/>
      <c r="BB797" s="10">
        <v>100</v>
      </c>
      <c r="BC797" s="10">
        <f t="shared" si="68"/>
        <v>33</v>
      </c>
    </row>
    <row r="798" spans="1:55" s="14" customFormat="1">
      <c r="A798" s="133">
        <f t="shared" si="67"/>
        <v>710</v>
      </c>
      <c r="B798" s="11" t="s">
        <v>2393</v>
      </c>
      <c r="C798" s="133" t="s">
        <v>2751</v>
      </c>
      <c r="D798" s="133" t="s">
        <v>2752</v>
      </c>
      <c r="E798" s="133"/>
      <c r="F798" s="133" t="s">
        <v>37</v>
      </c>
      <c r="G798" s="134" t="s">
        <v>2732</v>
      </c>
      <c r="H798" s="133" t="s">
        <v>246</v>
      </c>
      <c r="I798" s="133" t="s">
        <v>246</v>
      </c>
      <c r="J798" s="135" t="s">
        <v>2753</v>
      </c>
      <c r="K798" s="133" t="s">
        <v>175</v>
      </c>
      <c r="L798" s="133">
        <v>250</v>
      </c>
      <c r="M798" s="133"/>
      <c r="N798" s="133" t="s">
        <v>93</v>
      </c>
      <c r="O798" s="133" t="s">
        <v>2754</v>
      </c>
      <c r="P798" s="133">
        <v>2010</v>
      </c>
      <c r="Q798" s="133">
        <v>1</v>
      </c>
      <c r="R798" s="133">
        <v>3</v>
      </c>
      <c r="S798" s="133">
        <v>0</v>
      </c>
      <c r="T798" s="133">
        <v>0</v>
      </c>
      <c r="U798" s="133">
        <v>0</v>
      </c>
      <c r="V798" s="133">
        <v>0</v>
      </c>
      <c r="W798" s="133">
        <v>0</v>
      </c>
      <c r="X798" s="133">
        <v>0</v>
      </c>
      <c r="Y798" s="133"/>
      <c r="Z798" s="133">
        <v>0</v>
      </c>
      <c r="AA798" s="133"/>
      <c r="AB798" s="133"/>
      <c r="AC798" s="133">
        <f t="shared" si="66"/>
        <v>0</v>
      </c>
      <c r="AD798" s="133"/>
      <c r="AE798" s="136"/>
      <c r="AG798" s="137"/>
      <c r="BB798" s="10">
        <v>200</v>
      </c>
      <c r="BC798" s="10">
        <f t="shared" si="68"/>
        <v>1</v>
      </c>
    </row>
    <row r="799" spans="1:55" s="14" customFormat="1">
      <c r="A799" s="133">
        <f t="shared" si="67"/>
        <v>711</v>
      </c>
      <c r="B799" s="11" t="s">
        <v>2393</v>
      </c>
      <c r="C799" s="133" t="s">
        <v>2755</v>
      </c>
      <c r="D799" s="133" t="s">
        <v>2756</v>
      </c>
      <c r="E799" s="133"/>
      <c r="F799" s="133" t="s">
        <v>37</v>
      </c>
      <c r="G799" s="134" t="s">
        <v>2732</v>
      </c>
      <c r="H799" s="133" t="s">
        <v>741</v>
      </c>
      <c r="I799" s="133" t="s">
        <v>741</v>
      </c>
      <c r="J799" s="133">
        <v>1021</v>
      </c>
      <c r="K799" s="133" t="s">
        <v>175</v>
      </c>
      <c r="L799" s="133">
        <v>160</v>
      </c>
      <c r="M799" s="133"/>
      <c r="N799" s="133" t="s">
        <v>1143</v>
      </c>
      <c r="O799" s="133" t="s">
        <v>2757</v>
      </c>
      <c r="P799" s="133">
        <v>1984</v>
      </c>
      <c r="Q799" s="133">
        <v>1</v>
      </c>
      <c r="R799" s="133">
        <v>1</v>
      </c>
      <c r="S799" s="133">
        <v>0</v>
      </c>
      <c r="T799" s="133">
        <v>0</v>
      </c>
      <c r="U799" s="133">
        <v>0</v>
      </c>
      <c r="V799" s="133">
        <v>0</v>
      </c>
      <c r="W799" s="133">
        <v>0</v>
      </c>
      <c r="X799" s="133">
        <v>0</v>
      </c>
      <c r="Y799" s="133"/>
      <c r="Z799" s="133">
        <v>0</v>
      </c>
      <c r="AA799" s="133"/>
      <c r="AB799" s="133"/>
      <c r="AC799" s="133">
        <f t="shared" si="66"/>
        <v>0</v>
      </c>
      <c r="AD799" s="133"/>
      <c r="AE799" s="136"/>
      <c r="AG799" s="137"/>
      <c r="BB799" s="10">
        <v>250</v>
      </c>
      <c r="BC799" s="10">
        <f t="shared" si="68"/>
        <v>11</v>
      </c>
    </row>
    <row r="800" spans="1:55">
      <c r="A800" s="133">
        <f t="shared" si="67"/>
        <v>712</v>
      </c>
      <c r="B800" s="11" t="s">
        <v>2393</v>
      </c>
      <c r="C800" s="133" t="s">
        <v>2755</v>
      </c>
      <c r="D800" s="133" t="s">
        <v>2758</v>
      </c>
      <c r="E800" s="133"/>
      <c r="F800" s="133" t="s">
        <v>37</v>
      </c>
      <c r="G800" s="134" t="s">
        <v>2759</v>
      </c>
      <c r="H800" s="133" t="s">
        <v>246</v>
      </c>
      <c r="I800" s="133" t="s">
        <v>246</v>
      </c>
      <c r="J800" s="133"/>
      <c r="K800" s="133" t="s">
        <v>175</v>
      </c>
      <c r="L800" s="133">
        <v>50</v>
      </c>
      <c r="M800" s="133"/>
      <c r="N800" s="133" t="s">
        <v>2760</v>
      </c>
      <c r="O800" s="203">
        <v>9773455</v>
      </c>
      <c r="P800" s="133">
        <v>1997</v>
      </c>
      <c r="Q800" s="133">
        <v>1</v>
      </c>
      <c r="R800" s="133">
        <v>1</v>
      </c>
      <c r="S800" s="133">
        <v>0</v>
      </c>
      <c r="T800" s="133">
        <v>0</v>
      </c>
      <c r="U800" s="133">
        <v>0</v>
      </c>
      <c r="V800" s="133">
        <v>0</v>
      </c>
      <c r="W800" s="133">
        <v>0</v>
      </c>
      <c r="X800" s="133">
        <v>0</v>
      </c>
      <c r="Y800" s="133"/>
      <c r="Z800" s="133">
        <v>0</v>
      </c>
      <c r="AA800" s="133"/>
      <c r="AB800" s="133"/>
      <c r="AC800" s="133">
        <f t="shared" si="66"/>
        <v>0</v>
      </c>
      <c r="AD800" s="133"/>
      <c r="AE800" s="136" t="s">
        <v>2761</v>
      </c>
      <c r="AF800" s="14"/>
      <c r="AG800" s="137"/>
      <c r="BB800" s="10">
        <v>315</v>
      </c>
      <c r="BC800" s="10">
        <f t="shared" si="68"/>
        <v>0</v>
      </c>
    </row>
    <row r="801" spans="1:55">
      <c r="A801" s="204"/>
      <c r="B801" s="205"/>
      <c r="C801" s="204"/>
      <c r="D801" s="204"/>
      <c r="E801" s="204"/>
      <c r="F801" s="204"/>
      <c r="G801" s="206"/>
      <c r="H801" s="204"/>
      <c r="I801" s="204"/>
      <c r="J801" s="204"/>
      <c r="K801" s="204"/>
      <c r="L801" s="204"/>
      <c r="M801" s="204"/>
      <c r="N801" s="204"/>
      <c r="O801" s="204"/>
      <c r="P801" s="204"/>
      <c r="Q801" s="204"/>
      <c r="R801" s="204"/>
      <c r="S801" s="204"/>
      <c r="T801" s="204"/>
      <c r="U801" s="204"/>
      <c r="V801" s="204"/>
      <c r="W801" s="204"/>
      <c r="X801" s="204"/>
      <c r="Y801" s="204"/>
      <c r="Z801" s="204"/>
      <c r="AA801" s="204"/>
      <c r="AB801" s="204"/>
      <c r="AC801" s="204"/>
      <c r="AD801" s="204"/>
      <c r="AE801" s="207"/>
      <c r="AF801" s="14"/>
      <c r="AG801" s="208"/>
      <c r="BB801" s="10"/>
      <c r="BC801" s="10"/>
    </row>
    <row r="802" spans="1:55">
      <c r="C802" s="2" t="s">
        <v>2762</v>
      </c>
      <c r="BB802" s="10">
        <v>400</v>
      </c>
      <c r="BC802" s="10">
        <f>COUNTIF($L$410:$L$481,BB802)</f>
        <v>2</v>
      </c>
    </row>
    <row r="803" spans="1:55">
      <c r="M803" s="212" t="s">
        <v>2763</v>
      </c>
      <c r="N803" s="212"/>
      <c r="O803" s="212"/>
      <c r="AA803" s="5"/>
      <c r="AB803" s="6"/>
      <c r="AC803" s="6"/>
      <c r="AD803" s="6"/>
      <c r="AE803" s="6"/>
      <c r="AG803" s="6"/>
      <c r="BB803" s="10">
        <v>500</v>
      </c>
      <c r="BC803" s="10">
        <f>COUNTIF($L$410:$L$481,BB803)</f>
        <v>0</v>
      </c>
    </row>
    <row r="804" spans="1:55">
      <c r="C804" s="10" t="s">
        <v>4</v>
      </c>
      <c r="D804" s="10" t="s">
        <v>11</v>
      </c>
      <c r="G804" s="12" t="s">
        <v>12</v>
      </c>
      <c r="H804" s="10" t="s">
        <v>11</v>
      </c>
      <c r="J804" s="10" t="s">
        <v>14</v>
      </c>
      <c r="K804" s="10" t="s">
        <v>11</v>
      </c>
      <c r="M804" s="10" t="s">
        <v>2735</v>
      </c>
      <c r="N804" s="10" t="s">
        <v>2736</v>
      </c>
      <c r="O804" s="10" t="s">
        <v>2764</v>
      </c>
      <c r="Q804" s="10" t="s">
        <v>2765</v>
      </c>
      <c r="R804" s="10" t="s">
        <v>2766</v>
      </c>
      <c r="Y804" s="5"/>
      <c r="Z804" s="6"/>
      <c r="AA804" s="6"/>
      <c r="AB804" s="6"/>
      <c r="AC804" s="6"/>
      <c r="AD804" s="6"/>
      <c r="AE804" s="6"/>
      <c r="AG804" s="6"/>
      <c r="BB804" s="10">
        <v>630</v>
      </c>
      <c r="BC804" s="10">
        <f>COUNTIF($L$410:$L$481,BB804)</f>
        <v>0</v>
      </c>
    </row>
    <row r="805" spans="1:55">
      <c r="C805" s="10" t="s">
        <v>35</v>
      </c>
      <c r="D805" s="10">
        <f t="shared" ref="D805:D839" si="69">COUNTIF($C$8:$C$800,C805)</f>
        <v>19</v>
      </c>
      <c r="G805" s="12" t="s">
        <v>2767</v>
      </c>
      <c r="H805" s="10">
        <f>COUNTIF($F$8:$F$800,G805)</f>
        <v>546</v>
      </c>
      <c r="J805" s="10" t="s">
        <v>246</v>
      </c>
      <c r="K805" s="10">
        <f t="shared" ref="K805:K814" si="70">COUNTIF($I$8:$I$800,J805)</f>
        <v>328</v>
      </c>
      <c r="M805" s="10">
        <v>25</v>
      </c>
      <c r="N805" s="10">
        <f t="shared" ref="N805:N814" si="71">COUNTIF($L$5:$L$799,M805)</f>
        <v>10</v>
      </c>
      <c r="O805" s="10">
        <f>N805*M805</f>
        <v>250</v>
      </c>
      <c r="Q805" s="10" t="s">
        <v>42</v>
      </c>
      <c r="R805" s="10">
        <f>COUNTIF($K$8:$K$799,Q805)</f>
        <v>433</v>
      </c>
      <c r="Z805" s="5"/>
      <c r="AA805" s="6"/>
      <c r="AB805" s="6"/>
      <c r="AC805" s="6"/>
      <c r="AD805" s="6"/>
      <c r="AE805" s="6"/>
      <c r="AG805" s="6"/>
      <c r="BB805" s="10" t="s">
        <v>2768</v>
      </c>
      <c r="BC805" s="209">
        <f>SUM(BC795:BC804)</f>
        <v>58</v>
      </c>
    </row>
    <row r="806" spans="1:55">
      <c r="C806" s="10" t="s">
        <v>125</v>
      </c>
      <c r="D806" s="10">
        <f t="shared" si="69"/>
        <v>19</v>
      </c>
      <c r="G806" s="12" t="s">
        <v>1660</v>
      </c>
      <c r="H806" s="10">
        <f>COUNTIF($F$8:$F$800,G806)</f>
        <v>200</v>
      </c>
      <c r="J806" s="10" t="s">
        <v>741</v>
      </c>
      <c r="K806" s="10">
        <f t="shared" si="70"/>
        <v>220</v>
      </c>
      <c r="M806" s="10">
        <v>50</v>
      </c>
      <c r="N806" s="10">
        <f t="shared" si="71"/>
        <v>46</v>
      </c>
      <c r="O806" s="10">
        <f>N806*M806</f>
        <v>2300</v>
      </c>
      <c r="Q806" s="10" t="s">
        <v>175</v>
      </c>
      <c r="R806" s="10">
        <f>COUNTIF($K$8:$K$799,Q806)</f>
        <v>129</v>
      </c>
      <c r="Z806" s="5"/>
      <c r="AA806" s="6"/>
      <c r="AB806" s="6"/>
      <c r="AC806" s="6"/>
      <c r="AD806" s="6"/>
      <c r="AE806" s="6"/>
      <c r="AG806" s="6"/>
      <c r="BB806" s="2"/>
      <c r="BC806" s="2"/>
    </row>
    <row r="807" spans="1:55">
      <c r="C807" s="10" t="s">
        <v>188</v>
      </c>
      <c r="D807" s="10">
        <f t="shared" si="69"/>
        <v>1</v>
      </c>
      <c r="G807" s="12" t="s">
        <v>2769</v>
      </c>
      <c r="H807" s="10">
        <f>COUNTIF($F$8:$F$800,G807)</f>
        <v>34</v>
      </c>
      <c r="J807" s="10" t="s">
        <v>40</v>
      </c>
      <c r="K807" s="10">
        <f t="shared" si="70"/>
        <v>85</v>
      </c>
      <c r="M807" s="10">
        <v>100</v>
      </c>
      <c r="N807" s="10">
        <f t="shared" si="71"/>
        <v>183</v>
      </c>
      <c r="O807" s="10">
        <f t="shared" ref="O807:O814" si="72">N807*M807</f>
        <v>18300</v>
      </c>
      <c r="Q807" s="10" t="s">
        <v>1429</v>
      </c>
      <c r="R807" s="10">
        <f>COUNTIF($K$8:$K$799,Q807)</f>
        <v>86</v>
      </c>
      <c r="Z807" s="5"/>
      <c r="AA807" s="6"/>
      <c r="AB807" s="6"/>
      <c r="AC807" s="6"/>
      <c r="AD807" s="6"/>
      <c r="AE807" s="6"/>
      <c r="AG807" s="6"/>
      <c r="BB807" s="2"/>
      <c r="BC807" s="2" t="s">
        <v>2770</v>
      </c>
    </row>
    <row r="808" spans="1:55">
      <c r="C808" s="10" t="s">
        <v>191</v>
      </c>
      <c r="D808" s="10">
        <f t="shared" si="69"/>
        <v>14</v>
      </c>
      <c r="G808" s="12" t="s">
        <v>2768</v>
      </c>
      <c r="H808" s="210">
        <f>SUM(H805:H807)</f>
        <v>780</v>
      </c>
      <c r="J808" s="10" t="s">
        <v>50</v>
      </c>
      <c r="K808" s="10">
        <f t="shared" si="70"/>
        <v>80</v>
      </c>
      <c r="M808" s="10">
        <v>160</v>
      </c>
      <c r="N808" s="10">
        <f t="shared" si="71"/>
        <v>107</v>
      </c>
      <c r="O808" s="10">
        <f t="shared" si="72"/>
        <v>17120</v>
      </c>
      <c r="Q808" s="10" t="s">
        <v>1114</v>
      </c>
      <c r="R808" s="10">
        <f>COUNTIF($K$8:$K$799,Q808)</f>
        <v>87</v>
      </c>
      <c r="Z808" s="5"/>
      <c r="AA808" s="6"/>
      <c r="AB808" s="6"/>
      <c r="AC808" s="6"/>
      <c r="AD808" s="6"/>
      <c r="AE808" s="6"/>
      <c r="AG808" s="6"/>
      <c r="BB808" s="10" t="s">
        <v>2735</v>
      </c>
      <c r="BC808" s="10" t="s">
        <v>2736</v>
      </c>
    </row>
    <row r="809" spans="1:55">
      <c r="C809" s="10" t="s">
        <v>234</v>
      </c>
      <c r="D809" s="10">
        <f t="shared" si="69"/>
        <v>12</v>
      </c>
      <c r="J809" s="10" t="s">
        <v>136</v>
      </c>
      <c r="K809" s="10">
        <f t="shared" si="70"/>
        <v>18</v>
      </c>
      <c r="M809" s="10">
        <v>200</v>
      </c>
      <c r="N809" s="10">
        <f t="shared" si="71"/>
        <v>29</v>
      </c>
      <c r="O809" s="10">
        <f t="shared" si="72"/>
        <v>5800</v>
      </c>
      <c r="Q809" s="10" t="s">
        <v>1098</v>
      </c>
      <c r="R809" s="10">
        <f>COUNTIF($K$8:$K$799,Q809)</f>
        <v>43</v>
      </c>
      <c r="Z809" s="5"/>
      <c r="AA809" s="6"/>
      <c r="AB809" s="6"/>
      <c r="AC809" s="6"/>
      <c r="AD809" s="6"/>
      <c r="AE809" s="6"/>
      <c r="AG809" s="6"/>
      <c r="BB809" s="10">
        <v>25</v>
      </c>
      <c r="BC809" s="10">
        <f t="shared" ref="BC809:BC818" si="73">COUNTIF($L$691:$L$708,BB809)</f>
        <v>0</v>
      </c>
    </row>
    <row r="810" spans="1:55">
      <c r="C810" s="10" t="s">
        <v>278</v>
      </c>
      <c r="D810" s="10">
        <f t="shared" si="69"/>
        <v>7</v>
      </c>
      <c r="J810" s="10" t="s">
        <v>403</v>
      </c>
      <c r="K810" s="10">
        <f t="shared" si="70"/>
        <v>40</v>
      </c>
      <c r="M810" s="10">
        <v>250</v>
      </c>
      <c r="N810" s="10">
        <f t="shared" si="71"/>
        <v>177</v>
      </c>
      <c r="O810" s="10">
        <f t="shared" si="72"/>
        <v>44250</v>
      </c>
      <c r="Q810" s="10" t="s">
        <v>2768</v>
      </c>
      <c r="R810" s="210">
        <f>SUM(R805:R809)</f>
        <v>778</v>
      </c>
      <c r="Z810" s="5"/>
      <c r="AA810" s="6"/>
      <c r="AB810" s="6"/>
      <c r="AC810" s="6"/>
      <c r="AD810" s="6"/>
      <c r="AE810" s="6"/>
      <c r="AG810" s="6"/>
      <c r="BB810" s="10">
        <v>50</v>
      </c>
      <c r="BC810" s="10">
        <f t="shared" si="73"/>
        <v>3</v>
      </c>
    </row>
    <row r="811" spans="1:55">
      <c r="C811" s="10" t="s">
        <v>300</v>
      </c>
      <c r="D811" s="10">
        <f t="shared" si="69"/>
        <v>8</v>
      </c>
      <c r="J811" s="10" t="s">
        <v>2771</v>
      </c>
      <c r="K811" s="10">
        <f t="shared" si="70"/>
        <v>0</v>
      </c>
      <c r="M811" s="10">
        <v>315</v>
      </c>
      <c r="N811" s="10">
        <f t="shared" si="71"/>
        <v>4</v>
      </c>
      <c r="O811" s="10">
        <f t="shared" si="72"/>
        <v>1260</v>
      </c>
      <c r="Z811" s="5"/>
      <c r="AA811" s="6"/>
      <c r="AB811" s="6"/>
      <c r="AC811" s="6"/>
      <c r="AD811" s="6"/>
      <c r="AE811" s="6"/>
      <c r="AG811" s="6"/>
      <c r="BB811" s="10">
        <v>100</v>
      </c>
      <c r="BC811" s="10">
        <f t="shared" si="73"/>
        <v>4</v>
      </c>
    </row>
    <row r="812" spans="1:55">
      <c r="C812" s="10" t="s">
        <v>2772</v>
      </c>
      <c r="D812" s="10">
        <f t="shared" si="69"/>
        <v>0</v>
      </c>
      <c r="J812" s="10" t="s">
        <v>2773</v>
      </c>
      <c r="K812" s="10">
        <f t="shared" si="70"/>
        <v>0</v>
      </c>
      <c r="M812" s="10">
        <v>400</v>
      </c>
      <c r="N812" s="10">
        <f t="shared" si="71"/>
        <v>75</v>
      </c>
      <c r="O812" s="10">
        <f t="shared" si="72"/>
        <v>30000</v>
      </c>
      <c r="Z812" s="5"/>
      <c r="AA812" s="6"/>
      <c r="AB812" s="6"/>
      <c r="AC812" s="6"/>
      <c r="AD812" s="6"/>
      <c r="AE812" s="6"/>
      <c r="AG812" s="6"/>
      <c r="BB812" s="10">
        <v>160</v>
      </c>
      <c r="BC812" s="10">
        <f t="shared" si="73"/>
        <v>3</v>
      </c>
    </row>
    <row r="813" spans="1:55">
      <c r="C813" s="10" t="s">
        <v>317</v>
      </c>
      <c r="D813" s="10">
        <f t="shared" si="69"/>
        <v>12</v>
      </c>
      <c r="J813" s="10" t="s">
        <v>32</v>
      </c>
      <c r="K813" s="10">
        <f t="shared" si="70"/>
        <v>1</v>
      </c>
      <c r="M813" s="10">
        <v>500</v>
      </c>
      <c r="N813" s="10">
        <f t="shared" si="71"/>
        <v>1</v>
      </c>
      <c r="O813" s="10">
        <f t="shared" si="72"/>
        <v>500</v>
      </c>
      <c r="Z813" s="5"/>
      <c r="AA813" s="6"/>
      <c r="AB813" s="6"/>
      <c r="AC813" s="6"/>
      <c r="AD813" s="6"/>
      <c r="AE813" s="6"/>
      <c r="AG813" s="6"/>
      <c r="BB813" s="10">
        <v>200</v>
      </c>
      <c r="BC813" s="10">
        <f t="shared" si="73"/>
        <v>3</v>
      </c>
    </row>
    <row r="814" spans="1:55">
      <c r="C814" s="10" t="s">
        <v>358</v>
      </c>
      <c r="D814" s="10">
        <f t="shared" si="69"/>
        <v>7</v>
      </c>
      <c r="J814" s="10" t="s">
        <v>201</v>
      </c>
      <c r="K814" s="10">
        <f t="shared" si="70"/>
        <v>4</v>
      </c>
      <c r="M814" s="10">
        <v>630</v>
      </c>
      <c r="N814" s="10">
        <f t="shared" si="71"/>
        <v>41</v>
      </c>
      <c r="O814" s="10">
        <f t="shared" si="72"/>
        <v>25830</v>
      </c>
      <c r="Z814" s="5"/>
      <c r="AA814" s="6"/>
      <c r="AB814" s="6"/>
      <c r="AC814" s="6"/>
      <c r="AD814" s="6"/>
      <c r="AE814" s="6"/>
      <c r="AG814" s="6"/>
      <c r="BB814" s="10">
        <v>250</v>
      </c>
      <c r="BC814" s="10">
        <f t="shared" si="73"/>
        <v>5</v>
      </c>
    </row>
    <row r="815" spans="1:55">
      <c r="C815" s="10" t="s">
        <v>398</v>
      </c>
      <c r="D815" s="10">
        <f t="shared" si="69"/>
        <v>21</v>
      </c>
      <c r="J815" s="10" t="s">
        <v>2768</v>
      </c>
      <c r="K815" s="210">
        <f>SUM(K805:K814)</f>
        <v>776</v>
      </c>
      <c r="M815" s="10" t="s">
        <v>2768</v>
      </c>
      <c r="N815" s="209">
        <f>SUM(N805:N814)</f>
        <v>673</v>
      </c>
      <c r="O815" s="209">
        <f>SUM(O805:O814)</f>
        <v>145610</v>
      </c>
      <c r="Y815" s="5"/>
      <c r="Z815" s="6"/>
      <c r="AA815" s="6"/>
      <c r="AB815" s="6"/>
      <c r="AC815" s="6"/>
      <c r="AD815" s="6"/>
      <c r="AE815" s="6"/>
      <c r="AG815" s="6"/>
      <c r="BB815" s="10">
        <v>315</v>
      </c>
      <c r="BC815" s="10">
        <f t="shared" si="73"/>
        <v>0</v>
      </c>
    </row>
    <row r="816" spans="1:55">
      <c r="C816" s="10" t="s">
        <v>534</v>
      </c>
      <c r="D816" s="10">
        <f t="shared" si="69"/>
        <v>11</v>
      </c>
      <c r="AA816" s="5"/>
      <c r="AB816" s="6"/>
      <c r="AC816" s="6"/>
      <c r="AD816" s="6"/>
      <c r="AE816" s="6"/>
      <c r="AG816" s="6"/>
      <c r="BB816" s="10">
        <v>400</v>
      </c>
      <c r="BC816" s="10">
        <f t="shared" si="73"/>
        <v>0</v>
      </c>
    </row>
    <row r="817" spans="3:55">
      <c r="C817" s="10" t="s">
        <v>576</v>
      </c>
      <c r="D817" s="10">
        <f t="shared" si="69"/>
        <v>7</v>
      </c>
      <c r="M817" s="213" t="s">
        <v>2774</v>
      </c>
      <c r="N817" s="213"/>
      <c r="O817" s="213"/>
      <c r="BB817" s="10">
        <v>500</v>
      </c>
      <c r="BC817" s="10">
        <f t="shared" si="73"/>
        <v>0</v>
      </c>
    </row>
    <row r="818" spans="3:55">
      <c r="C818" s="10" t="s">
        <v>601</v>
      </c>
      <c r="D818" s="10">
        <f t="shared" si="69"/>
        <v>4</v>
      </c>
      <c r="M818" s="10" t="s">
        <v>2768</v>
      </c>
      <c r="N818" s="209">
        <f>COUNTA(M8:M799)</f>
        <v>26</v>
      </c>
      <c r="O818" s="209">
        <f>SUM(M8:M799)</f>
        <v>15750</v>
      </c>
      <c r="BB818" s="10">
        <v>630</v>
      </c>
      <c r="BC818" s="10">
        <f t="shared" si="73"/>
        <v>0</v>
      </c>
    </row>
    <row r="819" spans="3:55">
      <c r="C819" s="10" t="s">
        <v>616</v>
      </c>
      <c r="D819" s="10">
        <f t="shared" si="69"/>
        <v>2</v>
      </c>
      <c r="BB819" s="10" t="s">
        <v>2768</v>
      </c>
      <c r="BC819" s="209">
        <f>SUM(BC809:BC818)</f>
        <v>18</v>
      </c>
    </row>
    <row r="820" spans="3:55">
      <c r="C820" s="10" t="s">
        <v>623</v>
      </c>
      <c r="D820" s="10">
        <f t="shared" si="69"/>
        <v>11</v>
      </c>
      <c r="M820" s="10" t="s">
        <v>2768</v>
      </c>
      <c r="N820" s="210">
        <f>N815+N818</f>
        <v>699</v>
      </c>
      <c r="BB820" s="2"/>
      <c r="BC820" s="2"/>
    </row>
    <row r="821" spans="3:55">
      <c r="C821" s="10" t="s">
        <v>660</v>
      </c>
      <c r="D821" s="10">
        <f t="shared" si="69"/>
        <v>11</v>
      </c>
      <c r="BB821" s="2"/>
      <c r="BC821" s="2" t="s">
        <v>2775</v>
      </c>
    </row>
    <row r="822" spans="3:55">
      <c r="C822" s="10" t="s">
        <v>697</v>
      </c>
      <c r="D822" s="10">
        <f t="shared" si="69"/>
        <v>7</v>
      </c>
      <c r="BB822" s="10" t="s">
        <v>2735</v>
      </c>
      <c r="BC822" s="10" t="s">
        <v>2736</v>
      </c>
    </row>
    <row r="823" spans="3:55">
      <c r="C823" s="10" t="s">
        <v>717</v>
      </c>
      <c r="D823" s="10">
        <f t="shared" si="69"/>
        <v>3</v>
      </c>
      <c r="BB823" s="10">
        <v>25</v>
      </c>
      <c r="BC823" s="10">
        <f t="shared" ref="BC823:BC832" si="74">COUNTIF($L$792:$L$797,BB823)</f>
        <v>0</v>
      </c>
    </row>
    <row r="824" spans="3:55">
      <c r="C824" s="10" t="s">
        <v>729</v>
      </c>
      <c r="D824" s="10">
        <f t="shared" si="69"/>
        <v>3</v>
      </c>
      <c r="BB824" s="10">
        <v>50</v>
      </c>
      <c r="BC824" s="10">
        <f t="shared" si="74"/>
        <v>1</v>
      </c>
    </row>
    <row r="825" spans="3:55">
      <c r="C825" s="10" t="s">
        <v>739</v>
      </c>
      <c r="D825" s="10">
        <f t="shared" si="69"/>
        <v>6</v>
      </c>
      <c r="BB825" s="10">
        <v>100</v>
      </c>
      <c r="BC825" s="10">
        <f t="shared" si="74"/>
        <v>3</v>
      </c>
    </row>
    <row r="826" spans="3:55">
      <c r="C826" s="10" t="s">
        <v>761</v>
      </c>
      <c r="D826" s="10">
        <f t="shared" si="69"/>
        <v>78</v>
      </c>
      <c r="BB826" s="10">
        <v>160</v>
      </c>
      <c r="BC826" s="10">
        <f t="shared" si="74"/>
        <v>1</v>
      </c>
    </row>
    <row r="827" spans="3:55">
      <c r="C827" s="10" t="s">
        <v>1041</v>
      </c>
      <c r="D827" s="10">
        <f t="shared" si="69"/>
        <v>15</v>
      </c>
      <c r="BB827" s="10">
        <v>200</v>
      </c>
      <c r="BC827" s="10">
        <f t="shared" si="74"/>
        <v>0</v>
      </c>
    </row>
    <row r="828" spans="3:55">
      <c r="C828" s="10" t="s">
        <v>2776</v>
      </c>
      <c r="D828" s="10">
        <f t="shared" si="69"/>
        <v>0</v>
      </c>
      <c r="BB828" s="10">
        <v>250</v>
      </c>
      <c r="BC828" s="10">
        <f t="shared" si="74"/>
        <v>1</v>
      </c>
    </row>
    <row r="829" spans="3:55">
      <c r="C829" s="10" t="s">
        <v>1103</v>
      </c>
      <c r="D829" s="10">
        <f t="shared" si="69"/>
        <v>85</v>
      </c>
      <c r="BB829" s="10">
        <v>315</v>
      </c>
      <c r="BC829" s="10">
        <f t="shared" si="74"/>
        <v>0</v>
      </c>
    </row>
    <row r="830" spans="3:55">
      <c r="C830" s="10" t="s">
        <v>1419</v>
      </c>
      <c r="D830" s="10">
        <f t="shared" si="69"/>
        <v>72</v>
      </c>
      <c r="BB830" s="10">
        <v>400</v>
      </c>
      <c r="BC830" s="10">
        <f t="shared" si="74"/>
        <v>0</v>
      </c>
    </row>
    <row r="831" spans="3:55">
      <c r="C831" s="10" t="s">
        <v>1684</v>
      </c>
      <c r="D831" s="10">
        <f t="shared" si="69"/>
        <v>85</v>
      </c>
      <c r="BB831" s="10">
        <v>500</v>
      </c>
      <c r="BC831" s="10">
        <f t="shared" si="74"/>
        <v>0</v>
      </c>
    </row>
    <row r="832" spans="3:55">
      <c r="C832" s="10" t="s">
        <v>2112</v>
      </c>
      <c r="D832" s="10">
        <f t="shared" si="69"/>
        <v>85</v>
      </c>
      <c r="BB832" s="10">
        <v>630</v>
      </c>
      <c r="BC832" s="10">
        <f t="shared" si="74"/>
        <v>0</v>
      </c>
    </row>
    <row r="833" spans="3:55">
      <c r="C833" s="10" t="s">
        <v>2399</v>
      </c>
      <c r="D833" s="10">
        <f t="shared" si="69"/>
        <v>18</v>
      </c>
      <c r="BB833" s="10" t="s">
        <v>2768</v>
      </c>
      <c r="BC833" s="209">
        <f>SUM(BC823:BC832)</f>
        <v>6</v>
      </c>
    </row>
    <row r="834" spans="3:55">
      <c r="C834" s="10" t="s">
        <v>2394</v>
      </c>
      <c r="D834" s="10">
        <f t="shared" si="69"/>
        <v>61</v>
      </c>
      <c r="BB834" s="2"/>
      <c r="BC834" s="2"/>
    </row>
    <row r="835" spans="3:55">
      <c r="C835" s="10" t="s">
        <v>2653</v>
      </c>
      <c r="D835" s="10">
        <f t="shared" si="69"/>
        <v>23</v>
      </c>
      <c r="BB835" s="2"/>
      <c r="BC835" s="2" t="s">
        <v>2777</v>
      </c>
    </row>
    <row r="836" spans="3:55">
      <c r="C836" s="10" t="s">
        <v>2730</v>
      </c>
      <c r="D836" s="10">
        <f t="shared" si="69"/>
        <v>6</v>
      </c>
      <c r="BB836" s="10" t="s">
        <v>2735</v>
      </c>
      <c r="BC836" s="10" t="s">
        <v>2736</v>
      </c>
    </row>
    <row r="837" spans="3:55">
      <c r="C837" s="10" t="s">
        <v>2751</v>
      </c>
      <c r="D837" s="10">
        <f t="shared" si="69"/>
        <v>1</v>
      </c>
      <c r="BB837" s="10">
        <v>25</v>
      </c>
      <c r="BC837" s="10">
        <f>COUNTIF($L$770:$L$791,BB837)</f>
        <v>0</v>
      </c>
    </row>
    <row r="838" spans="3:55">
      <c r="C838" s="10" t="s">
        <v>2778</v>
      </c>
      <c r="D838" s="10">
        <f t="shared" si="69"/>
        <v>0</v>
      </c>
      <c r="BB838" s="10">
        <v>50</v>
      </c>
      <c r="BC838" s="10">
        <f>COUNTIF($L$770:$L$791,BB838)</f>
        <v>0</v>
      </c>
    </row>
    <row r="839" spans="3:55">
      <c r="C839" s="10" t="s">
        <v>1908</v>
      </c>
      <c r="D839" s="10">
        <f t="shared" si="69"/>
        <v>38</v>
      </c>
      <c r="BB839" s="10"/>
      <c r="BC839" s="10"/>
    </row>
    <row r="840" spans="3:55">
      <c r="C840" s="10" t="s">
        <v>2768</v>
      </c>
      <c r="D840" s="210">
        <f>SUM(D805:D839)</f>
        <v>752</v>
      </c>
      <c r="E840" s="211"/>
      <c r="BB840" s="10">
        <v>100</v>
      </c>
      <c r="BC840" s="10">
        <f t="shared" ref="BC840:BC847" si="75">COUNTIF($L$770:$L$791,BB840)</f>
        <v>5</v>
      </c>
    </row>
    <row r="841" spans="3:55">
      <c r="BB841" s="10">
        <v>160</v>
      </c>
      <c r="BC841" s="10">
        <f t="shared" si="75"/>
        <v>6</v>
      </c>
    </row>
    <row r="842" spans="3:55">
      <c r="BB842" s="10">
        <v>200</v>
      </c>
      <c r="BC842" s="10">
        <f t="shared" si="75"/>
        <v>0</v>
      </c>
    </row>
    <row r="843" spans="3:55">
      <c r="BB843" s="10">
        <v>250</v>
      </c>
      <c r="BC843" s="10">
        <f t="shared" si="75"/>
        <v>7</v>
      </c>
    </row>
    <row r="844" spans="3:55">
      <c r="BB844" s="10">
        <v>315</v>
      </c>
      <c r="BC844" s="10">
        <f t="shared" si="75"/>
        <v>1</v>
      </c>
    </row>
    <row r="845" spans="3:55">
      <c r="BB845" s="10">
        <v>400</v>
      </c>
      <c r="BC845" s="10">
        <f t="shared" si="75"/>
        <v>3</v>
      </c>
    </row>
    <row r="846" spans="3:55">
      <c r="BB846" s="10">
        <v>500</v>
      </c>
      <c r="BC846" s="10">
        <f t="shared" si="75"/>
        <v>0</v>
      </c>
    </row>
    <row r="847" spans="3:55">
      <c r="BB847" s="10">
        <v>630</v>
      </c>
      <c r="BC847" s="10">
        <f t="shared" si="75"/>
        <v>0</v>
      </c>
    </row>
    <row r="848" spans="3:55">
      <c r="BB848" s="10" t="s">
        <v>2768</v>
      </c>
      <c r="BC848" s="209">
        <f>SUM(BC837:BC847)</f>
        <v>22</v>
      </c>
    </row>
    <row r="849" spans="54:55">
      <c r="BB849" s="2"/>
      <c r="BC849" s="2"/>
    </row>
    <row r="850" spans="54:55">
      <c r="BB850" s="2"/>
      <c r="BC850" s="2" t="s">
        <v>2779</v>
      </c>
    </row>
    <row r="851" spans="54:55">
      <c r="BB851" s="10" t="s">
        <v>2735</v>
      </c>
      <c r="BC851" s="10" t="s">
        <v>2736</v>
      </c>
    </row>
    <row r="852" spans="54:55">
      <c r="BB852" s="10">
        <v>25</v>
      </c>
      <c r="BC852" s="10">
        <f>COUNTIF($L$640:$L$664,BB852)</f>
        <v>0</v>
      </c>
    </row>
    <row r="853" spans="54:55">
      <c r="BB853" s="10">
        <v>50</v>
      </c>
      <c r="BC853" s="10">
        <f t="shared" ref="BC853:BC861" si="76">COUNTIF($L$770:$L$791,BB853)</f>
        <v>0</v>
      </c>
    </row>
    <row r="854" spans="54:55">
      <c r="BB854" s="10">
        <v>100</v>
      </c>
      <c r="BC854" s="10">
        <f t="shared" si="76"/>
        <v>5</v>
      </c>
    </row>
    <row r="855" spans="54:55">
      <c r="BB855" s="10">
        <v>160</v>
      </c>
      <c r="BC855" s="10">
        <f t="shared" si="76"/>
        <v>6</v>
      </c>
    </row>
    <row r="856" spans="54:55">
      <c r="BB856" s="10">
        <v>200</v>
      </c>
      <c r="BC856" s="10">
        <f t="shared" si="76"/>
        <v>0</v>
      </c>
    </row>
    <row r="857" spans="54:55">
      <c r="BB857" s="10">
        <v>250</v>
      </c>
      <c r="BC857" s="10">
        <f t="shared" si="76"/>
        <v>7</v>
      </c>
    </row>
    <row r="858" spans="54:55">
      <c r="BB858" s="10">
        <v>315</v>
      </c>
      <c r="BC858" s="10">
        <f t="shared" si="76"/>
        <v>1</v>
      </c>
    </row>
    <row r="859" spans="54:55">
      <c r="BB859" s="10">
        <v>400</v>
      </c>
      <c r="BC859" s="10">
        <f t="shared" si="76"/>
        <v>3</v>
      </c>
    </row>
    <row r="860" spans="54:55">
      <c r="BB860" s="10">
        <v>500</v>
      </c>
      <c r="BC860" s="10">
        <f t="shared" si="76"/>
        <v>0</v>
      </c>
    </row>
    <row r="861" spans="54:55">
      <c r="BB861" s="10">
        <v>630</v>
      </c>
      <c r="BC861" s="10">
        <f t="shared" si="76"/>
        <v>0</v>
      </c>
    </row>
    <row r="862" spans="54:55">
      <c r="BB862" s="10" t="s">
        <v>2768</v>
      </c>
      <c r="BC862" s="209">
        <f>SUM(BC852:BC861)</f>
        <v>22</v>
      </c>
    </row>
  </sheetData>
  <autoFilter ref="A7:BC800" xr:uid="{00000000-0001-0000-0000-000000000000}"/>
  <mergeCells count="42">
    <mergeCell ref="A65:A66"/>
    <mergeCell ref="A2:AE2"/>
    <mergeCell ref="A3:AE3"/>
    <mergeCell ref="A5:A6"/>
    <mergeCell ref="B5:B6"/>
    <mergeCell ref="C5:C6"/>
    <mergeCell ref="D5:K5"/>
    <mergeCell ref="L5:R5"/>
    <mergeCell ref="S5:AB5"/>
    <mergeCell ref="AD5:AD6"/>
    <mergeCell ref="AE5:AE6"/>
    <mergeCell ref="AG5:AG6"/>
    <mergeCell ref="A14:A15"/>
    <mergeCell ref="A32:A33"/>
    <mergeCell ref="A50:A51"/>
    <mergeCell ref="A57:A58"/>
    <mergeCell ref="A73:A74"/>
    <mergeCell ref="A79:A80"/>
    <mergeCell ref="A140:A141"/>
    <mergeCell ref="A150:A151"/>
    <mergeCell ref="A158:A159"/>
    <mergeCell ref="A162:A163"/>
    <mergeCell ref="A189:A190"/>
    <mergeCell ref="A377:A378"/>
    <mergeCell ref="J158:J159"/>
    <mergeCell ref="K158:K159"/>
    <mergeCell ref="C158:C159"/>
    <mergeCell ref="D158:D159"/>
    <mergeCell ref="F158:F159"/>
    <mergeCell ref="G158:G159"/>
    <mergeCell ref="H158:H159"/>
    <mergeCell ref="I158:I159"/>
    <mergeCell ref="B158:B159"/>
    <mergeCell ref="M803:O803"/>
    <mergeCell ref="M817:O817"/>
    <mergeCell ref="AC158:AC159"/>
    <mergeCell ref="AE158:AE159"/>
    <mergeCell ref="AG158:AG159"/>
    <mergeCell ref="S158:S159"/>
    <mergeCell ref="T158:T159"/>
    <mergeCell ref="U158:U159"/>
    <mergeCell ref="V158:V159"/>
  </mergeCells>
  <dataValidations count="1">
    <dataValidation type="list" allowBlank="1" showInputMessage="1" showErrorMessage="1" sqref="N122" xr:uid="{E3D89A5A-06C1-4C58-B822-2B24AE184C15}">
      <formula1>$BS$3:$BS$29</formula1>
    </dataValidation>
  </dataValidations>
  <pageMargins left="0.70866141732283505" right="0.70866141732283505" top="0.74803149606299202" bottom="0.74803149606299202" header="0.31496062992126" footer="0.31496062992126"/>
  <pageSetup paperSize="9" scale="90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 GARDU </vt:lpstr>
      <vt:lpstr>'MASTER GARDU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rezkyrama7@gmail.com</dc:creator>
  <cp:lastModifiedBy>Microsoft Office User</cp:lastModifiedBy>
  <dcterms:created xsi:type="dcterms:W3CDTF">2026-06-24T05:18:14Z</dcterms:created>
  <dcterms:modified xsi:type="dcterms:W3CDTF">2026-06-24T08:51:58Z</dcterms:modified>
</cp:coreProperties>
</file>